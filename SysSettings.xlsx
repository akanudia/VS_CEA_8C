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"/>
    </mc:Choice>
  </mc:AlternateContent>
  <xr:revisionPtr revIDLastSave="0" documentId="13_ncr:1_{2AA65BA5-2D2F-4C06-8794-65404A92A5EC}" xr6:coauthVersionLast="47" xr6:coauthVersionMax="47" xr10:uidLastSave="{00000000-0000-0000-0000-000000000000}"/>
  <bookViews>
    <workbookView xWindow="368" yWindow="368" windowWidth="21599" windowHeight="12772" firstSheet="21" activeTab="28" xr2:uid="{39196811-3449-4F1E-91A9-CEFB9A4676E0}"/>
  </bookViews>
  <sheets>
    <sheet name="heat_FRA" sheetId="2" r:id="rId1"/>
    <sheet name="grids_FRA" sheetId="3" r:id="rId2"/>
    <sheet name="fuels_FRA" sheetId="4" r:id="rId3"/>
    <sheet name="heat_GBR" sheetId="5" r:id="rId4"/>
    <sheet name="grids_GBR" sheetId="6" r:id="rId5"/>
    <sheet name="fuels_GBR" sheetId="7" r:id="rId6"/>
    <sheet name="heat_NLD" sheetId="8" r:id="rId7"/>
    <sheet name="grids_NLD" sheetId="9" r:id="rId8"/>
    <sheet name="fuels_NLD" sheetId="10" r:id="rId9"/>
    <sheet name="heat_BEL" sheetId="11" r:id="rId10"/>
    <sheet name="grids_BEL" sheetId="12" r:id="rId11"/>
    <sheet name="fuels_BEL" sheetId="13" r:id="rId12"/>
    <sheet name="heat_DEU" sheetId="14" r:id="rId13"/>
    <sheet name="grids_DEU" sheetId="15" r:id="rId14"/>
    <sheet name="fuels_DEU" sheetId="16" r:id="rId15"/>
    <sheet name="heat_CHE" sheetId="17" r:id="rId16"/>
    <sheet name="grids_CHE" sheetId="18" r:id="rId17"/>
    <sheet name="fuels_CHE" sheetId="19" r:id="rId18"/>
    <sheet name="heat_ITA" sheetId="20" r:id="rId19"/>
    <sheet name="grids_ITA" sheetId="21" r:id="rId20"/>
    <sheet name="fuels_ITA" sheetId="22" r:id="rId21"/>
    <sheet name="heat_ESP" sheetId="23" r:id="rId22"/>
    <sheet name="grids_ESP" sheetId="24" r:id="rId23"/>
    <sheet name="fuels_ESP" sheetId="25" r:id="rId24"/>
    <sheet name="system_settings" sheetId="26" r:id="rId25"/>
    <sheet name="TimePeriods" sheetId="27" r:id="rId26"/>
    <sheet name="System Settings" sheetId="28" r:id="rId27"/>
    <sheet name="Constants" sheetId="29" r:id="rId28"/>
    <sheet name="reporting options" sheetId="30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29" l="1"/>
  <c r="I101" i="29"/>
  <c r="H95" i="29"/>
  <c r="I51" i="29"/>
  <c r="G51" i="29"/>
  <c r="F51" i="29"/>
  <c r="F15" i="27"/>
  <c r="F16" i="27" s="1"/>
  <c r="G14" i="27"/>
  <c r="G15" i="27" s="1"/>
  <c r="F14" i="27"/>
  <c r="E14" i="27"/>
  <c r="E15" i="27" s="1"/>
  <c r="G16" i="27" l="1"/>
  <c r="G17" i="27" s="1"/>
  <c r="G18" i="27" s="1"/>
  <c r="F17" i="27"/>
  <c r="F18" i="27" s="1"/>
  <c r="F19" i="27" s="1"/>
  <c r="E16" i="27"/>
  <c r="E17" i="27" s="1"/>
  <c r="E18" i="27" s="1"/>
  <c r="E19" i="27" s="1"/>
  <c r="E20" i="27" s="1"/>
  <c r="E12" i="27"/>
  <c r="F12" i="27" l="1"/>
  <c r="G12" i="27"/>
</calcChain>
</file>

<file path=xl/sharedStrings.xml><?xml version="1.0" encoding="utf-8"?>
<sst xmlns="http://schemas.openxmlformats.org/spreadsheetml/2006/main" count="7328" uniqueCount="1753">
  <si>
    <t>~fi_comm</t>
  </si>
  <si>
    <t>set</t>
  </si>
  <si>
    <t>commodity</t>
  </si>
  <si>
    <t>region</t>
  </si>
  <si>
    <t>description</t>
  </si>
  <si>
    <t>commoditytype</t>
  </si>
  <si>
    <t>timeslicelevel</t>
  </si>
  <si>
    <t>limtype</t>
  </si>
  <si>
    <t>unit</t>
  </si>
  <si>
    <t>NRG</t>
  </si>
  <si>
    <t>h_AixLesBains_FRA</t>
  </si>
  <si>
    <t>FRA</t>
  </si>
  <si>
    <t>heat at grid node -- way/56998024-400 (Annecy, 36 km)</t>
  </si>
  <si>
    <t>LTHEAT</t>
  </si>
  <si>
    <t>season</t>
  </si>
  <si>
    <t>lo</t>
  </si>
  <si>
    <t>TWh</t>
  </si>
  <si>
    <t>h_Annecy_FRA</t>
  </si>
  <si>
    <t>heat at grid node -- way/83293593-225 (Annecy, 30 km)</t>
  </si>
  <si>
    <t>h_Aurillac_FRA</t>
  </si>
  <si>
    <t>heat at grid node -- way/83726363-225 (Clermont-Ferrand, 116 km)</t>
  </si>
  <si>
    <t>h_Bastia_FRA</t>
  </si>
  <si>
    <t>heat at grid node -- way/136594238 (Ajaccio, 89 km)</t>
  </si>
  <si>
    <t>h_Bayonne_FRA</t>
  </si>
  <si>
    <t>heat at grid node -- way/111558550-400 (Bayonne, 9 km)</t>
  </si>
  <si>
    <t>h_Belfort_FRA</t>
  </si>
  <si>
    <t>heat at grid node -- way/39389229-400 (Besancon, 51 km)</t>
  </si>
  <si>
    <t>h_Bordeaux_FRA</t>
  </si>
  <si>
    <t>heat at grid node -- way/235370803-400 (Bordeaux, 28 km)</t>
  </si>
  <si>
    <t>h_Brest_FRA</t>
  </si>
  <si>
    <t>heat at grid node -- way/146695955-400 (Brest, 23 km)</t>
  </si>
  <si>
    <t>h_Briancon_FRA</t>
  </si>
  <si>
    <t>heat at grid node -- way/146449309-400 (Grenoble, 78 km)</t>
  </si>
  <si>
    <t>h_Caen_FRA</t>
  </si>
  <si>
    <t>heat at grid node -- way/753113423 (Caen, 11 km)</t>
  </si>
  <si>
    <t>h_Calais_FRA</t>
  </si>
  <si>
    <t>heat at grid node -- way/1271288346 (Calais, 7 km)</t>
  </si>
  <si>
    <t>h_CharlevilleMeziere_FRA</t>
  </si>
  <si>
    <t>heat at grid node -- way/82825438-400 (Reims, 74 km)</t>
  </si>
  <si>
    <t>h_Dijon_FRA</t>
  </si>
  <si>
    <t>heat at grid node -- way/179260933-400 (Dijon, 25 km)</t>
  </si>
  <si>
    <t>h_Dunkerque_FRA</t>
  </si>
  <si>
    <t>heat at grid node -- relation/13260224-225 (Dunkerque, 7 km)</t>
  </si>
  <si>
    <t>h_Forbach_FRA</t>
  </si>
  <si>
    <t>heat at grid node -- way/129378915-220 (Metz, 38 km)</t>
  </si>
  <si>
    <t>h_Goussainville_FRA</t>
  </si>
  <si>
    <t>heat at grid node -- way/82741307-225 (Paris, 21 km)</t>
  </si>
  <si>
    <t>h_Haguenau_FRA</t>
  </si>
  <si>
    <t>heat at grid node -- way/136015463-225 (Strasbourg, 43 km)</t>
  </si>
  <si>
    <t>h_Lille_FRA</t>
  </si>
  <si>
    <t>heat at grid node -- way/85605950-400 (Lille, 12 km)</t>
  </si>
  <si>
    <t>h_Lourdes_FRA</t>
  </si>
  <si>
    <t>heat at grid node -- way/207479669-225 (Pau, 62 km)</t>
  </si>
  <si>
    <t>h_Lyon_FRA</t>
  </si>
  <si>
    <t>heat at grid node -- way/24020601-400 (Lyon, 24 km)</t>
  </si>
  <si>
    <t>h_Metz_FRA</t>
  </si>
  <si>
    <t>heat at grid node -- way/81641090-380 (Metz, 11 km)</t>
  </si>
  <si>
    <t>h_Mohon_FRA</t>
  </si>
  <si>
    <t>heat at grid node -- way/118655802-225 (Reims, 107 km)</t>
  </si>
  <si>
    <t>h_Mulhouse_FRA</t>
  </si>
  <si>
    <t>heat at grid node -- way/81638061-220 (Mulhouse, 35 km)</t>
  </si>
  <si>
    <t>h_Nantes_FRA</t>
  </si>
  <si>
    <t>heat at grid node -- way/112342683-400 (Nantes, 25 km)</t>
  </si>
  <si>
    <t>h_Nice_FRA</t>
  </si>
  <si>
    <t>heat at grid node -- FR186-225 (Nice, 22 km)</t>
  </si>
  <si>
    <t>h_Nimes_FRA</t>
  </si>
  <si>
    <t>heat at grid node -- way/110086345-400 (Nimes, 30 km)</t>
  </si>
  <si>
    <t>h_Paris_FRA</t>
  </si>
  <si>
    <t>heat at grid node -- way/23287448-225 (Paris, 22 km)</t>
  </si>
  <si>
    <t>h_Perpignan_FRA</t>
  </si>
  <si>
    <t>heat at grid node -- way/312728271-400 (Perpignan, 8 km)</t>
  </si>
  <si>
    <t>h_Rouen_FRA</t>
  </si>
  <si>
    <t>heat at grid node -- way/85710783-400 (Rouen, 24 km)</t>
  </si>
  <si>
    <t>h_SaintLo_FRA</t>
  </si>
  <si>
    <t>heat at grid node -- way/222188543-400 (Caen, 73 km)</t>
  </si>
  <si>
    <t>h_Strasbourg_FRA</t>
  </si>
  <si>
    <t>heat at grid node -- way/146402374-225 (Strasbourg, 24 km)</t>
  </si>
  <si>
    <t>h_Thionville_FRA</t>
  </si>
  <si>
    <t>heat at grid node -- way/225210595-225 (Metz, 49 km)</t>
  </si>
  <si>
    <t>h_ThononLesBains_FRA</t>
  </si>
  <si>
    <t>heat at grid node -- way/147580985-225 (Annecy, 38 km)</t>
  </si>
  <si>
    <t>h_Toulouse_FRA</t>
  </si>
  <si>
    <t>heat at grid node -- way/109817708-400 (Toulouse, 19 km)</t>
  </si>
  <si>
    <t>e_AixLesBains_FRA</t>
  </si>
  <si>
    <t>grid node -- way/56998024-400 (Annecy, 36 km)</t>
  </si>
  <si>
    <t>ELC</t>
  </si>
  <si>
    <t>daynite</t>
  </si>
  <si>
    <t>e_Annecy_FRA</t>
  </si>
  <si>
    <t>grid node -- way/83293593-225 (Annecy, 30 km)</t>
  </si>
  <si>
    <t>e_Aurillac_FRA</t>
  </si>
  <si>
    <t>grid node -- way/83726363-225 (Clermont-Ferrand, 116 km)</t>
  </si>
  <si>
    <t>e_Bastia_FRA</t>
  </si>
  <si>
    <t>grid node -- way/136594238 (Ajaccio, 89 km)</t>
  </si>
  <si>
    <t>e_Bayonne_FRA</t>
  </si>
  <si>
    <t>grid node -- way/111558550-400 (Bayonne, 9 km)</t>
  </si>
  <si>
    <t>e_Belfort_FRA</t>
  </si>
  <si>
    <t>grid node -- way/39389229-400 (Besancon, 51 km)</t>
  </si>
  <si>
    <t>e_Bordeaux_FRA</t>
  </si>
  <si>
    <t>grid node -- way/235370803-400 (Bordeaux, 28 km)</t>
  </si>
  <si>
    <t>e_Brest_FRA</t>
  </si>
  <si>
    <t>grid node -- way/146695955-400 (Brest, 23 km)</t>
  </si>
  <si>
    <t>e_Briancon_FRA</t>
  </si>
  <si>
    <t>grid node -- way/146449309-400 (Grenoble, 78 km)</t>
  </si>
  <si>
    <t>e_Caen_FRA</t>
  </si>
  <si>
    <t>grid node -- way/753113423 (Caen, 11 km)</t>
  </si>
  <si>
    <t>e_Calais_FRA</t>
  </si>
  <si>
    <t>grid node -- way/1271288346 (Calais, 7 km)</t>
  </si>
  <si>
    <t>e_CharlevilleMeziere_FRA</t>
  </si>
  <si>
    <t>grid node -- way/82825438-400 (Reims, 74 km)</t>
  </si>
  <si>
    <t>e_Dijon_FRA</t>
  </si>
  <si>
    <t>grid node -- way/179260933-400 (Dijon, 25 km)</t>
  </si>
  <si>
    <t>e_Dunkerque_FRA</t>
  </si>
  <si>
    <t>grid node -- relation/13260224-225 (Dunkerque, 7 km)</t>
  </si>
  <si>
    <t>e_Forbach_FRA</t>
  </si>
  <si>
    <t>grid node -- way/129378915-220 (Metz, 38 km)</t>
  </si>
  <si>
    <t>e_Goussainville_FRA</t>
  </si>
  <si>
    <t>grid node -- way/82741307-225 (Paris, 21 km)</t>
  </si>
  <si>
    <t>e_Haguenau_FRA</t>
  </si>
  <si>
    <t>grid node -- way/136015463-225 (Strasbourg, 43 km)</t>
  </si>
  <si>
    <t>e_Lille_FRA</t>
  </si>
  <si>
    <t>grid node -- way/85605950-400 (Lille, 12 km)</t>
  </si>
  <si>
    <t>e_Lourdes_FRA</t>
  </si>
  <si>
    <t>grid node -- way/207479669-225 (Pau, 62 km)</t>
  </si>
  <si>
    <t>e_Lyon_FRA</t>
  </si>
  <si>
    <t>grid node -- way/24020601-400 (Lyon, 24 km)</t>
  </si>
  <si>
    <t>e_Metz_FRA</t>
  </si>
  <si>
    <t>grid node -- way/81641090-380 (Metz, 11 km)</t>
  </si>
  <si>
    <t>e_Mohon_FRA</t>
  </si>
  <si>
    <t>grid node -- way/118655802-225 (Reims, 107 km)</t>
  </si>
  <si>
    <t>e_Mulhouse_FRA</t>
  </si>
  <si>
    <t>grid node -- way/81638061-220 (Mulhouse, 35 km)</t>
  </si>
  <si>
    <t>e_Nantes_FRA</t>
  </si>
  <si>
    <t>grid node -- way/112342683-400 (Nantes, 25 km)</t>
  </si>
  <si>
    <t>e_Nice_FRA</t>
  </si>
  <si>
    <t>grid node -- FR186-225 (Nice, 22 km)</t>
  </si>
  <si>
    <t>e_Nimes_FRA</t>
  </si>
  <si>
    <t>grid node -- way/110086345-400 (Nimes, 30 km)</t>
  </si>
  <si>
    <t>e_Paris_FRA</t>
  </si>
  <si>
    <t>grid node -- way/23287448-225 (Paris, 22 km)</t>
  </si>
  <si>
    <t>e_Perpignan_FRA</t>
  </si>
  <si>
    <t>grid node -- way/312728271-400 (Perpignan, 8 km)</t>
  </si>
  <si>
    <t>e_Rouen_FRA</t>
  </si>
  <si>
    <t>grid node -- way/85710783-400 (Rouen, 24 km)</t>
  </si>
  <si>
    <t>e_SaintLo_FRA</t>
  </si>
  <si>
    <t>grid node -- way/222188543-400 (Caen, 73 km)</t>
  </si>
  <si>
    <t>e_Strasbourg_FRA</t>
  </si>
  <si>
    <t>grid node -- way/146402374-225 (Strasbourg, 24 km)</t>
  </si>
  <si>
    <t>e_Thionville_FRA</t>
  </si>
  <si>
    <t>grid node -- way/225210595-225 (Metz, 49 km)</t>
  </si>
  <si>
    <t>e_ThononLesBains_FRA</t>
  </si>
  <si>
    <t>grid node -- way/147580985-225 (Annecy, 38 km)</t>
  </si>
  <si>
    <t>e_Toulouse_FRA</t>
  </si>
  <si>
    <t>grid node -- way/109817708-400 (Toulouse, 19 km)</t>
  </si>
  <si>
    <t>~FI_Comm</t>
  </si>
  <si>
    <t>Set</t>
  </si>
  <si>
    <t>peaktimeslice</t>
  </si>
  <si>
    <t>bioenergy</t>
  </si>
  <si>
    <t>twh</t>
  </si>
  <si>
    <t>elc_spv_FRA_001</t>
  </si>
  <si>
    <t>solar electricity near Limoges (cluster 1)</t>
  </si>
  <si>
    <t>COAL</t>
  </si>
  <si>
    <t>elc_spv_FRA_002</t>
  </si>
  <si>
    <t>solar electricity near Bordeaux (cluster 2)</t>
  </si>
  <si>
    <t>GAS</t>
  </si>
  <si>
    <t>elc_spv_FRA_003</t>
  </si>
  <si>
    <t>solar electricity near Poitiers (cluster 3)</t>
  </si>
  <si>
    <t>geothermal</t>
  </si>
  <si>
    <t>elc_spv_FRA_004</t>
  </si>
  <si>
    <t>solar electricity near Angers (cluster 4)</t>
  </si>
  <si>
    <t>hydro</t>
  </si>
  <si>
    <t>elc_spv_FRA_005</t>
  </si>
  <si>
    <t>solar electricity near Orleans (cluster 5)</t>
  </si>
  <si>
    <t>hydrogen</t>
  </si>
  <si>
    <t>elc_spv_FRA_006</t>
  </si>
  <si>
    <t>solar electricity near Paris (cluster 6)</t>
  </si>
  <si>
    <t>nuclear</t>
  </si>
  <si>
    <t>elc_spv_FRA_007</t>
  </si>
  <si>
    <t>solar electricity near Lille (cluster 7)</t>
  </si>
  <si>
    <t>OIL</t>
  </si>
  <si>
    <t>elc_spv_FRA_008</t>
  </si>
  <si>
    <t>solar electricity near Amiens (cluster 8)</t>
  </si>
  <si>
    <t>solar</t>
  </si>
  <si>
    <t>elc_spv_FRA_009</t>
  </si>
  <si>
    <t>solar electricity near Rennes (cluster 9)</t>
  </si>
  <si>
    <t>windon</t>
  </si>
  <si>
    <t>wind onshore</t>
  </si>
  <si>
    <t>elc_spv_FRA_010</t>
  </si>
  <si>
    <t>solar electricity near Le Mans (cluster 10)</t>
  </si>
  <si>
    <t>windoff</t>
  </si>
  <si>
    <t>wind offshore</t>
  </si>
  <si>
    <t>elc_spv_FRA_011</t>
  </si>
  <si>
    <t>solar electricity near Le Havre (cluster 11)</t>
  </si>
  <si>
    <t>electricity - generated</t>
  </si>
  <si>
    <t>annual</t>
  </si>
  <si>
    <t>elc_spv_FRA_012</t>
  </si>
  <si>
    <t>solar electricity near Metz (cluster 12)</t>
  </si>
  <si>
    <t>HET</t>
  </si>
  <si>
    <t>low temperature heat</t>
  </si>
  <si>
    <t>elc_spv_FRA_013</t>
  </si>
  <si>
    <t>solar electricity near Colmar (cluster 13)</t>
  </si>
  <si>
    <t>DEM</t>
  </si>
  <si>
    <t>hydrogen_allsect</t>
  </si>
  <si>
    <t>Hydrogen demand - all sectors</t>
  </si>
  <si>
    <t>elc_spv_FRA_014</t>
  </si>
  <si>
    <t>solar electricity near Reims (cluster 14)</t>
  </si>
  <si>
    <t>elc_buildings</t>
  </si>
  <si>
    <t>electricity used in buildings</t>
  </si>
  <si>
    <t>elc_spv_FRA_015</t>
  </si>
  <si>
    <t>solar electricity near Reims (cluster 15)</t>
  </si>
  <si>
    <t>elc_industry</t>
  </si>
  <si>
    <t>electricity used in industry</t>
  </si>
  <si>
    <t>elc_spv_FRA_016</t>
  </si>
  <si>
    <t>solar electricity near Dijon (cluster 16)</t>
  </si>
  <si>
    <t>elc_transport</t>
  </si>
  <si>
    <t>electricity used in transport</t>
  </si>
  <si>
    <t>elc_spv_FRA_017</t>
  </si>
  <si>
    <t>solar electricity near Bourges (cluster 17)</t>
  </si>
  <si>
    <t>elc_roadtransport</t>
  </si>
  <si>
    <t>electricity used in road transport</t>
  </si>
  <si>
    <t>elc_spv_FRA_018</t>
  </si>
  <si>
    <t>solar electricity near Ajaccio (cluster 18)</t>
  </si>
  <si>
    <t>het_buildings</t>
  </si>
  <si>
    <t>heat used in buildings</t>
  </si>
  <si>
    <t>elc_spv_FRA_019</t>
  </si>
  <si>
    <t>solar electricity near Nice (cluster 19)</t>
  </si>
  <si>
    <t>het_industry</t>
  </si>
  <si>
    <t>heat used in industry</t>
  </si>
  <si>
    <t>elc_spv_FRA_020</t>
  </si>
  <si>
    <t>solar electricity near Perpignan (cluster 20)</t>
  </si>
  <si>
    <t>ENV</t>
  </si>
  <si>
    <t>co2</t>
  </si>
  <si>
    <t>co2 emissions from power generation</t>
  </si>
  <si>
    <t>kt</t>
  </si>
  <si>
    <t>elc_spv_FRA_021</t>
  </si>
  <si>
    <t>solar electricity near Montpellier (cluster 21)</t>
  </si>
  <si>
    <t>co2captured</t>
  </si>
  <si>
    <t>elc_spv_FRA_022</t>
  </si>
  <si>
    <t>solar electricity near Toulouse (cluster 22)</t>
  </si>
  <si>
    <t>co2net</t>
  </si>
  <si>
    <t>elc_spv_FRA_023</t>
  </si>
  <si>
    <t>solar electricity near Pau (cluster 23)</t>
  </si>
  <si>
    <t>elc_spv_FRA_024</t>
  </si>
  <si>
    <t>solar electricity near Bordeaux (cluster 24)</t>
  </si>
  <si>
    <t>elc_spv_FRA_025</t>
  </si>
  <si>
    <t>solar electricity near Montauban (cluster 25)</t>
  </si>
  <si>
    <t>~tfm_comgrp</t>
  </si>
  <si>
    <t>elc_spv_FRA_026</t>
  </si>
  <si>
    <t>solar electricity near Bordeaux (cluster 26)</t>
  </si>
  <si>
    <t>name</t>
  </si>
  <si>
    <t>allregions</t>
  </si>
  <si>
    <t>cset_cn</t>
  </si>
  <si>
    <t>elc_spv_FRA_027</t>
  </si>
  <si>
    <t>solar electricity near Grenoble (cluster 27)</t>
  </si>
  <si>
    <t>ELC_BatIn</t>
  </si>
  <si>
    <t>y</t>
  </si>
  <si>
    <t>ELC,e[_]*</t>
  </si>
  <si>
    <t>elc_spv_FRA_028</t>
  </si>
  <si>
    <t>solar electricity near Besancon (cluster 28)</t>
  </si>
  <si>
    <t>elc_spv_FRA_029</t>
  </si>
  <si>
    <t>solar electricity near Saint-Etienne (cluster 29)</t>
  </si>
  <si>
    <t>elc_spv_FRA_030</t>
  </si>
  <si>
    <t>solar electricity near Lyon (cluster 30)</t>
  </si>
  <si>
    <t>elc_wof_FRA_001</t>
  </si>
  <si>
    <t>wind offshore electricity near Montpellier (cluster 1)</t>
  </si>
  <si>
    <t>elc_wof_FRA_002</t>
  </si>
  <si>
    <t>wind offshore electricity near Nice (cluster 2)</t>
  </si>
  <si>
    <t>elc_wof_FRA_003</t>
  </si>
  <si>
    <t>wind offshore electricity near Ajaccio (cluster 3)</t>
  </si>
  <si>
    <t>elc_wof_FRA_004</t>
  </si>
  <si>
    <t>wind offshore electricity near Nice (cluster 4)</t>
  </si>
  <si>
    <t>ctype</t>
  </si>
  <si>
    <t>elc_wof_FRA_005</t>
  </si>
  <si>
    <t>wind offshore electricity near Toulon (cluster 5)</t>
  </si>
  <si>
    <t>ELC4H</t>
  </si>
  <si>
    <t>First 5 hours of surplus electricity from VRE generation</t>
  </si>
  <si>
    <t>PJ</t>
  </si>
  <si>
    <t>DAYNITE</t>
  </si>
  <si>
    <t>elc_wof_FRA_006</t>
  </si>
  <si>
    <t>wind offshore electricity near Marseille (cluster 6)</t>
  </si>
  <si>
    <t>ELC8H</t>
  </si>
  <si>
    <t>6-10 hours of surplus electricity from VRE generation</t>
  </si>
  <si>
    <t>elc_wof_FRA_007</t>
  </si>
  <si>
    <t>wind offshore electricity near Ajaccio (cluster 7)</t>
  </si>
  <si>
    <t>DEF_E</t>
  </si>
  <si>
    <t>Electricity that was missing at the hourly level</t>
  </si>
  <si>
    <t>elc_wof_FRA_008</t>
  </si>
  <si>
    <t>wind offshore electricity near Ajaccio (cluster 8)</t>
  </si>
  <si>
    <t>DEF_C</t>
  </si>
  <si>
    <t>VRE Capacity deficit to be covered by dispatchable techs</t>
  </si>
  <si>
    <t>GW</t>
  </si>
  <si>
    <t>ANNUAL</t>
  </si>
  <si>
    <t>elc_wof_FRA_009</t>
  </si>
  <si>
    <t>wind offshore electricity near Bordeaux (cluster 9)</t>
  </si>
  <si>
    <t>elc_wof_FRA_010</t>
  </si>
  <si>
    <t>wind offshore electricity near Bayonne (cluster 10)</t>
  </si>
  <si>
    <t>elc_wof_FRA_011</t>
  </si>
  <si>
    <t>wind offshore electricity near La Rochelle (cluster 11)</t>
  </si>
  <si>
    <t>elc_wof_FRA_012</t>
  </si>
  <si>
    <t>wind offshore electricity near La Rochelle (cluster 12)</t>
  </si>
  <si>
    <t>elc_wof_FRA_013</t>
  </si>
  <si>
    <t>wind offshore electricity near Brest (cluster 13)</t>
  </si>
  <si>
    <t>elc_wof_FRA_014</t>
  </si>
  <si>
    <t>wind offshore electricity near Le Havre (cluster 14)</t>
  </si>
  <si>
    <t>elc_wof_FRA_015</t>
  </si>
  <si>
    <t>wind offshore electricity near Brest (cluster 15)</t>
  </si>
  <si>
    <t>elc_wof_FRA_016</t>
  </si>
  <si>
    <t>wind offshore electricity near Brest (cluster 16)</t>
  </si>
  <si>
    <t>elc_wof_FRA_017</t>
  </si>
  <si>
    <t>wind offshore electricity near Saint-Nazaire (cluster 17)</t>
  </si>
  <si>
    <t>elc_won_FRA_001</t>
  </si>
  <si>
    <t>wind onshore electricity near Strasbourg (cluster 1)</t>
  </si>
  <si>
    <t>elc_won_FRA_002</t>
  </si>
  <si>
    <t>wind onshore electricity near Besancon (cluster 2)</t>
  </si>
  <si>
    <t>elc_won_FRA_003</t>
  </si>
  <si>
    <t>wind onshore electricity near Dijon (cluster 3)</t>
  </si>
  <si>
    <t>elc_won_FRA_004</t>
  </si>
  <si>
    <t>wind onshore electricity near Caen (cluster 4)</t>
  </si>
  <si>
    <t>elc_won_FRA_005</t>
  </si>
  <si>
    <t>wind onshore electricity near Rennes (cluster 5)</t>
  </si>
  <si>
    <t>elc_won_FRA_006</t>
  </si>
  <si>
    <t>wind onshore electricity near Tours (cluster 6)</t>
  </si>
  <si>
    <t>elc_won_FRA_007</t>
  </si>
  <si>
    <t>wind onshore electricity near Montreuil (cluster 7)</t>
  </si>
  <si>
    <t>elc_won_FRA_008</t>
  </si>
  <si>
    <t>wind onshore electricity near Amiens (cluster 8)</t>
  </si>
  <si>
    <t>elc_won_FRA_009</t>
  </si>
  <si>
    <t>wind onshore electricity near Reims (cluster 9)</t>
  </si>
  <si>
    <t>elc_won_FRA_010</t>
  </si>
  <si>
    <t>wind onshore electricity near Metz (cluster 10)</t>
  </si>
  <si>
    <t>elc_won_FRA_011</t>
  </si>
  <si>
    <t>wind onshore electricity near Ajaccio (cluster 11)</t>
  </si>
  <si>
    <t>elc_won_FRA_012</t>
  </si>
  <si>
    <t>wind onshore electricity near Toulon (cluster 12)</t>
  </si>
  <si>
    <t>elc_won_FRA_013</t>
  </si>
  <si>
    <t>wind onshore electricity near Antibes (cluster 13)</t>
  </si>
  <si>
    <t>elc_won_FRA_014</t>
  </si>
  <si>
    <t>wind onshore electricity near Nice (cluster 14)</t>
  </si>
  <si>
    <t>elc_won_FRA_015</t>
  </si>
  <si>
    <t>wind onshore electricity near Valence (cluster 15)</t>
  </si>
  <si>
    <t>elc_won_FRA_016</t>
  </si>
  <si>
    <t>wind onshore electricity near Marseille (cluster 16)</t>
  </si>
  <si>
    <t>elc_won_FRA_017</t>
  </si>
  <si>
    <t>wind onshore electricity near Montpellier (cluster 17)</t>
  </si>
  <si>
    <t>elc_won_FRA_018</t>
  </si>
  <si>
    <t>wind onshore electricity near Niort (cluster 18)</t>
  </si>
  <si>
    <t>elc_won_FRA_019</t>
  </si>
  <si>
    <t>wind onshore electricity near Bordeaux (cluster 19)</t>
  </si>
  <si>
    <t>elc_won_FRA_020</t>
  </si>
  <si>
    <t>wind onshore electricity near Pau (cluster 20)</t>
  </si>
  <si>
    <t>elc_won_FRA_021</t>
  </si>
  <si>
    <t>wind onshore electricity near Bordeaux (cluster 21)</t>
  </si>
  <si>
    <t>elc_won_FRA_022</t>
  </si>
  <si>
    <t>wind onshore electricity near Montauban (cluster 22)</t>
  </si>
  <si>
    <t>elc_won_FRA_023</t>
  </si>
  <si>
    <t>wind onshore electricity near Bayonne (cluster 23)</t>
  </si>
  <si>
    <t>elc_won_FRA_024</t>
  </si>
  <si>
    <t>wind onshore electricity near Toulouse (cluster 24)</t>
  </si>
  <si>
    <t>elc_won_FRA_025</t>
  </si>
  <si>
    <t>wind onshore electricity near Clermont-Ferrand (cluster 25)</t>
  </si>
  <si>
    <t>elc_won_FRA_026</t>
  </si>
  <si>
    <t>wind onshore electricity near Clermont-Ferrand (cluster 26)</t>
  </si>
  <si>
    <t>elc_won_FRA_027</t>
  </si>
  <si>
    <t>wind onshore electricity near Lyon (cluster 27)</t>
  </si>
  <si>
    <t>elc_won_FRA_028</t>
  </si>
  <si>
    <t>wind onshore electricity near Saint-Etienne (cluster 28)</t>
  </si>
  <si>
    <t>h_Aberdeen_GBR</t>
  </si>
  <si>
    <t>GBR</t>
  </si>
  <si>
    <t>heat at grid node -- way/118821349-275 (Aberdeen, 18 km)</t>
  </si>
  <si>
    <t>h_Ashford_GBR</t>
  </si>
  <si>
    <t>heat at grid node -- way/775577829 (Maidstone, 47 km)</t>
  </si>
  <si>
    <t>h_Basildon_GBR</t>
  </si>
  <si>
    <t>heat at grid node -- way/109189896 (Basildon, 22 km)</t>
  </si>
  <si>
    <t>h_Belfast_GBR</t>
  </si>
  <si>
    <t>heat at grid node -- way/137050527 (Belfast, 29 km)</t>
  </si>
  <si>
    <t>h_Elgin_GBR</t>
  </si>
  <si>
    <t>heat at grid node -- way/568527671 (Aberdeen, 65 km)</t>
  </si>
  <si>
    <t>h_Ipswich_GBR</t>
  </si>
  <si>
    <t>heat at grid node -- way/25422135-400 (Ipswich, 7 km)</t>
  </si>
  <si>
    <t>h_Lerwick_GBR</t>
  </si>
  <si>
    <t>heat at grid node -- way/975637991 (Aberdeen, 353 km)</t>
  </si>
  <si>
    <t>h_Lisburn_GBR</t>
  </si>
  <si>
    <t>heat at grid node -- way/227767019-275 (Belfast, 41 km)</t>
  </si>
  <si>
    <t>h_Liverpool_GBR</t>
  </si>
  <si>
    <t>heat at grid node -- way/375626500 (Liverpool, 20 km)</t>
  </si>
  <si>
    <t>h_Newcastle_GBR</t>
  </si>
  <si>
    <t>heat at grid node -- way/642490160 (Newcastle, 19 km)</t>
  </si>
  <si>
    <t>h_Paisley_GBR</t>
  </si>
  <si>
    <t>heat at grid node -- way/297840585 (Glasgow, 43 km)</t>
  </si>
  <si>
    <t>h_Peterborough_GBR</t>
  </si>
  <si>
    <t>heat at grid node -- way/1078532568 (Peterborough, 39 km)</t>
  </si>
  <si>
    <t>h_Portsmouth_GBR</t>
  </si>
  <si>
    <t>heat at grid node -- way/636630368 (Portsmouth, 8 km)</t>
  </si>
  <si>
    <t>h_Stranraer_GBR</t>
  </si>
  <si>
    <t>heat at grid node -- way/148382435 (Belfast, 80 km)</t>
  </si>
  <si>
    <t>h_Wick_GBR</t>
  </si>
  <si>
    <t>heat at grid node -- way/1262971878 (Aberdeen, 168 km)</t>
  </si>
  <si>
    <t>e_Aberdeen_GBR</t>
  </si>
  <si>
    <t>grid node -- way/118821349-275 (Aberdeen, 18 km)</t>
  </si>
  <si>
    <t>e_Ashford_GBR</t>
  </si>
  <si>
    <t>grid node -- way/775577829 (Maidstone, 47 km)</t>
  </si>
  <si>
    <t>e_Basildon_GBR</t>
  </si>
  <si>
    <t>grid node -- way/109189896 (Basildon, 22 km)</t>
  </si>
  <si>
    <t>e_Belfast_GBR</t>
  </si>
  <si>
    <t>grid node -- way/137050527 (Belfast, 29 km)</t>
  </si>
  <si>
    <t>e_Elgin_GBR</t>
  </si>
  <si>
    <t>grid node -- way/568527671 (Aberdeen, 65 km)</t>
  </si>
  <si>
    <t>e_Ipswich_GBR</t>
  </si>
  <si>
    <t>grid node -- way/25422135-400 (Ipswich, 7 km)</t>
  </si>
  <si>
    <t>e_Lerwick_GBR</t>
  </si>
  <si>
    <t>grid node -- way/975637991 (Aberdeen, 353 km)</t>
  </si>
  <si>
    <t>e_Lisburn_GBR</t>
  </si>
  <si>
    <t>grid node -- way/227767019-275 (Belfast, 41 km)</t>
  </si>
  <si>
    <t>e_Liverpool_GBR</t>
  </si>
  <si>
    <t>grid node -- way/375626500 (Liverpool, 20 km)</t>
  </si>
  <si>
    <t>e_Newcastle_GBR</t>
  </si>
  <si>
    <t>grid node -- way/642490160 (Newcastle, 19 km)</t>
  </si>
  <si>
    <t>e_Paisley_GBR</t>
  </si>
  <si>
    <t>grid node -- way/297840585 (Glasgow, 43 km)</t>
  </si>
  <si>
    <t>e_Peterborough_GBR</t>
  </si>
  <si>
    <t>grid node -- way/1078532568 (Peterborough, 39 km)</t>
  </si>
  <si>
    <t>e_Portsmouth_GBR</t>
  </si>
  <si>
    <t>grid node -- way/636630368 (Portsmouth, 8 km)</t>
  </si>
  <si>
    <t>e_Stranraer_GBR</t>
  </si>
  <si>
    <t>grid node -- way/148382435 (Belfast, 80 km)</t>
  </si>
  <si>
    <t>e_Wick_GBR</t>
  </si>
  <si>
    <t>grid node -- way/1262971878 (Aberdeen, 168 km)</t>
  </si>
  <si>
    <t>elc_spv_GBR_001</t>
  </si>
  <si>
    <t>solar electricity near Liverpool (cluster 1)</t>
  </si>
  <si>
    <t>elc_spv_GBR_002</t>
  </si>
  <si>
    <t>solar electricity near Plymouth (cluster 2)</t>
  </si>
  <si>
    <t>elc_spv_GBR_003</t>
  </si>
  <si>
    <t>solar electricity near Abertawe (cluster 3)</t>
  </si>
  <si>
    <t>elc_spv_GBR_004</t>
  </si>
  <si>
    <t>solar electricity near Leeds (cluster 4)</t>
  </si>
  <si>
    <t>elc_spv_GBR_005</t>
  </si>
  <si>
    <t>solar electricity near Norwich (cluster 5)</t>
  </si>
  <si>
    <t>elc_spv_GBR_006</t>
  </si>
  <si>
    <t>solar electricity near London (cluster 6)</t>
  </si>
  <si>
    <t>elc_spv_GBR_007</t>
  </si>
  <si>
    <t>solar electricity near Bristol (cluster 7)</t>
  </si>
  <si>
    <t>elc_spv_GBR_008</t>
  </si>
  <si>
    <t>solar electricity near Wolverhampton (cluster 8)</t>
  </si>
  <si>
    <t>elc_spv_GBR_009</t>
  </si>
  <si>
    <t>solar electricity near Leicester (cluster 9)</t>
  </si>
  <si>
    <t>elc_spv_GBR_010</t>
  </si>
  <si>
    <t>solar electricity near Glasgow (cluster 10)</t>
  </si>
  <si>
    <t>elc_spv_GBR_011</t>
  </si>
  <si>
    <t>solar electricity near Glasgow (cluster 11)</t>
  </si>
  <si>
    <t>elc_spv_GBR_012</t>
  </si>
  <si>
    <t>solar electricity near Aberdeen (cluster 12)</t>
  </si>
  <si>
    <t>elc_spv_GBR_013</t>
  </si>
  <si>
    <t>solar electricity near Aberdeen (cluster 13)</t>
  </si>
  <si>
    <t>elc_spv_GBR_014</t>
  </si>
  <si>
    <t>solar electricity near Aberdeen (cluster 14)</t>
  </si>
  <si>
    <t>elc_spv_GBR_015</t>
  </si>
  <si>
    <t>solar electricity near Aberdeen (cluster 15)</t>
  </si>
  <si>
    <t>elc_spv_GBR_016</t>
  </si>
  <si>
    <t>solar electricity near Glasgow (cluster 16)</t>
  </si>
  <si>
    <t>elc_spv_GBR_017</t>
  </si>
  <si>
    <t>solar electricity near Edinburgh (cluster 17)</t>
  </si>
  <si>
    <t>elc_spv_GBR_018</t>
  </si>
  <si>
    <t>solar electricity near Preston (cluster 18)</t>
  </si>
  <si>
    <t>elc_spv_GBR_019</t>
  </si>
  <si>
    <t>solar electricity near Belfast (cluster 19)</t>
  </si>
  <si>
    <t>elc_spv_GBR_020</t>
  </si>
  <si>
    <t>solar electricity near Glasgow (cluster 20)</t>
  </si>
  <si>
    <t>elc_spv_GBR_021</t>
  </si>
  <si>
    <t>solar electricity near Glasgow (cluster 21)</t>
  </si>
  <si>
    <t>elc_wof_GBR_001</t>
  </si>
  <si>
    <t>wind offshore electricity near Plymouth (cluster 1)</t>
  </si>
  <si>
    <t>elc_wof_GBR_002</t>
  </si>
  <si>
    <t>wind offshore electricity near Portsmouth (cluster 2)</t>
  </si>
  <si>
    <t>elc_wof_GBR_003</t>
  </si>
  <si>
    <t>wind offshore electricity near Ipswich (cluster 3)</t>
  </si>
  <si>
    <t>elc_wof_GBR_004</t>
  </si>
  <si>
    <t>wind offshore electricity near Plymouth (cluster 4)</t>
  </si>
  <si>
    <t>elc_wof_GBR_005</t>
  </si>
  <si>
    <t>wind offshore electricity near Plymouth (cluster 5)</t>
  </si>
  <si>
    <t>elc_wof_GBR_006</t>
  </si>
  <si>
    <t>wind offshore electricity near Plymouth (cluster 6)</t>
  </si>
  <si>
    <t>elc_wof_GBR_007</t>
  </si>
  <si>
    <t>wind offshore electricity near Abertawe (cluster 7)</t>
  </si>
  <si>
    <t>elc_wof_GBR_008</t>
  </si>
  <si>
    <t>wind offshore electricity near Plymouth (cluster 8)</t>
  </si>
  <si>
    <t>elc_wof_GBR_009</t>
  </si>
  <si>
    <t>wind offshore electricity near Glasgow (cluster 9)</t>
  </si>
  <si>
    <t>elc_wof_GBR_010</t>
  </si>
  <si>
    <t>wind offshore electricity near Aberdeen (cluster 10)</t>
  </si>
  <si>
    <t>elc_wof_GBR_011</t>
  </si>
  <si>
    <t>wind offshore electricity near Belfast (cluster 11)</t>
  </si>
  <si>
    <t>elc_wof_GBR_012</t>
  </si>
  <si>
    <t>wind offshore electricity near Glasgow (cluster 12)</t>
  </si>
  <si>
    <t>elc_wof_GBR_013</t>
  </si>
  <si>
    <t>wind offshore electricity near Derry (cluster 13)</t>
  </si>
  <si>
    <t>elc_wof_GBR_014</t>
  </si>
  <si>
    <t>wind offshore electricity near Derry (cluster 14)</t>
  </si>
  <si>
    <t>elc_wof_GBR_015</t>
  </si>
  <si>
    <t>wind offshore electricity near Derry (cluster 15)</t>
  </si>
  <si>
    <t>elc_wof_GBR_016</t>
  </si>
  <si>
    <t>wind offshore electricity near Aberdeen (cluster 16)</t>
  </si>
  <si>
    <t>elc_wof_GBR_017</t>
  </si>
  <si>
    <t>wind offshore electricity near Aberdeen (cluster 17)</t>
  </si>
  <si>
    <t>elc_wof_GBR_018</t>
  </si>
  <si>
    <t>wind offshore electricity near Glasgow (cluster 18)</t>
  </si>
  <si>
    <t>elc_wof_GBR_019</t>
  </si>
  <si>
    <t>wind offshore electricity near Aberdeen (cluster 19)</t>
  </si>
  <si>
    <t>elc_wof_GBR_020</t>
  </si>
  <si>
    <t>wind offshore electricity near Aberdeen (cluster 20)</t>
  </si>
  <si>
    <t>elc_wof_GBR_021</t>
  </si>
  <si>
    <t>wind offshore electricity near Aberdeen (cluster 21)</t>
  </si>
  <si>
    <t>elc_wof_GBR_022</t>
  </si>
  <si>
    <t>wind offshore electricity near Aberdeen (cluster 22)</t>
  </si>
  <si>
    <t>elc_wof_GBR_023</t>
  </si>
  <si>
    <t>wind offshore electricity near Aberdeen (cluster 23)</t>
  </si>
  <si>
    <t>elc_wof_GBR_024</t>
  </si>
  <si>
    <t>wind offshore electricity near Aberdeen (cluster 24)</t>
  </si>
  <si>
    <t>elc_wof_GBR_025</t>
  </si>
  <si>
    <t>wind offshore electricity near Aberdeen (cluster 25)</t>
  </si>
  <si>
    <t>elc_wof_GBR_026</t>
  </si>
  <si>
    <t>wind offshore electricity near Kingston upon Hull (cluster 26)</t>
  </si>
  <si>
    <t>elc_wof_GBR_027</t>
  </si>
  <si>
    <t>wind offshore electricity near Newcastle (cluster 27)</t>
  </si>
  <si>
    <t>elc_wof_GBR_028</t>
  </si>
  <si>
    <t>wind offshore electricity near Newcastle (cluster 28)</t>
  </si>
  <si>
    <t>elc_wof_GBR_029</t>
  </si>
  <si>
    <t>wind offshore electricity near Aberdeen (cluster 29)</t>
  </si>
  <si>
    <t>elc_wof_GBR_030</t>
  </si>
  <si>
    <t>wind offshore electricity near Aberdeen (cluster 30)</t>
  </si>
  <si>
    <t>elc_wof_GBR_031</t>
  </si>
  <si>
    <t>wind offshore electricity near Edinburgh (cluster 31)</t>
  </si>
  <si>
    <t>elc_wof_GBR_032</t>
  </si>
  <si>
    <t>wind offshore electricity near Aberdeen (cluster 32)</t>
  </si>
  <si>
    <t>elc_wof_GBR_033</t>
  </si>
  <si>
    <t>wind offshore electricity near Aberdeen (cluster 33)</t>
  </si>
  <si>
    <t>elc_wof_GBR_034</t>
  </si>
  <si>
    <t>wind offshore electricity near Aberdeen (cluster 34)</t>
  </si>
  <si>
    <t>elc_won_GBR_001</t>
  </si>
  <si>
    <t>wind onshore electricity near Liverpool (cluster 1)</t>
  </si>
  <si>
    <t>elc_won_GBR_002</t>
  </si>
  <si>
    <t>wind onshore electricity near Abertawe (cluster 2)</t>
  </si>
  <si>
    <t>elc_won_GBR_003</t>
  </si>
  <si>
    <t>wind onshore electricity near Leeds (cluster 3)</t>
  </si>
  <si>
    <t>elc_won_GBR_004</t>
  </si>
  <si>
    <t>wind onshore electricity near Manchester (cluster 4)</t>
  </si>
  <si>
    <t>elc_won_GBR_005</t>
  </si>
  <si>
    <t>wind onshore electricity near Telford (cluster 5)</t>
  </si>
  <si>
    <t>elc_won_GBR_006</t>
  </si>
  <si>
    <t>wind onshore electricity near Plymouth (cluster 6)</t>
  </si>
  <si>
    <t>elc_won_GBR_007</t>
  </si>
  <si>
    <t>wind onshore electricity near Bristol (cluster 7)</t>
  </si>
  <si>
    <t>elc_won_GBR_008</t>
  </si>
  <si>
    <t>wind onshore electricity near Brighton (cluster 8)</t>
  </si>
  <si>
    <t>elc_won_GBR_009</t>
  </si>
  <si>
    <t>wind onshore electricity near London (cluster 9)</t>
  </si>
  <si>
    <t>elc_won_GBR_010</t>
  </si>
  <si>
    <t>wind onshore electricity near Belfast (cluster 10)</t>
  </si>
  <si>
    <t>elc_won_GBR_011</t>
  </si>
  <si>
    <t>wind onshore electricity near Belfast (cluster 11)</t>
  </si>
  <si>
    <t>elc_won_GBR_012</t>
  </si>
  <si>
    <t>wind onshore electricity near Edinburgh (cluster 12)</t>
  </si>
  <si>
    <t>elc_won_GBR_013</t>
  </si>
  <si>
    <t>wind onshore electricity near Aberdeen (cluster 13)</t>
  </si>
  <si>
    <t>elc_won_GBR_014</t>
  </si>
  <si>
    <t>wind onshore electricity near Glasgow (cluster 14)</t>
  </si>
  <si>
    <t>elc_won_GBR_015</t>
  </si>
  <si>
    <t>wind onshore electricity near Newcastle (cluster 15)</t>
  </si>
  <si>
    <t>elc_won_GBR_016</t>
  </si>
  <si>
    <t>wind onshore electricity near Glasgow (cluster 16)</t>
  </si>
  <si>
    <t>elc_won_GBR_017</t>
  </si>
  <si>
    <t>wind onshore electricity near Glasgow (cluster 17)</t>
  </si>
  <si>
    <t>elc_won_GBR_018</t>
  </si>
  <si>
    <t>wind onshore electricity near Aberdeen (cluster 18)</t>
  </si>
  <si>
    <t>elc_won_GBR_019</t>
  </si>
  <si>
    <t>wind onshore electricity near Aberdeen (cluster 19)</t>
  </si>
  <si>
    <t>elc_won_GBR_020</t>
  </si>
  <si>
    <t>wind onshore electricity near Glasgow (cluster 20)</t>
  </si>
  <si>
    <t>elc_won_GBR_021</t>
  </si>
  <si>
    <t>wind onshore electricity near Glasgow (cluster 21)</t>
  </si>
  <si>
    <t>h_Amsterdam_NLD</t>
  </si>
  <si>
    <t>NLD</t>
  </si>
  <si>
    <t>heat at grid node -- way/308181656-380 (Amsterdam, 18 km)</t>
  </si>
  <si>
    <t>h_Apeldoorn_NLD</t>
  </si>
  <si>
    <t>heat at grid node -- way/87354306-380 (Zwolle, 6 km)</t>
  </si>
  <si>
    <t>h_Eindhoven_NLD</t>
  </si>
  <si>
    <t>heat at grid node -- way/162179284-380 (Tilburg, 33 km)</t>
  </si>
  <si>
    <t>h_Enschede_NLD</t>
  </si>
  <si>
    <t>heat at grid node -- way/83423799-380 (Enschede, 10 km)</t>
  </si>
  <si>
    <t>h_Groningen_NLD</t>
  </si>
  <si>
    <t>heat at grid node -- way/655858864 (Groningen, 31 km)</t>
  </si>
  <si>
    <t>h_Hoogezand_NLD</t>
  </si>
  <si>
    <t>heat at grid node -- way/167695568-380 (Groningen, 28 km)</t>
  </si>
  <si>
    <t>h_Leeuwarden_NLD</t>
  </si>
  <si>
    <t>heat at grid node -- way/1099434374-220 (Leeuwarden, 6 km)</t>
  </si>
  <si>
    <t>h_Maastricht_NLD</t>
  </si>
  <si>
    <t>heat at grid node -- way/162176187-380 (Maastricht, 35 km)</t>
  </si>
  <si>
    <t>h_Nijmegen_NLD</t>
  </si>
  <si>
    <t>heat at grid node -- way/723528920-380 (Nijmegen, 31 km)</t>
  </si>
  <si>
    <t>h_Roosendaal_NLD</t>
  </si>
  <si>
    <t>heat at grid node -- way/577158336-380 (Roosendaal, 20 km)</t>
  </si>
  <si>
    <t>h_Rotterdam_NLD</t>
  </si>
  <si>
    <t>heat at grid node -- way/920127890 (Rotterdam, 32 km)</t>
  </si>
  <si>
    <t>h_Tilburg_NLD</t>
  </si>
  <si>
    <t>heat at grid node -- way/23096966-380 (Tilburg, 24 km)</t>
  </si>
  <si>
    <t>h_Veendam_NLD</t>
  </si>
  <si>
    <t>heat at grid node -- way/158601617 (Groningen, 31 km)</t>
  </si>
  <si>
    <t>e_Amsterdam_NLD</t>
  </si>
  <si>
    <t>grid node -- way/308181656-380 (Amsterdam, 18 km)</t>
  </si>
  <si>
    <t>e_Apeldoorn_NLD</t>
  </si>
  <si>
    <t>grid node -- way/87354306-380 (Zwolle, 6 km)</t>
  </si>
  <si>
    <t>e_Eindhoven_NLD</t>
  </si>
  <si>
    <t>grid node -- way/162179284-380 (Tilburg, 33 km)</t>
  </si>
  <si>
    <t>e_Enschede_NLD</t>
  </si>
  <si>
    <t>grid node -- way/83423799-380 (Enschede, 10 km)</t>
  </si>
  <si>
    <t>e_Groningen_NLD</t>
  </si>
  <si>
    <t>grid node -- way/655858864 (Groningen, 31 km)</t>
  </si>
  <si>
    <t>e_Hoogezand_NLD</t>
  </si>
  <si>
    <t>grid node -- way/167695568-380 (Groningen, 28 km)</t>
  </si>
  <si>
    <t>e_Leeuwarden_NLD</t>
  </si>
  <si>
    <t>grid node -- way/1099434374-220 (Leeuwarden, 6 km)</t>
  </si>
  <si>
    <t>e_Maastricht_NLD</t>
  </si>
  <si>
    <t>grid node -- way/162176187-380 (Maastricht, 35 km)</t>
  </si>
  <si>
    <t>e_Nijmegen_NLD</t>
  </si>
  <si>
    <t>grid node -- way/723528920-380 (Nijmegen, 31 km)</t>
  </si>
  <si>
    <t>e_Roosendaal_NLD</t>
  </si>
  <si>
    <t>grid node -- way/577158336-380 (Roosendaal, 20 km)</t>
  </si>
  <si>
    <t>e_Rotterdam_NLD</t>
  </si>
  <si>
    <t>grid node -- way/920127890 (Rotterdam, 32 km)</t>
  </si>
  <si>
    <t>e_Tilburg_NLD</t>
  </si>
  <si>
    <t>grid node -- way/23096966-380 (Tilburg, 24 km)</t>
  </si>
  <si>
    <t>e_Veendam_NLD</t>
  </si>
  <si>
    <t>grid node -- way/158601617 (Groningen, 31 km)</t>
  </si>
  <si>
    <t>elc_spv_NLD_001</t>
  </si>
  <si>
    <t>solar electricity near Almere (cluster 1)</t>
  </si>
  <si>
    <t>elc_spv_NLD_002</t>
  </si>
  <si>
    <t>solar electricity near Groningen (cluster 2)</t>
  </si>
  <si>
    <t>elc_spv_NLD_003</t>
  </si>
  <si>
    <t>solar electricity near Roosendaal (cluster 3)</t>
  </si>
  <si>
    <t>elc_spv_NLD_004</t>
  </si>
  <si>
    <t>solar electricity near Bergen op Zoom (cluster 4)</t>
  </si>
  <si>
    <t>elc_spv_NLD_005</t>
  </si>
  <si>
    <t>solar electricity near Tilburg (cluster 5)</t>
  </si>
  <si>
    <t>elc_spv_NLD_006</t>
  </si>
  <si>
    <t>solar electricity near Utrecht (cluster 6)</t>
  </si>
  <si>
    <t>elc_spv_NLD_007</t>
  </si>
  <si>
    <t>solar electricity near Enschede (cluster 7)</t>
  </si>
  <si>
    <t>elc_spv_NLD_008</t>
  </si>
  <si>
    <t>solar electricity near Nijmegen (cluster 8)</t>
  </si>
  <si>
    <t>elc_spv_NLD_009</t>
  </si>
  <si>
    <t>solar electricity near Maastricht (cluster 9)</t>
  </si>
  <si>
    <t>elc_spv_NLD_010</t>
  </si>
  <si>
    <t>solar electricity near Eindhoven (cluster 10)</t>
  </si>
  <si>
    <t>elc_wof_NLD_001</t>
  </si>
  <si>
    <t>wind offshore electricity near Rotterdam (cluster 1)</t>
  </si>
  <si>
    <t>elc_wof_NLD_002</t>
  </si>
  <si>
    <t>wind offshore electricity near Alkmaar (cluster 2)</t>
  </si>
  <si>
    <t>elc_wof_NLD_003</t>
  </si>
  <si>
    <t>wind offshore electricity near Alkmaar (cluster 3)</t>
  </si>
  <si>
    <t>elc_wof_NLD_004</t>
  </si>
  <si>
    <t>wind offshore electricity near Leeuwarden (cluster 4)</t>
  </si>
  <si>
    <t>elc_wof_NLD_005</t>
  </si>
  <si>
    <t>wind offshore electricity near Groningen (cluster 5)</t>
  </si>
  <si>
    <t>elc_won_NLD_001</t>
  </si>
  <si>
    <t>wind onshore electricity near Nijmegen (cluster 1)</t>
  </si>
  <si>
    <t>elc_won_NLD_002</t>
  </si>
  <si>
    <t>wind onshore electricity near Maastricht (cluster 2)</t>
  </si>
  <si>
    <t>elc_won_NLD_003</t>
  </si>
  <si>
    <t>wind onshore electricity near Tilburg (cluster 3)</t>
  </si>
  <si>
    <t>elc_won_NLD_004</t>
  </si>
  <si>
    <t>wind onshore electricity near Bergen op Zoom (cluster 4)</t>
  </si>
  <si>
    <t>elc_won_NLD_005</t>
  </si>
  <si>
    <t>wind onshore electricity near Groningen (cluster 5)</t>
  </si>
  <si>
    <t>elc_won_NLD_006</t>
  </si>
  <si>
    <t>wind onshore electricity near Leeuwarden (cluster 6)</t>
  </si>
  <si>
    <t>elc_won_NLD_007</t>
  </si>
  <si>
    <t>wind onshore electricity near Zaanstad (cluster 7)</t>
  </si>
  <si>
    <t>elc_won_NLD_008</t>
  </si>
  <si>
    <t>wind onshore electricity near Zwolle (cluster 8)</t>
  </si>
  <si>
    <t>elc_won_NLD_009</t>
  </si>
  <si>
    <t>wind onshore electricity near Amsterdam (cluster 9)</t>
  </si>
  <si>
    <t>elc_won_NLD_010</t>
  </si>
  <si>
    <t>wind onshore electricity near Roosendaal (cluster 10)</t>
  </si>
  <si>
    <t>h_Arlon_BEL</t>
  </si>
  <si>
    <t>BEL</t>
  </si>
  <si>
    <t>heat at grid node -- way/121085952-225 (Charleroi, 135 km)</t>
  </si>
  <si>
    <t>h_Aubange_BEL</t>
  </si>
  <si>
    <t>heat at grid node -- way/121085952-220 (Charleroi, 135 km)</t>
  </si>
  <si>
    <t>h_Bruges_BEL</t>
  </si>
  <si>
    <t>heat at grid node -- way/500788534 (Bruges, 6 km)</t>
  </si>
  <si>
    <t>h_Brussels_BEL</t>
  </si>
  <si>
    <t>heat at grid node -- way/23151789-380 (Brussels, 35 km)</t>
  </si>
  <si>
    <t>h_Charleroi_BEL</t>
  </si>
  <si>
    <t>heat at grid node -- way/103455240-225 (Charleroi, 6 km)</t>
  </si>
  <si>
    <t>h_Gent_BEL</t>
  </si>
  <si>
    <t>heat at grid node -- way/495688597-380 (Gent, 11 km)</t>
  </si>
  <si>
    <t>h_Hasselt_BEL</t>
  </si>
  <si>
    <t>heat at grid node -- way/124703985-380 (Liege, 55 km)</t>
  </si>
  <si>
    <t>h_Kortrijk_BEL</t>
  </si>
  <si>
    <t>heat at grid node -- way/87529551-400 (Gent, 35 km)</t>
  </si>
  <si>
    <t>h_Liege_BEL</t>
  </si>
  <si>
    <t>heat at grid node -- way/87772591-380 (Liege, 25 km)</t>
  </si>
  <si>
    <t>h_Namur_BEL</t>
  </si>
  <si>
    <t>heat at grid node -- way/88373135-400 (Charleroi, 47 km)</t>
  </si>
  <si>
    <t>h_Seraing_BEL</t>
  </si>
  <si>
    <t>heat at grid node -- way/88799384-380 (Liege, 35 km)</t>
  </si>
  <si>
    <t>e_Arlon_BEL</t>
  </si>
  <si>
    <t>grid node -- way/121085952-225 (Charleroi, 135 km)</t>
  </si>
  <si>
    <t>e_Aubange_BEL</t>
  </si>
  <si>
    <t>grid node -- way/121085952-220 (Charleroi, 135 km)</t>
  </si>
  <si>
    <t>e_Bruges_BEL</t>
  </si>
  <si>
    <t>grid node -- way/500788534 (Bruges, 6 km)</t>
  </si>
  <si>
    <t>e_Brussels_BEL</t>
  </si>
  <si>
    <t>grid node -- way/23151789-380 (Brussels, 35 km)</t>
  </si>
  <si>
    <t>e_Charleroi_BEL</t>
  </si>
  <si>
    <t>grid node -- way/103455240-225 (Charleroi, 6 km)</t>
  </si>
  <si>
    <t>e_Gent_BEL</t>
  </si>
  <si>
    <t>grid node -- way/495688597-380 (Gent, 11 km)</t>
  </si>
  <si>
    <t>e_Hasselt_BEL</t>
  </si>
  <si>
    <t>grid node -- way/124703985-380 (Liege, 55 km)</t>
  </si>
  <si>
    <t>e_Kortrijk_BEL</t>
  </si>
  <si>
    <t>grid node -- way/87529551-400 (Gent, 35 km)</t>
  </si>
  <si>
    <t>e_Liege_BEL</t>
  </si>
  <si>
    <t>grid node -- way/87772591-380 (Liege, 25 km)</t>
  </si>
  <si>
    <t>e_Namur_BEL</t>
  </si>
  <si>
    <t>grid node -- way/88373135-400 (Charleroi, 47 km)</t>
  </si>
  <si>
    <t>e_Seraing_BEL</t>
  </si>
  <si>
    <t>grid node -- way/88799384-380 (Liege, 35 km)</t>
  </si>
  <si>
    <t>elc_spv_BEL_001</t>
  </si>
  <si>
    <t>solar electricity near Charleroi (cluster 1)</t>
  </si>
  <si>
    <t>elc_spv_BEL_002</t>
  </si>
  <si>
    <t>solar electricity near Mons (cluster 2)</t>
  </si>
  <si>
    <t>elc_spv_BEL_003</t>
  </si>
  <si>
    <t>solar electricity near Brussels (cluster 3)</t>
  </si>
  <si>
    <t>elc_spv_BEL_004</t>
  </si>
  <si>
    <t>solar electricity near Kortrijk (cluster 4)</t>
  </si>
  <si>
    <t>elc_spv_BEL_005</t>
  </si>
  <si>
    <t>solar electricity near Brussels (cluster 5)</t>
  </si>
  <si>
    <t>elc_spv_BEL_006</t>
  </si>
  <si>
    <t>solar electricity near Liege (cluster 6)</t>
  </si>
  <si>
    <t>elc_spv_BEL_007</t>
  </si>
  <si>
    <t>solar electricity near Charleroi (cluster 7)</t>
  </si>
  <si>
    <t>elc_spv_BEL_008</t>
  </si>
  <si>
    <t>solar electricity near Liege (cluster 8)</t>
  </si>
  <si>
    <t>elc_spv_BEL_009</t>
  </si>
  <si>
    <t>solar electricity near Antwerp (cluster 9)</t>
  </si>
  <si>
    <t>elc_spv_BEL_010</t>
  </si>
  <si>
    <t>solar electricity near Liege (cluster 10)</t>
  </si>
  <si>
    <t>elc_won_BEL_001</t>
  </si>
  <si>
    <t>wind onshore electricity near Gent (cluster 1)</t>
  </si>
  <si>
    <t>elc_won_BEL_002</t>
  </si>
  <si>
    <t>wind onshore electricity near Kortrijk (cluster 2)</t>
  </si>
  <si>
    <t>elc_won_BEL_003</t>
  </si>
  <si>
    <t>wind onshore electricity near Charleroi (cluster 3)</t>
  </si>
  <si>
    <t>elc_won_BEL_004</t>
  </si>
  <si>
    <t>wind onshore electricity near Liege (cluster 4)</t>
  </si>
  <si>
    <t>elc_won_BEL_005</t>
  </si>
  <si>
    <t>wind onshore electricity near Brussels (cluster 5)</t>
  </si>
  <si>
    <t>elc_won_BEL_006</t>
  </si>
  <si>
    <t>wind onshore electricity near Liege (cluster 6)</t>
  </si>
  <si>
    <t>elc_won_BEL_007</t>
  </si>
  <si>
    <t>wind onshore electricity near Liege (cluster 7)</t>
  </si>
  <si>
    <t>elc_won_BEL_008</t>
  </si>
  <si>
    <t>wind onshore electricity near Liege (cluster 8)</t>
  </si>
  <si>
    <t>elc_won_BEL_009</t>
  </si>
  <si>
    <t>wind onshore electricity near Brussels (cluster 9)</t>
  </si>
  <si>
    <t>elc_won_BEL_010</t>
  </si>
  <si>
    <t>wind onshore electricity near Charleroi (cluster 10)</t>
  </si>
  <si>
    <t>h_Amberg_DEU</t>
  </si>
  <si>
    <t>DEU</t>
  </si>
  <si>
    <t>heat at grid node -- way/29084374-380 (Nuremberg, 77 km)</t>
  </si>
  <si>
    <t>h_Bautzen_DEU</t>
  </si>
  <si>
    <t>heat at grid node -- way/157806991-380 (Dresden, 67 km)</t>
  </si>
  <si>
    <t>h_Chemnitz_DEU</t>
  </si>
  <si>
    <t>heat at grid node -- way/943135226-380 (Chemnitz, 8 km)</t>
  </si>
  <si>
    <t>h_Cologne_DEU</t>
  </si>
  <si>
    <t>heat at grid node -- way/24839976-380 (Cologne, 19 km)</t>
  </si>
  <si>
    <t>h_Donaueschingen_DEU</t>
  </si>
  <si>
    <t>heat at grid node -- way/31367940-380 (Freiburg im Breisgau, 50 km)</t>
  </si>
  <si>
    <t>h_Duisburg_DEU</t>
  </si>
  <si>
    <t>heat at grid node -- DE62-380 (Duisburg, 39 km)</t>
  </si>
  <si>
    <t>h_Eisenhuttenstadt_DEU</t>
  </si>
  <si>
    <t>heat at grid node -- way/941198517-380 (Cottbus, 16 km)</t>
  </si>
  <si>
    <t>h_Elmshorn_DEU</t>
  </si>
  <si>
    <t>heat at grid node -- way/525964617 (Norderstedt, 50 km)</t>
  </si>
  <si>
    <t>h_Emden_DEU</t>
  </si>
  <si>
    <t>heat at grid node -- way/1280840211-380 (Emden, 28 km)</t>
  </si>
  <si>
    <t>h_Emmendingen_DEU</t>
  </si>
  <si>
    <t>heat at grid node -- way/87653464-220 (Freiburg im Breisgau, 13 km)</t>
  </si>
  <si>
    <t>h_Flensburg_DEU</t>
  </si>
  <si>
    <t>heat at grid node -- way/449010725-380 (Flensburg, 10 km)</t>
  </si>
  <si>
    <t>h_FreiburgImBreisgau_DEU</t>
  </si>
  <si>
    <t>heat at grid node -- way/87653464-400 (Freiburg im Breisgau, 13 km)</t>
  </si>
  <si>
    <t>h_Friedrichshafen_DEU</t>
  </si>
  <si>
    <t>heat at grid node -- way/31131320-380 (Konstanz, 46 km)</t>
  </si>
  <si>
    <t>h_Gorlitz_DEU</t>
  </si>
  <si>
    <t>heat at grid node -- way/59026005-380 (Gorlitz, 10 km)</t>
  </si>
  <si>
    <t>h_Gustrow_DEU</t>
  </si>
  <si>
    <t>heat at grid node -- way/940919943 (Rostock, 6 km)</t>
  </si>
  <si>
    <t>h_Hamburg_DEU</t>
  </si>
  <si>
    <t>heat at grid node -- way/1089911133-380 (Hamburg, 31 km)</t>
  </si>
  <si>
    <t>h_Jena_DEU</t>
  </si>
  <si>
    <t>heat at grid node -- way/143882655-380 (Jena, 33 km)</t>
  </si>
  <si>
    <t>h_Kempten_DEU</t>
  </si>
  <si>
    <t>heat at grid node -- way/57727004-220 (Kempten, 3 km)</t>
  </si>
  <si>
    <t>h_Konz_DEU</t>
  </si>
  <si>
    <t>heat at grid node -- way/89176939-220 (Trier, 38 km)</t>
  </si>
  <si>
    <t>h_Lorrach_DEU</t>
  </si>
  <si>
    <t>heat at grid node -- way/88916034-380 (Freiburg im Breisgau, 45 km)</t>
  </si>
  <si>
    <t>h_Lubeck_DEU</t>
  </si>
  <si>
    <t>heat at grid node -- way/275466323 (Lubeck, 8 km)</t>
  </si>
  <si>
    <t>h_Magdeburg_DEU</t>
  </si>
  <si>
    <t>heat at grid node -- way/26472665-380 (Magdeburg, 15 km)</t>
  </si>
  <si>
    <t>h_Muhldorf_DEU</t>
  </si>
  <si>
    <t>heat at grid node -- DE206-220 (Landshut, 73 km)</t>
  </si>
  <si>
    <t>h_Offenburg_DEU</t>
  </si>
  <si>
    <t>heat at grid node -- way/82130902-225 (Karlsruhe, 51 km)</t>
  </si>
  <si>
    <t>h_Oldenburg_DEU</t>
  </si>
  <si>
    <t>heat at grid node -- way/1128250707-380 (Oldenburg, 24 km)</t>
  </si>
  <si>
    <t>h_Radebeul_DEU</t>
  </si>
  <si>
    <t>heat at grid node -- way/157328339-380 (Leipzig, 70 km)</t>
  </si>
  <si>
    <t>h_Ravensburg_DEU</t>
  </si>
  <si>
    <t>heat at grid node -- way/25306752-220 (Ulm, 56 km)</t>
  </si>
  <si>
    <t>h_Rheine_DEU</t>
  </si>
  <si>
    <t>heat at grid node -- way/952346322-380 (Rheine, 29 km)</t>
  </si>
  <si>
    <t>h_RheinfeldenBaden_DEU</t>
  </si>
  <si>
    <t>heat at grid node -- way/88916034-220 (Freiburg im Breisgau, 45 km)</t>
  </si>
  <si>
    <t>h_Saarbrucken_DEU</t>
  </si>
  <si>
    <t>heat at grid node -- way/82773910-400 (Saarbrucken, 18 km)</t>
  </si>
  <si>
    <t>h_SchwedtOder_DEU</t>
  </si>
  <si>
    <t>heat at grid node -- way/170123812-400 (Berlin, 87 km)</t>
  </si>
  <si>
    <t>h_Trier_DEU</t>
  </si>
  <si>
    <t>heat at grid node -- DE173-220 (Trier, 5 km)</t>
  </si>
  <si>
    <t>h_Ulm_DEU</t>
  </si>
  <si>
    <t>heat at grid node -- DE205-380 (Ulm, 15 km)</t>
  </si>
  <si>
    <t>h_VillingenSchwennin_DEU</t>
  </si>
  <si>
    <t>heat at grid node -- DE209-380 (Villingen-Schwenningen, 17 km)</t>
  </si>
  <si>
    <t>h_WaldshutTiengen_DEU</t>
  </si>
  <si>
    <t>heat at grid node -- way/31367940-220 (Freiburg im Breisgau, 50 km)</t>
  </si>
  <si>
    <t>h_Weilheim_DEU</t>
  </si>
  <si>
    <t>heat at grid node -- way/68532663-220 (Munich, 75 km)</t>
  </si>
  <si>
    <t>h_Wurzburg_DEU</t>
  </si>
  <si>
    <t>heat at grid node -- way/108797675-380 (Wurzburg, 29 km)</t>
  </si>
  <si>
    <t>e_Amberg_DEU</t>
  </si>
  <si>
    <t>grid node -- way/29084374-380 (Nuremberg, 77 km)</t>
  </si>
  <si>
    <t>e_Bautzen_DEU</t>
  </si>
  <si>
    <t>grid node -- way/157806991-380 (Dresden, 67 km)</t>
  </si>
  <si>
    <t>e_Chemnitz_DEU</t>
  </si>
  <si>
    <t>grid node -- way/943135226-380 (Chemnitz, 8 km)</t>
  </si>
  <si>
    <t>e_Cologne_DEU</t>
  </si>
  <si>
    <t>grid node -- way/24839976-380 (Cologne, 19 km)</t>
  </si>
  <si>
    <t>e_Donaueschingen_DEU</t>
  </si>
  <si>
    <t>grid node -- way/31367940-380 (Freiburg im Breisgau, 50 km)</t>
  </si>
  <si>
    <t>e_Duisburg_DEU</t>
  </si>
  <si>
    <t>grid node -- DE62-380 (Duisburg, 39 km)</t>
  </si>
  <si>
    <t>e_Eisenhuttenstadt_DEU</t>
  </si>
  <si>
    <t>grid node -- way/941198517-380 (Cottbus, 16 km)</t>
  </si>
  <si>
    <t>e_Elmshorn_DEU</t>
  </si>
  <si>
    <t>grid node -- way/525964617 (Norderstedt, 50 km)</t>
  </si>
  <si>
    <t>e_Emden_DEU</t>
  </si>
  <si>
    <t>grid node -- way/1280840211-380 (Emden, 28 km)</t>
  </si>
  <si>
    <t>e_Emmendingen_DEU</t>
  </si>
  <si>
    <t>grid node -- way/87653464-220 (Freiburg im Breisgau, 13 km)</t>
  </si>
  <si>
    <t>e_Flensburg_DEU</t>
  </si>
  <si>
    <t>grid node -- way/449010725-380 (Flensburg, 10 km)</t>
  </si>
  <si>
    <t>e_FreiburgImBreisgau_DEU</t>
  </si>
  <si>
    <t>grid node -- way/87653464-400 (Freiburg im Breisgau, 13 km)</t>
  </si>
  <si>
    <t>e_Friedrichshafen_DEU</t>
  </si>
  <si>
    <t>grid node -- way/31131320-380 (Konstanz, 46 km)</t>
  </si>
  <si>
    <t>e_Gorlitz_DEU</t>
  </si>
  <si>
    <t>grid node -- way/59026005-380 (Gorlitz, 10 km)</t>
  </si>
  <si>
    <t>e_Gustrow_DEU</t>
  </si>
  <si>
    <t>grid node -- way/940919943 (Rostock, 6 km)</t>
  </si>
  <si>
    <t>e_Hamburg_DEU</t>
  </si>
  <si>
    <t>grid node -- way/1089911133-380 (Hamburg, 31 km)</t>
  </si>
  <si>
    <t>e_Jena_DEU</t>
  </si>
  <si>
    <t>grid node -- way/143882655-380 (Jena, 33 km)</t>
  </si>
  <si>
    <t>e_Kempten_DEU</t>
  </si>
  <si>
    <t>grid node -- way/57727004-220 (Kempten, 3 km)</t>
  </si>
  <si>
    <t>e_Konz_DEU</t>
  </si>
  <si>
    <t>grid node -- way/89176939-220 (Trier, 38 km)</t>
  </si>
  <si>
    <t>e_Lorrach_DEU</t>
  </si>
  <si>
    <t>grid node -- way/88916034-380 (Freiburg im Breisgau, 45 km)</t>
  </si>
  <si>
    <t>e_Lubeck_DEU</t>
  </si>
  <si>
    <t>grid node -- way/275466323 (Lubeck, 8 km)</t>
  </si>
  <si>
    <t>e_Magdeburg_DEU</t>
  </si>
  <si>
    <t>grid node -- way/26472665-380 (Magdeburg, 15 km)</t>
  </si>
  <si>
    <t>e_Muhldorf_DEU</t>
  </si>
  <si>
    <t>grid node -- DE206-220 (Landshut, 73 km)</t>
  </si>
  <si>
    <t>e_Offenburg_DEU</t>
  </si>
  <si>
    <t>grid node -- way/82130902-225 (Karlsruhe, 51 km)</t>
  </si>
  <si>
    <t>e_Oldenburg_DEU</t>
  </si>
  <si>
    <t>grid node -- way/1128250707-380 (Oldenburg, 24 km)</t>
  </si>
  <si>
    <t>e_Radebeul_DEU</t>
  </si>
  <si>
    <t>grid node -- way/157328339-380 (Leipzig, 70 km)</t>
  </si>
  <si>
    <t>e_Ravensburg_DEU</t>
  </si>
  <si>
    <t>grid node -- way/25306752-220 (Ulm, 56 km)</t>
  </si>
  <si>
    <t>e_Rheine_DEU</t>
  </si>
  <si>
    <t>grid node -- way/952346322-380 (Rheine, 29 km)</t>
  </si>
  <si>
    <t>e_RheinfeldenBaden_DEU</t>
  </si>
  <si>
    <t>grid node -- way/88916034-220 (Freiburg im Breisgau, 45 km)</t>
  </si>
  <si>
    <t>e_Saarbrucken_DEU</t>
  </si>
  <si>
    <t>grid node -- way/82773910-400 (Saarbrucken, 18 km)</t>
  </si>
  <si>
    <t>e_SchwedtOder_DEU</t>
  </si>
  <si>
    <t>grid node -- way/170123812-400 (Berlin, 87 km)</t>
  </si>
  <si>
    <t>e_Trier_DEU</t>
  </si>
  <si>
    <t>grid node -- DE173-220 (Trier, 5 km)</t>
  </si>
  <si>
    <t>e_Ulm_DEU</t>
  </si>
  <si>
    <t>grid node -- DE205-380 (Ulm, 15 km)</t>
  </si>
  <si>
    <t>e_VillingenSchwennin_DEU</t>
  </si>
  <si>
    <t>grid node -- DE209-380 (Villingen-Schwenningen, 17 km)</t>
  </si>
  <si>
    <t>e_WaldshutTiengen_DEU</t>
  </si>
  <si>
    <t>grid node -- way/31367940-220 (Freiburg im Breisgau, 50 km)</t>
  </si>
  <si>
    <t>e_Weilheim_DEU</t>
  </si>
  <si>
    <t>grid node -- way/68532663-220 (Munich, 75 km)</t>
  </si>
  <si>
    <t>e_Wurzburg_DEU</t>
  </si>
  <si>
    <t>grid node -- way/108797675-380 (Wurzburg, 29 km)</t>
  </si>
  <si>
    <t>elc_spv_DEU_001</t>
  </si>
  <si>
    <t>solar electricity near Braunschweig (cluster 1)</t>
  </si>
  <si>
    <t>elc_spv_DEU_002</t>
  </si>
  <si>
    <t>solar electricity near Brandenburg (cluster 2)</t>
  </si>
  <si>
    <t>elc_spv_DEU_003</t>
  </si>
  <si>
    <t>solar electricity near Dresden (cluster 3)</t>
  </si>
  <si>
    <t>elc_spv_DEU_004</t>
  </si>
  <si>
    <t>solar electricity near Leipzig (cluster 4)</t>
  </si>
  <si>
    <t>elc_spv_DEU_005</t>
  </si>
  <si>
    <t>solar electricity near Chemnitz (cluster 5)</t>
  </si>
  <si>
    <t>elc_spv_DEU_006</t>
  </si>
  <si>
    <t>solar electricity near Berlin (cluster 6)</t>
  </si>
  <si>
    <t>elc_spv_DEU_007</t>
  </si>
  <si>
    <t>solar electricity near Rostock (cluster 7)</t>
  </si>
  <si>
    <t>elc_spv_DEU_008</t>
  </si>
  <si>
    <t>solar electricity near Greifswald (cluster 8)</t>
  </si>
  <si>
    <t>elc_spv_DEU_009</t>
  </si>
  <si>
    <t>solar electricity near Hamburg (cluster 9)</t>
  </si>
  <si>
    <t>elc_spv_DEU_010</t>
  </si>
  <si>
    <t>solar electricity near Bremen (cluster 10)</t>
  </si>
  <si>
    <t>elc_spv_DEU_011</t>
  </si>
  <si>
    <t>solar electricity near Kiel (cluster 11)</t>
  </si>
  <si>
    <t>elc_spv_DEU_012</t>
  </si>
  <si>
    <t>solar electricity near Oldenburg (cluster 12)</t>
  </si>
  <si>
    <t>elc_spv_DEU_013</t>
  </si>
  <si>
    <t>solar electricity near Konstanz (cluster 13)</t>
  </si>
  <si>
    <t>elc_spv_DEU_014</t>
  </si>
  <si>
    <t>solar electricity near Aalen (cluster 14)</t>
  </si>
  <si>
    <t>elc_spv_DEU_015</t>
  </si>
  <si>
    <t>solar electricity near Regensburg (cluster 15)</t>
  </si>
  <si>
    <t>elc_spv_DEU_016</t>
  </si>
  <si>
    <t>solar electricity near Munich (cluster 16)</t>
  </si>
  <si>
    <t>elc_spv_DEU_017</t>
  </si>
  <si>
    <t>solar electricity near Cologne (cluster 17)</t>
  </si>
  <si>
    <t>elc_spv_DEU_018</t>
  </si>
  <si>
    <t>solar electricity near Munster (cluster 18)</t>
  </si>
  <si>
    <t>elc_spv_DEU_019</t>
  </si>
  <si>
    <t>solar electricity near Bielefeld (cluster 19)</t>
  </si>
  <si>
    <t>elc_spv_DEU_020</t>
  </si>
  <si>
    <t>solar electricity near Kassel (cluster 20)</t>
  </si>
  <si>
    <t>elc_spv_DEU_021</t>
  </si>
  <si>
    <t>solar electricity near Wurzburg (cluster 21)</t>
  </si>
  <si>
    <t>elc_spv_DEU_022</t>
  </si>
  <si>
    <t>solar electricity near Kaiserslautern (cluster 22)</t>
  </si>
  <si>
    <t>elc_spv_DEU_023</t>
  </si>
  <si>
    <t>solar electricity near Kaiserslautern (cluster 23)</t>
  </si>
  <si>
    <t>elc_wof_DEU_001</t>
  </si>
  <si>
    <t>wind offshore electricity near Wilhelmshaven (cluster 1)</t>
  </si>
  <si>
    <t>elc_wof_DEU_002</t>
  </si>
  <si>
    <t>wind offshore electricity near Bremerhaven (cluster 2)</t>
  </si>
  <si>
    <t>elc_wof_DEU_003</t>
  </si>
  <si>
    <t>wind offshore electricity near Bremerhaven (cluster 3)</t>
  </si>
  <si>
    <t>elc_wof_DEU_004</t>
  </si>
  <si>
    <t>wind offshore electricity near Wilhelmshaven (cluster 4)</t>
  </si>
  <si>
    <t>elc_wof_DEU_005</t>
  </si>
  <si>
    <t>wind offshore electricity near Bremerhaven (cluster 5)</t>
  </si>
  <si>
    <t>elc_wof_DEU_006</t>
  </si>
  <si>
    <t>wind offshore electricity near Greifswald (cluster 6)</t>
  </si>
  <si>
    <t>elc_wof_DEU_007</t>
  </si>
  <si>
    <t>wind offshore electricity near Neubrandenburg (cluster 7)</t>
  </si>
  <si>
    <t>elc_wof_DEU_008</t>
  </si>
  <si>
    <t>wind offshore electricity near Hamburg (cluster 8)</t>
  </si>
  <si>
    <t>elc_wof_DEU_009</t>
  </si>
  <si>
    <t>wind offshore electricity near Kiel (cluster 9)</t>
  </si>
  <si>
    <t>elc_wof_DEU_010</t>
  </si>
  <si>
    <t>wind offshore electricity near Rostock (cluster 10)</t>
  </si>
  <si>
    <t>elc_won_DEU_001</t>
  </si>
  <si>
    <t>wind onshore electricity near Munich (cluster 1)</t>
  </si>
  <si>
    <t>elc_won_DEU_002</t>
  </si>
  <si>
    <t>wind onshore electricity near Passau (cluster 2)</t>
  </si>
  <si>
    <t>elc_won_DEU_003</t>
  </si>
  <si>
    <t>wind onshore electricity near Regensburg (cluster 3)</t>
  </si>
  <si>
    <t>elc_won_DEU_004</t>
  </si>
  <si>
    <t>wind onshore electricity near Nuremberg (cluster 4)</t>
  </si>
  <si>
    <t>elc_won_DEU_005</t>
  </si>
  <si>
    <t>wind onshore electricity near Stuttgart (cluster 5)</t>
  </si>
  <si>
    <t>elc_won_DEU_006</t>
  </si>
  <si>
    <t>wind onshore electricity near Freiburg im Breisgau (cluster 6)</t>
  </si>
  <si>
    <t>elc_won_DEU_007</t>
  </si>
  <si>
    <t>wind onshore electricity near Ulm (cluster 7)</t>
  </si>
  <si>
    <t>elc_won_DEU_008</t>
  </si>
  <si>
    <t>wind onshore electricity near Saarbrucken (cluster 8)</t>
  </si>
  <si>
    <t>elc_won_DEU_009</t>
  </si>
  <si>
    <t>wind onshore electricity near Wurzburg (cluster 9)</t>
  </si>
  <si>
    <t>elc_won_DEU_010</t>
  </si>
  <si>
    <t>wind onshore electricity near Aalen (cluster 10)</t>
  </si>
  <si>
    <t>elc_won_DEU_011</t>
  </si>
  <si>
    <t>wind onshore electricity near Salzgitter (cluster 11)</t>
  </si>
  <si>
    <t>elc_won_DEU_012</t>
  </si>
  <si>
    <t>wind onshore electricity near Giessen (cluster 12)</t>
  </si>
  <si>
    <t>elc_won_DEU_013</t>
  </si>
  <si>
    <t>wind onshore electricity near Jena (cluster 13)</t>
  </si>
  <si>
    <t>elc_won_DEU_014</t>
  </si>
  <si>
    <t>wind onshore electricity near Cologne (cluster 14)</t>
  </si>
  <si>
    <t>elc_won_DEU_015</t>
  </si>
  <si>
    <t>wind onshore electricity near Rheine (cluster 15)</t>
  </si>
  <si>
    <t>elc_won_DEU_016</t>
  </si>
  <si>
    <t>wind onshore electricity near Bremen (cluster 16)</t>
  </si>
  <si>
    <t>elc_won_DEU_017</t>
  </si>
  <si>
    <t>wind onshore electricity near Greifswald (cluster 17)</t>
  </si>
  <si>
    <t>elc_won_DEU_018</t>
  </si>
  <si>
    <t>wind onshore electricity near Wilhelmshaven (cluster 18)</t>
  </si>
  <si>
    <t>elc_won_DEU_019</t>
  </si>
  <si>
    <t>wind onshore electricity near Kiel (cluster 19)</t>
  </si>
  <si>
    <t>elc_won_DEU_020</t>
  </si>
  <si>
    <t>wind onshore electricity near Dresden (cluster 20)</t>
  </si>
  <si>
    <t>elc_won_DEU_021</t>
  </si>
  <si>
    <t>wind onshore electricity near Berlin (cluster 21)</t>
  </si>
  <si>
    <t>elc_won_DEU_022</t>
  </si>
  <si>
    <t>wind onshore electricity near Schwerin (cluster 22)</t>
  </si>
  <si>
    <t>h_Aarau_CHE</t>
  </si>
  <si>
    <t>CHE</t>
  </si>
  <si>
    <t>heat at grid node -- way/397960460-400 (Basel, 12 km)</t>
  </si>
  <si>
    <t>h_Bellinzona_CHE</t>
  </si>
  <si>
    <t>heat at grid node -- way/969811258-380 (Lugano, 49 km)</t>
  </si>
  <si>
    <t>h_Bern_CHE</t>
  </si>
  <si>
    <t>heat at grid node -- CH14-220 (Bern, 22 km)</t>
  </si>
  <si>
    <t>h_BielBienne_CHE</t>
  </si>
  <si>
    <t>heat at grid node -- way/127004407-380 (Basel, 35 km)</t>
  </si>
  <si>
    <t>h_BrigGlis_CHE</t>
  </si>
  <si>
    <t>heat at grid node -- way/391576135-220 (Lugano, 67 km)</t>
  </si>
  <si>
    <t>h_Brugg_CHE</t>
  </si>
  <si>
    <t>heat at grid node -- way/50319857-400 (Zurich, 42 km)</t>
  </si>
  <si>
    <t>h_Chur_CHE</t>
  </si>
  <si>
    <t>heat at grid node -- way/207993342-380 (Zurich, 102 km)</t>
  </si>
  <si>
    <t>h_Davos_CHE</t>
  </si>
  <si>
    <t>heat at grid node -- way/207991759-380 (Lugano, 93 km)</t>
  </si>
  <si>
    <t>h_Dietikon_CHE</t>
  </si>
  <si>
    <t>heat at grid node -- way/50319857-380 (Zurich, 42 km)</t>
  </si>
  <si>
    <t>h_Fully_CHE</t>
  </si>
  <si>
    <t>heat at grid node -- way/802058337-220 (Geneva, 82 km)</t>
  </si>
  <si>
    <t>h_Geneva_CHE</t>
  </si>
  <si>
    <t>heat at grid node -- CH57-225 (Geneva, 12 km)</t>
  </si>
  <si>
    <t>h_Kriens_CHE</t>
  </si>
  <si>
    <t>heat at grid node -- way/240959264-220 (Bern, 66 km)</t>
  </si>
  <si>
    <t>h_Landquart_CHE</t>
  </si>
  <si>
    <t>heat at grid node -- relation/7933294-380 (Sankt Gallen, 100 km)</t>
  </si>
  <si>
    <t>h_Locarno_CHE</t>
  </si>
  <si>
    <t>heat at grid node -- way/281804158-380 (Lugano, 41 km)</t>
  </si>
  <si>
    <t>h_Lucerne_CHE</t>
  </si>
  <si>
    <t>heat at grid node -- way/35002638-220 (Zurich, 33 km)</t>
  </si>
  <si>
    <t>h_Lugano_CHE</t>
  </si>
  <si>
    <t>heat at grid node -- way/281815404-220 (Lugano, 17 km)</t>
  </si>
  <si>
    <t>h_Montreux_CHE</t>
  </si>
  <si>
    <t>heat at grid node -- way/111162936-220 (Lausanne, 4 km)</t>
  </si>
  <si>
    <t>h_Riehen_CHE</t>
  </si>
  <si>
    <t>heat at grid node -- way/127004407-400 (Basel, 35 km)</t>
  </si>
  <si>
    <t>h_SanktGallen_CHE</t>
  </si>
  <si>
    <t>heat at grid node -- way/455120191-220 (Sankt Gallen, 19 km)</t>
  </si>
  <si>
    <t>h_Thun_CHE</t>
  </si>
  <si>
    <t>heat at grid node -- way/1105061707-220 (Bern, 13 km)</t>
  </si>
  <si>
    <t>h_Winterthur_CHE</t>
  </si>
  <si>
    <t>heat at grid node -- way/192677427-220 (Zurich, 37 km)</t>
  </si>
  <si>
    <t>h_YverdonLesBains_CHE</t>
  </si>
  <si>
    <t>heat at grid node -- way/111162936-400 (Lausanne, 4 km)</t>
  </si>
  <si>
    <t>h_Zurich_CHE</t>
  </si>
  <si>
    <t>heat at grid node -- way/147714395-220 (Zurich, 13 km)</t>
  </si>
  <si>
    <t>e_Aarau_CHE</t>
  </si>
  <si>
    <t>grid node -- way/397960460-400 (Basel, 12 km)</t>
  </si>
  <si>
    <t>e_Bellinzona_CHE</t>
  </si>
  <si>
    <t>grid node -- way/969811258-380 (Lugano, 49 km)</t>
  </si>
  <si>
    <t>e_Bern_CHE</t>
  </si>
  <si>
    <t>grid node -- CH14-220 (Bern, 22 km)</t>
  </si>
  <si>
    <t>e_BielBienne_CHE</t>
  </si>
  <si>
    <t>grid node -- way/127004407-380 (Basel, 35 km)</t>
  </si>
  <si>
    <t>e_BrigGlis_CHE</t>
  </si>
  <si>
    <t>grid node -- way/391576135-220 (Lugano, 67 km)</t>
  </si>
  <si>
    <t>e_Brugg_CHE</t>
  </si>
  <si>
    <t>grid node -- way/50319857-400 (Zurich, 42 km)</t>
  </si>
  <si>
    <t>e_Chur_CHE</t>
  </si>
  <si>
    <t>grid node -- way/207993342-380 (Zurich, 102 km)</t>
  </si>
  <si>
    <t>e_Davos_CHE</t>
  </si>
  <si>
    <t>grid node -- way/207991759-380 (Lugano, 93 km)</t>
  </si>
  <si>
    <t>e_Dietikon_CHE</t>
  </si>
  <si>
    <t>grid node -- way/50319857-380 (Zurich, 42 km)</t>
  </si>
  <si>
    <t>e_Fully_CHE</t>
  </si>
  <si>
    <t>grid node -- way/802058337-220 (Geneva, 82 km)</t>
  </si>
  <si>
    <t>e_Geneva_CHE</t>
  </si>
  <si>
    <t>grid node -- CH57-225 (Geneva, 12 km)</t>
  </si>
  <si>
    <t>e_Kriens_CHE</t>
  </si>
  <si>
    <t>grid node -- way/240959264-220 (Bern, 66 km)</t>
  </si>
  <si>
    <t>e_Landquart_CHE</t>
  </si>
  <si>
    <t>grid node -- relation/7933294-380 (Sankt Gallen, 100 km)</t>
  </si>
  <si>
    <t>e_Locarno_CHE</t>
  </si>
  <si>
    <t>grid node -- way/281804158-380 (Lugano, 41 km)</t>
  </si>
  <si>
    <t>e_Lucerne_CHE</t>
  </si>
  <si>
    <t>grid node -- way/35002638-220 (Zurich, 33 km)</t>
  </si>
  <si>
    <t>e_Lugano_CHE</t>
  </si>
  <si>
    <t>grid node -- way/281815404-220 (Lugano, 17 km)</t>
  </si>
  <si>
    <t>e_Montreux_CHE</t>
  </si>
  <si>
    <t>grid node -- way/111162936-220 (Lausanne, 4 km)</t>
  </si>
  <si>
    <t>e_Riehen_CHE</t>
  </si>
  <si>
    <t>grid node -- way/127004407-400 (Basel, 35 km)</t>
  </si>
  <si>
    <t>e_SanktGallen_CHE</t>
  </si>
  <si>
    <t>grid node -- way/455120191-220 (Sankt Gallen, 19 km)</t>
  </si>
  <si>
    <t>e_Thun_CHE</t>
  </si>
  <si>
    <t>grid node -- way/1105061707-220 (Bern, 13 km)</t>
  </si>
  <si>
    <t>e_Winterthur_CHE</t>
  </si>
  <si>
    <t>grid node -- way/192677427-220 (Zurich, 37 km)</t>
  </si>
  <si>
    <t>e_YverdonLesBains_CHE</t>
  </si>
  <si>
    <t>grid node -- way/111162936-400 (Lausanne, 4 km)</t>
  </si>
  <si>
    <t>e_Zurich_CHE</t>
  </si>
  <si>
    <t>grid node -- way/147714395-220 (Zurich, 13 km)</t>
  </si>
  <si>
    <t>elc_spv_CHE_001</t>
  </si>
  <si>
    <t>solar electricity near Bern (cluster 1)</t>
  </si>
  <si>
    <t>elc_spv_CHE_002</t>
  </si>
  <si>
    <t>solar electricity near Zurich (cluster 2)</t>
  </si>
  <si>
    <t>elc_spv_CHE_003</t>
  </si>
  <si>
    <t>solar electricity near Basel (cluster 3)</t>
  </si>
  <si>
    <t>elc_spv_CHE_004</t>
  </si>
  <si>
    <t>solar electricity near Lausanne (cluster 4)</t>
  </si>
  <si>
    <t>elc_spv_CHE_005</t>
  </si>
  <si>
    <t>solar electricity near Lugano (cluster 5)</t>
  </si>
  <si>
    <t>elc_spv_CHE_006</t>
  </si>
  <si>
    <t>solar electricity near Lugano (cluster 6)</t>
  </si>
  <si>
    <t>elc_spv_CHE_007</t>
  </si>
  <si>
    <t>solar electricity near Sankt Gallen (cluster 7)</t>
  </si>
  <si>
    <t>elc_spv_CHE_008</t>
  </si>
  <si>
    <t>solar electricity near Sankt Gallen (cluster 8)</t>
  </si>
  <si>
    <t>elc_spv_CHE_009</t>
  </si>
  <si>
    <t>solar electricity near Geneva (cluster 9)</t>
  </si>
  <si>
    <t>elc_spv_CHE_010</t>
  </si>
  <si>
    <t>solar electricity near Bern (cluster 10)</t>
  </si>
  <si>
    <t>elc_won_CHE_001</t>
  </si>
  <si>
    <t>wind onshore electricity near Geneva (cluster 1)</t>
  </si>
  <si>
    <t>elc_won_CHE_002</t>
  </si>
  <si>
    <t>wind onshore electricity near Lausanne (cluster 2)</t>
  </si>
  <si>
    <t>elc_won_CHE_003</t>
  </si>
  <si>
    <t>wind onshore electricity near Bern (cluster 3)</t>
  </si>
  <si>
    <t>elc_won_CHE_004</t>
  </si>
  <si>
    <t>wind onshore electricity near Basel (cluster 4)</t>
  </si>
  <si>
    <t>elc_won_CHE_005</t>
  </si>
  <si>
    <t>wind onshore electricity near Basel (cluster 5)</t>
  </si>
  <si>
    <t>elc_won_CHE_006</t>
  </si>
  <si>
    <t>wind onshore electricity near Zurich (cluster 6)</t>
  </si>
  <si>
    <t>h_Alghero_ITA</t>
  </si>
  <si>
    <t>ITA</t>
  </si>
  <si>
    <t>heat at grid node -- IT131-380 (Sassari, 13 km)</t>
  </si>
  <si>
    <t>h_Aosta_ITA</t>
  </si>
  <si>
    <t>heat at grid node -- IT60-400 (Turin, 61 km)</t>
  </si>
  <si>
    <t>h_Brescia_ITA</t>
  </si>
  <si>
    <t>heat at grid node -- way/42206116-380 (Brescia, 34 km)</t>
  </si>
  <si>
    <t>h_Calimera_ITA</t>
  </si>
  <si>
    <t>heat at grid node -- way/103386958 (Lecce, 21 km)</t>
  </si>
  <si>
    <t>h_Civitavecchia_ITA</t>
  </si>
  <si>
    <t>heat at grid node -- way/59219335-380 (Grosseto, 60 km)</t>
  </si>
  <si>
    <t>h_Como_ITA</t>
  </si>
  <si>
    <t>heat at grid node -- way/72570378-380 (Como, 38 km)</t>
  </si>
  <si>
    <t>h_Domodossola_ITA</t>
  </si>
  <si>
    <t>heat at grid node -- way/105462289-220 (Como, 81 km)</t>
  </si>
  <si>
    <t>h_Gorizia_ITA</t>
  </si>
  <si>
    <t>heat at grid node -- way/61038773-220 (Trieste, 5 km)</t>
  </si>
  <si>
    <t>h_Lana_ITA</t>
  </si>
  <si>
    <t>heat at grid node -- way/98787157-220 (Trento, 79 km)</t>
  </si>
  <si>
    <t>h_Latina_ITA</t>
  </si>
  <si>
    <t>heat at grid node -- way/1158716725 (Latina, 9 km)</t>
  </si>
  <si>
    <t>h_Lecce_ITA</t>
  </si>
  <si>
    <t>heat at grid node -- way/60888331-380 (Lecce, 31 km)</t>
  </si>
  <si>
    <t>h_Messina_ITA</t>
  </si>
  <si>
    <t>heat at grid node -- way/110138220-220 (Messina, 24 km)</t>
  </si>
  <si>
    <t>h_Milan_ITA</t>
  </si>
  <si>
    <t>heat at grid node -- way/74677138-380 (Milan, 16 km)</t>
  </si>
  <si>
    <t>h_Morbegno_ITA</t>
  </si>
  <si>
    <t>heat at grid node -- IT3-380 (Monza, 82 km)</t>
  </si>
  <si>
    <t>h_Palermo_ITA</t>
  </si>
  <si>
    <t>heat at grid node -- way/57736553-220 (Palermo, 36 km)</t>
  </si>
  <si>
    <t>h_Pescara_ITA</t>
  </si>
  <si>
    <t>heat at grid node -- way/577074555 (Pescara, 11 km)</t>
  </si>
  <si>
    <t>h_Pinerolo_ITA</t>
  </si>
  <si>
    <t>heat at grid node -- way/491424937-400 (Turin, 53 km)</t>
  </si>
  <si>
    <t>h_Piombino_ITA</t>
  </si>
  <si>
    <t>heat at grid node -- way/136789074 (Livorno, 63 km)</t>
  </si>
  <si>
    <t>h_Pordenone_ITA</t>
  </si>
  <si>
    <t>heat at grid node -- way/159821869-220 (Treviso, 59 km)</t>
  </si>
  <si>
    <t>h_SanRemo_ITA</t>
  </si>
  <si>
    <t>heat at grid node -- way/103653567-225 (San Remo, 12 km)</t>
  </si>
  <si>
    <t>h_Sassari_ITA</t>
  </si>
  <si>
    <t>heat at grid node -- way/203225567 (Sassari, 25 km)</t>
  </si>
  <si>
    <t>h_Tirano_ITA</t>
  </si>
  <si>
    <t>heat at grid node -- way/72466334-380 (Verona, 84 km)</t>
  </si>
  <si>
    <t>h_Trento_ITA</t>
  </si>
  <si>
    <t>heat at grid node -- way/147466201-220 (Trento, 10 km)</t>
  </si>
  <si>
    <t>h_Trieste_ITA</t>
  </si>
  <si>
    <t>heat at grid node -- way/41892273-400 (Trieste, 32 km)</t>
  </si>
  <si>
    <t>h_Verbania_ITA</t>
  </si>
  <si>
    <t>heat at grid node -- way/104114052-220 (Novara, 72 km)</t>
  </si>
  <si>
    <t>e_Alghero_ITA</t>
  </si>
  <si>
    <t>grid node -- IT131-380 (Sassari, 13 km)</t>
  </si>
  <si>
    <t>e_Aosta_ITA</t>
  </si>
  <si>
    <t>grid node -- IT60-400 (Turin, 61 km)</t>
  </si>
  <si>
    <t>e_Brescia_ITA</t>
  </si>
  <si>
    <t>grid node -- way/42206116-380 (Brescia, 34 km)</t>
  </si>
  <si>
    <t>e_Calimera_ITA</t>
  </si>
  <si>
    <t>grid node -- way/103386958 (Lecce, 21 km)</t>
  </si>
  <si>
    <t>e_Civitavecchia_ITA</t>
  </si>
  <si>
    <t>grid node -- way/59219335-380 (Grosseto, 60 km)</t>
  </si>
  <si>
    <t>e_Como_ITA</t>
  </si>
  <si>
    <t>grid node -- way/72570378-380 (Como, 38 km)</t>
  </si>
  <si>
    <t>e_Domodossola_ITA</t>
  </si>
  <si>
    <t>grid node -- way/105462289-220 (Como, 81 km)</t>
  </si>
  <si>
    <t>e_Gorizia_ITA</t>
  </si>
  <si>
    <t>grid node -- way/61038773-220 (Trieste, 5 km)</t>
  </si>
  <si>
    <t>e_Lana_ITA</t>
  </si>
  <si>
    <t>grid node -- way/98787157-220 (Trento, 79 km)</t>
  </si>
  <si>
    <t>e_Latina_ITA</t>
  </si>
  <si>
    <t>grid node -- way/1158716725 (Latina, 9 km)</t>
  </si>
  <si>
    <t>e_Lecce_ITA</t>
  </si>
  <si>
    <t>grid node -- way/60888331-380 (Lecce, 31 km)</t>
  </si>
  <si>
    <t>e_Messina_ITA</t>
  </si>
  <si>
    <t>grid node -- way/110138220-220 (Messina, 24 km)</t>
  </si>
  <si>
    <t>e_Milan_ITA</t>
  </si>
  <si>
    <t>grid node -- way/74677138-380 (Milan, 16 km)</t>
  </si>
  <si>
    <t>e_Morbegno_ITA</t>
  </si>
  <si>
    <t>grid node -- IT3-380 (Monza, 82 km)</t>
  </si>
  <si>
    <t>e_Palermo_ITA</t>
  </si>
  <si>
    <t>grid node -- way/57736553-220 (Palermo, 36 km)</t>
  </si>
  <si>
    <t>e_Pescara_ITA</t>
  </si>
  <si>
    <t>grid node -- way/577074555 (Pescara, 11 km)</t>
  </si>
  <si>
    <t>e_Pinerolo_ITA</t>
  </si>
  <si>
    <t>grid node -- way/491424937-400 (Turin, 53 km)</t>
  </si>
  <si>
    <t>e_Piombino_ITA</t>
  </si>
  <si>
    <t>grid node -- way/136789074 (Livorno, 63 km)</t>
  </si>
  <si>
    <t>e_Pordenone_ITA</t>
  </si>
  <si>
    <t>grid node -- way/159821869-220 (Treviso, 59 km)</t>
  </si>
  <si>
    <t>e_SanRemo_ITA</t>
  </si>
  <si>
    <t>grid node -- way/103653567-225 (San Remo, 12 km)</t>
  </si>
  <si>
    <t>e_Sassari_ITA</t>
  </si>
  <si>
    <t>grid node -- way/203225567 (Sassari, 25 km)</t>
  </si>
  <si>
    <t>e_Tirano_ITA</t>
  </si>
  <si>
    <t>grid node -- way/72466334-380 (Verona, 84 km)</t>
  </si>
  <si>
    <t>e_Trento_ITA</t>
  </si>
  <si>
    <t>grid node -- way/147466201-220 (Trento, 10 km)</t>
  </si>
  <si>
    <t>e_Trieste_ITA</t>
  </si>
  <si>
    <t>grid node -- way/41892273-400 (Trieste, 32 km)</t>
  </si>
  <si>
    <t>e_Verbania_ITA</t>
  </si>
  <si>
    <t>grid node -- way/104114052-220 (Novara, 72 km)</t>
  </si>
  <si>
    <t>elc_spv_ITA_001</t>
  </si>
  <si>
    <t>solar electricity near Cagliari (cluster 1)</t>
  </si>
  <si>
    <t>elc_spv_ITA_002</t>
  </si>
  <si>
    <t>solar electricity near Sassari (cluster 2)</t>
  </si>
  <si>
    <t>elc_spv_ITA_003</t>
  </si>
  <si>
    <t>solar electricity near Marsala (cluster 3)</t>
  </si>
  <si>
    <t>elc_spv_ITA_004</t>
  </si>
  <si>
    <t>solar electricity near Catania (cluster 4)</t>
  </si>
  <si>
    <t>elc_spv_ITA_005</t>
  </si>
  <si>
    <t>solar electricity near Catanzaro (cluster 5)</t>
  </si>
  <si>
    <t>elc_spv_ITA_006</t>
  </si>
  <si>
    <t>solar electricity near Naples (cluster 6)</t>
  </si>
  <si>
    <t>elc_spv_ITA_007</t>
  </si>
  <si>
    <t>solar electricity near Bari (cluster 7)</t>
  </si>
  <si>
    <t>elc_spv_ITA_008</t>
  </si>
  <si>
    <t>solar electricity near Rome (cluster 8)</t>
  </si>
  <si>
    <t>elc_spv_ITA_009</t>
  </si>
  <si>
    <t>solar electricity near Ancona (cluster 9)</t>
  </si>
  <si>
    <t>elc_spv_ITA_010</t>
  </si>
  <si>
    <t>solar electricity near Foggia (cluster 10)</t>
  </si>
  <si>
    <t>elc_spv_ITA_011</t>
  </si>
  <si>
    <t>solar electricity near Turin (cluster 11)</t>
  </si>
  <si>
    <t>elc_spv_ITA_012</t>
  </si>
  <si>
    <t>solar electricity near Como (cluster 12)</t>
  </si>
  <si>
    <t>elc_spv_ITA_013</t>
  </si>
  <si>
    <t>solar electricity near Milan (cluster 13)</t>
  </si>
  <si>
    <t>elc_spv_ITA_014</t>
  </si>
  <si>
    <t>solar electricity near Turin (cluster 14)</t>
  </si>
  <si>
    <t>elc_spv_ITA_015</t>
  </si>
  <si>
    <t>solar electricity near Cuneo (cluster 15)</t>
  </si>
  <si>
    <t>elc_spv_ITA_016</t>
  </si>
  <si>
    <t>solar electricity near Brescia (cluster 16)</t>
  </si>
  <si>
    <t>elc_spv_ITA_017</t>
  </si>
  <si>
    <t>solar electricity near Bolzano (cluster 17)</t>
  </si>
  <si>
    <t>elc_spv_ITA_018</t>
  </si>
  <si>
    <t>solar electricity near Udine (cluster 18)</t>
  </si>
  <si>
    <t>elc_spv_ITA_019</t>
  </si>
  <si>
    <t>solar electricity near Padova (cluster 19)</t>
  </si>
  <si>
    <t>elc_spv_ITA_020</t>
  </si>
  <si>
    <t>solar electricity near Padova (cluster 20)</t>
  </si>
  <si>
    <t>elc_spv_ITA_021</t>
  </si>
  <si>
    <t>solar electricity near Parma (cluster 21)</t>
  </si>
  <si>
    <t>elc_spv_ITA_022</t>
  </si>
  <si>
    <t>solar electricity near Perugia (cluster 22)</t>
  </si>
  <si>
    <t>elc_spv_ITA_023</t>
  </si>
  <si>
    <t>solar electricity near Florence (cluster 23)</t>
  </si>
  <si>
    <t>elc_spv_ITA_024</t>
  </si>
  <si>
    <t>solar electricity near Grosseto (cluster 24)</t>
  </si>
  <si>
    <t>elc_wof_ITA_001</t>
  </si>
  <si>
    <t>wind offshore electricity near Catanzaro (cluster 1)</t>
  </si>
  <si>
    <t>elc_wof_ITA_002</t>
  </si>
  <si>
    <t>wind offshore electricity near Lecce (cluster 2)</t>
  </si>
  <si>
    <t>elc_wof_ITA_003</t>
  </si>
  <si>
    <t>wind offshore electricity near Foggia (cluster 3)</t>
  </si>
  <si>
    <t>elc_wof_ITA_004</t>
  </si>
  <si>
    <t>wind offshore electricity near Bari (cluster 4)</t>
  </si>
  <si>
    <t>elc_wof_ITA_005</t>
  </si>
  <si>
    <t>wind offshore electricity near Ancona (cluster 5)</t>
  </si>
  <si>
    <t>elc_wof_ITA_006</t>
  </si>
  <si>
    <t>wind offshore electricity near Grosseto (cluster 6)</t>
  </si>
  <si>
    <t>elc_wof_ITA_007</t>
  </si>
  <si>
    <t>wind offshore electricity near Fiumicino (cluster 7)</t>
  </si>
  <si>
    <t>elc_wof_ITA_008</t>
  </si>
  <si>
    <t>wind offshore electricity near Genoa (cluster 8)</t>
  </si>
  <si>
    <t>elc_wof_ITA_009</t>
  </si>
  <si>
    <t>wind offshore electricity near Livorno (cluster 9)</t>
  </si>
  <si>
    <t>elc_wof_ITA_010</t>
  </si>
  <si>
    <t>wind offshore electricity near Palermo (cluster 10)</t>
  </si>
  <si>
    <t>elc_wof_ITA_011</t>
  </si>
  <si>
    <t>wind offshore electricity near Palermo (cluster 11)</t>
  </si>
  <si>
    <t>elc_wof_ITA_012</t>
  </si>
  <si>
    <t>wind offshore electricity near Latina (cluster 12)</t>
  </si>
  <si>
    <t>elc_wof_ITA_013</t>
  </si>
  <si>
    <t>wind offshore electricity near Naples (cluster 13)</t>
  </si>
  <si>
    <t>elc_wof_ITA_014</t>
  </si>
  <si>
    <t>wind offshore electricity near Ragusa (cluster 14)</t>
  </si>
  <si>
    <t>elc_wof_ITA_015</t>
  </si>
  <si>
    <t>wind offshore electricity near Gela (cluster 15)</t>
  </si>
  <si>
    <t>elc_wof_ITA_016</t>
  </si>
  <si>
    <t>wind offshore electricity near Marsala (cluster 16)</t>
  </si>
  <si>
    <t>elc_wof_ITA_017</t>
  </si>
  <si>
    <t>wind offshore electricity near Marsala (cluster 17)</t>
  </si>
  <si>
    <t>elc_wof_ITA_018</t>
  </si>
  <si>
    <t>wind offshore electricity near Cagliari (cluster 18)</t>
  </si>
  <si>
    <t>elc_wof_ITA_019</t>
  </si>
  <si>
    <t>wind offshore electricity near Olbia (cluster 19)</t>
  </si>
  <si>
    <t>elc_wof_ITA_020</t>
  </si>
  <si>
    <t>wind offshore electricity near Sassari (cluster 20)</t>
  </si>
  <si>
    <t>elc_won_ITA_001</t>
  </si>
  <si>
    <t>wind onshore electricity near Venice (cluster 1)</t>
  </si>
  <si>
    <t>elc_won_ITA_002</t>
  </si>
  <si>
    <t>wind onshore electricity near Bologna (cluster 2)</t>
  </si>
  <si>
    <t>elc_won_ITA_003</t>
  </si>
  <si>
    <t>wind onshore electricity near Rome (cluster 3)</t>
  </si>
  <si>
    <t>elc_won_ITA_004</t>
  </si>
  <si>
    <t>wind onshore electricity near Grosseto (cluster 4)</t>
  </si>
  <si>
    <t>elc_won_ITA_005</t>
  </si>
  <si>
    <t>wind onshore electricity near Genoa (cluster 5)</t>
  </si>
  <si>
    <t>elc_won_ITA_006</t>
  </si>
  <si>
    <t>wind onshore electricity near Florence (cluster 6)</t>
  </si>
  <si>
    <t>elc_won_ITA_007</t>
  </si>
  <si>
    <t>wind onshore electricity near Ancona (cluster 7)</t>
  </si>
  <si>
    <t>elc_won_ITA_008</t>
  </si>
  <si>
    <t>wind onshore electricity near Florence (cluster 8)</t>
  </si>
  <si>
    <t>elc_won_ITA_009</t>
  </si>
  <si>
    <t>wind onshore electricity near Perugia (cluster 9)</t>
  </si>
  <si>
    <t>elc_won_ITA_010</t>
  </si>
  <si>
    <t>wind onshore electricity near Taranto (cluster 10)</t>
  </si>
  <si>
    <t>elc_won_ITA_011</t>
  </si>
  <si>
    <t>wind onshore electricity near Naples (cluster 11)</t>
  </si>
  <si>
    <t>elc_won_ITA_012</t>
  </si>
  <si>
    <t>wind onshore electricity near Foggia (cluster 12)</t>
  </si>
  <si>
    <t>elc_won_ITA_013</t>
  </si>
  <si>
    <t>wind onshore electricity near Foggia (cluster 13)</t>
  </si>
  <si>
    <t>elc_won_ITA_014</t>
  </si>
  <si>
    <t>wind onshore electricity near Sassari (cluster 14)</t>
  </si>
  <si>
    <t>elc_won_ITA_015</t>
  </si>
  <si>
    <t>wind onshore electricity near Cagliari (cluster 15)</t>
  </si>
  <si>
    <t>elc_won_ITA_016</t>
  </si>
  <si>
    <t>wind onshore electricity near Marsala (cluster 16)</t>
  </si>
  <si>
    <t>elc_won_ITA_017</t>
  </si>
  <si>
    <t>wind onshore electricity near Caltanissetta (cluster 17)</t>
  </si>
  <si>
    <t>elc_won_ITA_018</t>
  </si>
  <si>
    <t>wind onshore electricity near Catania (cluster 18)</t>
  </si>
  <si>
    <t>elc_won_ITA_019</t>
  </si>
  <si>
    <t>wind onshore electricity near Catanzaro (cluster 19)</t>
  </si>
  <si>
    <t>h_ACoruna_ESP</t>
  </si>
  <si>
    <t>ESP</t>
  </si>
  <si>
    <t>heat at grid node -- way/104370242-220 (A Coruna, 22 km)</t>
  </si>
  <si>
    <t>h_Algeciras_ESP</t>
  </si>
  <si>
    <t>heat at grid node -- way/1262731213-220 (Algeciras, 14 km)</t>
  </si>
  <si>
    <t>h_Barcelona_ESP</t>
  </si>
  <si>
    <t>heat at grid node -- way/124121964-220 (Barcelona, 18 km)</t>
  </si>
  <si>
    <t>h_CastellonDeLaPlana_ESP</t>
  </si>
  <si>
    <t>heat at grid node -- way/34585227-400 (Castellon de la Plana, 6 km)</t>
  </si>
  <si>
    <t>h_Coria_ESP</t>
  </si>
  <si>
    <t>heat at grid node -- way/84526032-400 (Badajoz, 100 km)</t>
  </si>
  <si>
    <t>h_Donostia_ESP</t>
  </si>
  <si>
    <t>heat at grid node -- ES37-400 (Donostia, 10 km)</t>
  </si>
  <si>
    <t>h_Girona_ESP</t>
  </si>
  <si>
    <t>heat at grid node -- way/256334221 (Girona, 29 km)</t>
  </si>
  <si>
    <t>h_Granollers_ESP</t>
  </si>
  <si>
    <t>heat at grid node -- way/178294745-400 (Barcelona, 64 km)</t>
  </si>
  <si>
    <t>h_Jaca_ESP</t>
  </si>
  <si>
    <t>heat at grid node -- way/1154224087-225 (Huesca, 43 km)</t>
  </si>
  <si>
    <t>h_Lepe_ESP</t>
  </si>
  <si>
    <t>heat at grid node -- way/170424446-400 (Huelva, 42 km)</t>
  </si>
  <si>
    <t>h_NavalmoralDeLaMata_ESP</t>
  </si>
  <si>
    <t>heat at grid node -- relation/17148268-400 (Caceres, 68 km)</t>
  </si>
  <si>
    <t>h_Palma_ESP</t>
  </si>
  <si>
    <t>heat at grid node -- way/131323212 (Palma, 13 km)</t>
  </si>
  <si>
    <t>h_SalvatierraDeMino_ESP</t>
  </si>
  <si>
    <t>heat at grid node -- way/135457230-400 (Vigo, 58 km)</t>
  </si>
  <si>
    <t>h_Valencia_ESP</t>
  </si>
  <si>
    <t>heat at grid node -- way/156435509 (Valencia, 23 km)</t>
  </si>
  <si>
    <t>h_Valladolid_ESP</t>
  </si>
  <si>
    <t>heat at grid node -- way/74384031-220 (Valladolid, 23 km)</t>
  </si>
  <si>
    <t>h_Zafra_ESP</t>
  </si>
  <si>
    <t>heat at grid node -- way/144767090-400 (Badajoz, 67 km)</t>
  </si>
  <si>
    <t>h_Zamora_ESP</t>
  </si>
  <si>
    <t>heat at grid node -- way/144385735-220 (Salamanca, 74 km)</t>
  </si>
  <si>
    <t>e_ACoruna_ESP</t>
  </si>
  <si>
    <t>grid node -- way/104370242-220 (A Coruna, 22 km)</t>
  </si>
  <si>
    <t>e_Algeciras_ESP</t>
  </si>
  <si>
    <t>grid node -- way/1262731213-220 (Algeciras, 14 km)</t>
  </si>
  <si>
    <t>e_Barcelona_ESP</t>
  </si>
  <si>
    <t>grid node -- way/124121964-220 (Barcelona, 18 km)</t>
  </si>
  <si>
    <t>e_CastellonDeLaPlana_ESP</t>
  </si>
  <si>
    <t>grid node -- way/34585227-400 (Castellon de la Plana, 6 km)</t>
  </si>
  <si>
    <t>e_Coria_ESP</t>
  </si>
  <si>
    <t>grid node -- way/84526032-400 (Badajoz, 100 km)</t>
  </si>
  <si>
    <t>e_Donostia_ESP</t>
  </si>
  <si>
    <t>grid node -- ES37-400 (Donostia, 10 km)</t>
  </si>
  <si>
    <t>e_Girona_ESP</t>
  </si>
  <si>
    <t>grid node -- way/256334221 (Girona, 29 km)</t>
  </si>
  <si>
    <t>e_Granollers_ESP</t>
  </si>
  <si>
    <t>grid node -- way/178294745-400 (Barcelona, 64 km)</t>
  </si>
  <si>
    <t>e_Jaca_ESP</t>
  </si>
  <si>
    <t>grid node -- way/1154224087-225 (Huesca, 43 km)</t>
  </si>
  <si>
    <t>e_Lepe_ESP</t>
  </si>
  <si>
    <t>grid node -- way/170424446-400 (Huelva, 42 km)</t>
  </si>
  <si>
    <t>e_NavalmoralDeLaMata_ESP</t>
  </si>
  <si>
    <t>grid node -- relation/17148268-400 (Caceres, 68 km)</t>
  </si>
  <si>
    <t>e_Palma_ESP</t>
  </si>
  <si>
    <t>grid node -- way/131323212 (Palma, 13 km)</t>
  </si>
  <si>
    <t>e_SalvatierraDeMino_ESP</t>
  </si>
  <si>
    <t>grid node -- way/135457230-400 (Vigo, 58 km)</t>
  </si>
  <si>
    <t>e_Valencia_ESP</t>
  </si>
  <si>
    <t>grid node -- way/156435509 (Valencia, 23 km)</t>
  </si>
  <si>
    <t>e_Valladolid_ESP</t>
  </si>
  <si>
    <t>grid node -- way/74384031-220 (Valladolid, 23 km)</t>
  </si>
  <si>
    <t>e_Zafra_ESP</t>
  </si>
  <si>
    <t>grid node -- way/144767090-400 (Badajoz, 67 km)</t>
  </si>
  <si>
    <t>e_Zamora_ESP</t>
  </si>
  <si>
    <t>grid node -- way/144385735-220 (Salamanca, 74 km)</t>
  </si>
  <si>
    <t>elc_spv_ESP_001</t>
  </si>
  <si>
    <t>solar electricity near Pamplona (cluster 1)</t>
  </si>
  <si>
    <t>elc_spv_ESP_002</t>
  </si>
  <si>
    <t>solar electricity near Burgos (cluster 2)</t>
  </si>
  <si>
    <t>elc_spv_ESP_003</t>
  </si>
  <si>
    <t>solar electricity near Bilbao (cluster 3)</t>
  </si>
  <si>
    <t>elc_spv_ESP_004</t>
  </si>
  <si>
    <t>solar electricity near Santiago de Compostela (cluster 4)</t>
  </si>
  <si>
    <t>elc_spv_ESP_005</t>
  </si>
  <si>
    <t>solar electricity near Alcala de Henares (cluster 5)</t>
  </si>
  <si>
    <t>elc_spv_ESP_006</t>
  </si>
  <si>
    <t>solar electricity near Valladolid (cluster 6)</t>
  </si>
  <si>
    <t>elc_spv_ESP_007</t>
  </si>
  <si>
    <t>solar electricity near Leon (cluster 7)</t>
  </si>
  <si>
    <t>elc_spv_ESP_008</t>
  </si>
  <si>
    <t>solar electricity near Ponferrada (cluster 8)</t>
  </si>
  <si>
    <t>elc_spv_ESP_009</t>
  </si>
  <si>
    <t>solar electricity near Zamora (cluster 9)</t>
  </si>
  <si>
    <t>elc_spv_ESP_010</t>
  </si>
  <si>
    <t>solar electricity near Cordoba (cluster 10)</t>
  </si>
  <si>
    <t>elc_spv_ESP_011</t>
  </si>
  <si>
    <t>solar electricity near Ciudad Real (cluster 11)</t>
  </si>
  <si>
    <t>elc_spv_ESP_012</t>
  </si>
  <si>
    <t>solar electricity near Jerez de la Frontera (cluster 12)</t>
  </si>
  <si>
    <t>elc_spv_ESP_013</t>
  </si>
  <si>
    <t>solar electricity near Sevilla (cluster 13)</t>
  </si>
  <si>
    <t>elc_spv_ESP_014</t>
  </si>
  <si>
    <t>solar electricity near Salamanca (cluster 14)</t>
  </si>
  <si>
    <t>elc_spv_ESP_015</t>
  </si>
  <si>
    <t>solar electricity near Caceres (cluster 15)</t>
  </si>
  <si>
    <t>elc_spv_ESP_016</t>
  </si>
  <si>
    <t>solar electricity near Madrid (cluster 16)</t>
  </si>
  <si>
    <t>elc_spv_ESP_017</t>
  </si>
  <si>
    <t>solar electricity near Toledo (cluster 17)</t>
  </si>
  <si>
    <t>elc_spv_ESP_018</t>
  </si>
  <si>
    <t>solar electricity near Albacete (cluster 18)</t>
  </si>
  <si>
    <t>elc_spv_ESP_019</t>
  </si>
  <si>
    <t>solar electricity near Almeria (cluster 19)</t>
  </si>
  <si>
    <t>elc_spv_ESP_020</t>
  </si>
  <si>
    <t>solar electricity near Elche (cluster 20)</t>
  </si>
  <si>
    <t>elc_spv_ESP_021</t>
  </si>
  <si>
    <t>solar electricity near Valencia (cluster 21)</t>
  </si>
  <si>
    <t>elc_spv_ESP_022</t>
  </si>
  <si>
    <t>solar electricity near Zaragoza (cluster 22)</t>
  </si>
  <si>
    <t>elc_spv_ESP_023</t>
  </si>
  <si>
    <t>solar electricity near Tarrasa (cluster 23)</t>
  </si>
  <si>
    <t>elc_spv_ESP_024</t>
  </si>
  <si>
    <t>solar electricity near Zaragoza (cluster 24)</t>
  </si>
  <si>
    <t>elc_spv_ESP_025</t>
  </si>
  <si>
    <t>solar electricity near Tarrasa (cluster 25)</t>
  </si>
  <si>
    <t>elc_spv_ESP_026</t>
  </si>
  <si>
    <t>solar electricity near Lleida (cluster 26)</t>
  </si>
  <si>
    <t>elc_wof_ESP_001</t>
  </si>
  <si>
    <t>wind offshore electricity near Alicante (cluster 1)</t>
  </si>
  <si>
    <t>elc_wof_ESP_002</t>
  </si>
  <si>
    <t>wind offshore electricity near Cartagena (cluster 2)</t>
  </si>
  <si>
    <t>elc_wof_ESP_003</t>
  </si>
  <si>
    <t>wind offshore electricity near Valencia (cluster 3)</t>
  </si>
  <si>
    <t>elc_wof_ESP_004</t>
  </si>
  <si>
    <t>wind offshore electricity near Palma (cluster 4)</t>
  </si>
  <si>
    <t>elc_wof_ESP_005</t>
  </si>
  <si>
    <t>wind offshore electricity near Girona (cluster 5)</t>
  </si>
  <si>
    <t>elc_wof_ESP_006</t>
  </si>
  <si>
    <t>wind offshore electricity near Tarragona (cluster 6)</t>
  </si>
  <si>
    <t>elc_wof_ESP_007</t>
  </si>
  <si>
    <t>wind offshore electricity near Castellon de la Plana (cluster 7)</t>
  </si>
  <si>
    <t>elc_wof_ESP_008</t>
  </si>
  <si>
    <t>wind offshore electricity near Barcelona (cluster 8)</t>
  </si>
  <si>
    <t>elc_wof_ESP_009</t>
  </si>
  <si>
    <t>wind offshore electricity near Palma (cluster 9)</t>
  </si>
  <si>
    <t>elc_wof_ESP_010</t>
  </si>
  <si>
    <t>wind offshore electricity near Palma (cluster 10)</t>
  </si>
  <si>
    <t>elc_wof_ESP_011</t>
  </si>
  <si>
    <t>wind offshore electricity near Almeria (cluster 11)</t>
  </si>
  <si>
    <t>elc_wof_ESP_012</t>
  </si>
  <si>
    <t>wind offshore electricity near Malaga (cluster 12)</t>
  </si>
  <si>
    <t>elc_wof_ESP_013</t>
  </si>
  <si>
    <t>wind offshore electricity near Huelva (cluster 13)</t>
  </si>
  <si>
    <t>elc_wof_ESP_014</t>
  </si>
  <si>
    <t>wind offshore electricity near Jerez de la Frontera (cluster 14)</t>
  </si>
  <si>
    <t>elc_wof_ESP_015</t>
  </si>
  <si>
    <t>wind offshore electricity near Vigo (cluster 15)</t>
  </si>
  <si>
    <t>elc_wof_ESP_016</t>
  </si>
  <si>
    <t>wind offshore electricity near Gijon (cluster 16)</t>
  </si>
  <si>
    <t>elc_wof_ESP_017</t>
  </si>
  <si>
    <t>wind offshore electricity near A Coruna (cluster 17)</t>
  </si>
  <si>
    <t>elc_wof_ESP_018</t>
  </si>
  <si>
    <t>wind offshore electricity near Gijon (cluster 18)</t>
  </si>
  <si>
    <t>elc_wof_ESP_019</t>
  </si>
  <si>
    <t>wind offshore electricity near Bilbao (cluster 19)</t>
  </si>
  <si>
    <t>elc_won_ESP_001</t>
  </si>
  <si>
    <t>wind onshore electricity near Malaga (cluster 1)</t>
  </si>
  <si>
    <t>elc_won_ESP_002</t>
  </si>
  <si>
    <t>wind onshore electricity near Sevilla (cluster 2)</t>
  </si>
  <si>
    <t>elc_won_ESP_003</t>
  </si>
  <si>
    <t>wind onshore electricity near Badajoz (cluster 3)</t>
  </si>
  <si>
    <t>elc_won_ESP_004</t>
  </si>
  <si>
    <t>wind onshore electricity near Cordoba (cluster 4)</t>
  </si>
  <si>
    <t>elc_won_ESP_005</t>
  </si>
  <si>
    <t>wind onshore electricity near Fuenlabrada (cluster 5)</t>
  </si>
  <si>
    <t>elc_won_ESP_006</t>
  </si>
  <si>
    <t>wind onshore electricity near Talavera de la Reina (cluster 6)</t>
  </si>
  <si>
    <t>elc_won_ESP_007</t>
  </si>
  <si>
    <t>wind onshore electricity near Ciudad Real (cluster 7)</t>
  </si>
  <si>
    <t>elc_won_ESP_008</t>
  </si>
  <si>
    <t>wind onshore electricity near Santiago de Compostela (cluster 8)</t>
  </si>
  <si>
    <t>elc_won_ESP_009</t>
  </si>
  <si>
    <t>wind onshore electricity near Gijon (cluster 9)</t>
  </si>
  <si>
    <t>elc_won_ESP_010</t>
  </si>
  <si>
    <t>wind onshore electricity near Vitoria-Gasteiz (cluster 10)</t>
  </si>
  <si>
    <t>elc_won_ESP_011</t>
  </si>
  <si>
    <t>wind onshore electricity near Bilbao (cluster 11)</t>
  </si>
  <si>
    <t>elc_won_ESP_012</t>
  </si>
  <si>
    <t>wind onshore electricity near Caceres (cluster 12)</t>
  </si>
  <si>
    <t>elc_won_ESP_013</t>
  </si>
  <si>
    <t>wind onshore electricity near Valladolid (cluster 13)</t>
  </si>
  <si>
    <t>elc_won_ESP_014</t>
  </si>
  <si>
    <t>wind onshore electricity near Valladolid (cluster 14)</t>
  </si>
  <si>
    <t>elc_won_ESP_015</t>
  </si>
  <si>
    <t>wind onshore electricity near Girona (cluster 15)</t>
  </si>
  <si>
    <t>elc_won_ESP_016</t>
  </si>
  <si>
    <t>wind onshore electricity near Barcelona (cluster 16)</t>
  </si>
  <si>
    <t>elc_won_ESP_017</t>
  </si>
  <si>
    <t>wind onshore electricity near Madrid (cluster 17)</t>
  </si>
  <si>
    <t>elc_won_ESP_018</t>
  </si>
  <si>
    <t>wind onshore electricity near Zaragoza (cluster 18)</t>
  </si>
  <si>
    <t>elc_won_ESP_019</t>
  </si>
  <si>
    <t>wind onshore electricity near Granada (cluster 19)</t>
  </si>
  <si>
    <t>elc_won_ESP_020</t>
  </si>
  <si>
    <t>wind onshore electricity near Valencia (cluster 20)</t>
  </si>
  <si>
    <t>elc_won_ESP_021</t>
  </si>
  <si>
    <t>wind onshore electricity near Murcia (cluster 21)</t>
  </si>
  <si>
    <t>elc_won_ESP_022</t>
  </si>
  <si>
    <t>wind onshore electricity near Huesca (cluster 22)</t>
  </si>
  <si>
    <t>elc_won_ESP_023</t>
  </si>
  <si>
    <t>wind onshore electricity near Pamplona (cluster 23)</t>
  </si>
  <si>
    <t>elc_won_ESP_024</t>
  </si>
  <si>
    <t>wind onshore electricity near Barcelona (cluster 24)</t>
  </si>
  <si>
    <t>elc_won_ESP_025</t>
  </si>
  <si>
    <t>wind onshore electricity near Castellon de la Plana (cluster 25)</t>
  </si>
  <si>
    <t>~BookRegions_Map</t>
  </si>
  <si>
    <t>~TimeSlices</t>
  </si>
  <si>
    <t>BookName</t>
  </si>
  <si>
    <t>Region</t>
  </si>
  <si>
    <t>Season</t>
  </si>
  <si>
    <t>Weekly</t>
  </si>
  <si>
    <t>DayNite</t>
  </si>
  <si>
    <t>S</t>
  </si>
  <si>
    <t>D</t>
  </si>
  <si>
    <t>W</t>
  </si>
  <si>
    <t>N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</si>
  <si>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</si>
  <si>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</si>
  <si>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</si>
  <si>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</si>
  <si>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</si>
  <si>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</si>
  <si>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</si>
  <si>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</si>
  <si>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</si>
  <si>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</si>
  <si>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</si>
  <si>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</si>
  <si>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</si>
  <si>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</si>
  <si>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</si>
  <si>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</si>
  <si>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</si>
  <si>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</si>
  <si>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</si>
  <si>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</si>
  <si>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</si>
  <si>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</si>
  <si>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</si>
  <si>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NCAP_AF</t>
  </si>
  <si>
    <t>flo_mark</t>
  </si>
  <si>
    <t>cap_bnd</t>
  </si>
  <si>
    <t>~TFM_INS</t>
  </si>
  <si>
    <t>Year</t>
  </si>
  <si>
    <t>Pset_PN</t>
  </si>
  <si>
    <t>ACTCOST</t>
  </si>
  <si>
    <t>IMP*Z</t>
  </si>
  <si>
    <t>IMPDEMZ,IMPDUCZ</t>
  </si>
  <si>
    <t>invcost</t>
  </si>
  <si>
    <t>IMPDUCZ</t>
  </si>
  <si>
    <t>~Currencies</t>
  </si>
  <si>
    <t>~TFM_INS-TS</t>
  </si>
  <si>
    <t>~UnitConversion</t>
  </si>
  <si>
    <t>Currency</t>
  </si>
  <si>
    <t>Other_Indexes</t>
  </si>
  <si>
    <t>Curr</t>
  </si>
  <si>
    <t>from_unit</t>
  </si>
  <si>
    <t>to_unit</t>
  </si>
  <si>
    <t>multiplier</t>
  </si>
  <si>
    <t>USD25</t>
  </si>
  <si>
    <t>COM_PKRSV</t>
  </si>
  <si>
    <t>QBtu</t>
  </si>
  <si>
    <t>EUR12</t>
  </si>
  <si>
    <t>COM_PKTS</t>
  </si>
  <si>
    <t>Billion Kwh</t>
  </si>
  <si>
    <t>EUR15</t>
  </si>
  <si>
    <t>G_Dyear</t>
  </si>
  <si>
    <t>Mt</t>
  </si>
  <si>
    <t>Kt</t>
  </si>
  <si>
    <t>EUR17</t>
  </si>
  <si>
    <t>G_OFFTHD</t>
  </si>
  <si>
    <t>B$</t>
  </si>
  <si>
    <t>m$</t>
  </si>
  <si>
    <t>EUR18</t>
  </si>
  <si>
    <t>G_CUREX</t>
  </si>
  <si>
    <t>USD20</t>
  </si>
  <si>
    <t>USD83</t>
  </si>
  <si>
    <t>TBtu</t>
  </si>
  <si>
    <t>EUR19</t>
  </si>
  <si>
    <t>USD84</t>
  </si>
  <si>
    <t>ktoe</t>
  </si>
  <si>
    <t>EUR10</t>
  </si>
  <si>
    <t>USD85</t>
  </si>
  <si>
    <t>mtoe</t>
  </si>
  <si>
    <t>USD00</t>
  </si>
  <si>
    <t>USD86</t>
  </si>
  <si>
    <t>Gwh</t>
  </si>
  <si>
    <t>USD01</t>
  </si>
  <si>
    <t>USD87</t>
  </si>
  <si>
    <t>Gt</t>
  </si>
  <si>
    <t>USD02</t>
  </si>
  <si>
    <t>USD88</t>
  </si>
  <si>
    <t>bEur</t>
  </si>
  <si>
    <t>mEur</t>
  </si>
  <si>
    <t>USD03</t>
  </si>
  <si>
    <t>USD89</t>
  </si>
  <si>
    <t>$/GJ</t>
  </si>
  <si>
    <t>$/bbl</t>
  </si>
  <si>
    <t>USD04</t>
  </si>
  <si>
    <t>USD90</t>
  </si>
  <si>
    <t>$/ton</t>
  </si>
  <si>
    <t>m$/kt</t>
  </si>
  <si>
    <t>USD05</t>
  </si>
  <si>
    <t>USD91</t>
  </si>
  <si>
    <t>EJ</t>
  </si>
  <si>
    <t>USD06</t>
  </si>
  <si>
    <t>USD92</t>
  </si>
  <si>
    <t>bcm</t>
  </si>
  <si>
    <t>USD07</t>
  </si>
  <si>
    <t>USD93</t>
  </si>
  <si>
    <t>mbpd</t>
  </si>
  <si>
    <t>USD08</t>
  </si>
  <si>
    <t>USD94</t>
  </si>
  <si>
    <t>Cents per Kwh</t>
  </si>
  <si>
    <t>$ per GJ</t>
  </si>
  <si>
    <t>USD09</t>
  </si>
  <si>
    <t>USD95</t>
  </si>
  <si>
    <t>Twh</t>
  </si>
  <si>
    <t>USD10</t>
  </si>
  <si>
    <t>USD96</t>
  </si>
  <si>
    <t>USD11</t>
  </si>
  <si>
    <t>USD97</t>
  </si>
  <si>
    <t>GWp</t>
  </si>
  <si>
    <t>USD12</t>
  </si>
  <si>
    <t>USD98</t>
  </si>
  <si>
    <t>mt H2</t>
  </si>
  <si>
    <t>USD13</t>
  </si>
  <si>
    <t>USD99</t>
  </si>
  <si>
    <t>mboe</t>
  </si>
  <si>
    <t>USD14</t>
  </si>
  <si>
    <t>mt LNG</t>
  </si>
  <si>
    <t>USD15</t>
  </si>
  <si>
    <t>USD16</t>
  </si>
  <si>
    <t>USD17</t>
  </si>
  <si>
    <t>USD18</t>
  </si>
  <si>
    <t>USD19</t>
  </si>
  <si>
    <t>USD21</t>
  </si>
  <si>
    <t>USD22</t>
  </si>
  <si>
    <t>USD23</t>
  </si>
  <si>
    <t>USD24</t>
  </si>
  <si>
    <t>*G_CUREX</t>
  </si>
  <si>
    <t>USD21_alt</t>
  </si>
  <si>
    <t>G_DRATE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</si>
  <si>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</si>
  <si>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</si>
  <si>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</si>
  <si>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</si>
  <si>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</si>
  <si>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</si>
  <si>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</si>
  <si>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</si>
  <si>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</si>
  <si>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</si>
  <si>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</si>
  <si>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</si>
  <si>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</si>
  <si>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</si>
  <si>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</si>
  <si>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</si>
  <si>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</si>
  <si>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</si>
  <si>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</si>
  <si>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</si>
  <si>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</si>
  <si>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</si>
  <si>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</si>
  <si>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</si>
  <si>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</si>
  <si>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</si>
  <si>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</si>
  <si>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</si>
  <si>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vervestacksMR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</si>
</sst>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1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0"/>
      <name val="Arial"/>
      <family val="2"/>
    </font>
    <font>
      <sz val="10"/>
      <name val="Arial"/>
    </font>
    <font>
      <sz val="11"/>
      <color indexed="8"/>
      <name val="Calibri"/>
      <family val="2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0"/>
      <color theme="1"/>
      <name val="Calibri"/>
      <family val="2"/>
      <scheme val="minor"/>
    </font>
    <font>
      <b/>
      <i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6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0" borderId="0"/>
    <xf numFmtId="0" fontId="4" fillId="0" borderId="0"/>
    <xf numFmtId="0" fontId="5" fillId="2" borderId="0" applyNumberFormat="0" applyBorder="0" applyAlignment="0" applyProtection="0"/>
    <xf numFmtId="0" fontId="5" fillId="2" borderId="0" applyNumberFormat="0" applyBorder="0" applyAlignment="0" applyProtection="0"/>
    <xf numFmtId="0" fontId="5" fillId="2" borderId="0" applyNumberFormat="0" applyBorder="0" applyAlignment="0" applyProtection="0"/>
    <xf numFmtId="0" fontId="3" fillId="0" borderId="0"/>
  </cellStyleXfs>
  <cellXfs count="23">
    <xf numFmtId="0" fontId="0" fillId="0" borderId="0" xfId="0"/>
    <xf numFmtId="164" fontId="1" fillId="0" borderId="1" xfId="1" applyNumberFormat="1"/>
    <xf numFmtId="164" fontId="3" fillId="0" borderId="0" xfId="3" applyNumberFormat="1"/>
    <xf numFmtId="0" fontId="3" fillId="0" borderId="0" xfId="3"/>
    <xf numFmtId="164" fontId="2" fillId="0" borderId="2" xfId="2" applyNumberFormat="1"/>
    <xf numFmtId="0" fontId="2" fillId="0" borderId="2" xfId="2"/>
    <xf numFmtId="0" fontId="4" fillId="0" borderId="0" xfId="4"/>
    <xf numFmtId="0" fontId="5" fillId="2" borderId="3" xfId="5" applyBorder="1"/>
    <xf numFmtId="0" fontId="5" fillId="2" borderId="0" xfId="5" applyBorder="1"/>
    <xf numFmtId="0" fontId="5" fillId="2" borderId="0" xfId="6"/>
    <xf numFmtId="0" fontId="6" fillId="0" borderId="0" xfId="4" applyFont="1"/>
    <xf numFmtId="0" fontId="7" fillId="0" borderId="0" xfId="4" applyFont="1"/>
    <xf numFmtId="0" fontId="8" fillId="0" borderId="0" xfId="4" quotePrefix="1" applyFont="1" applyAlignment="1">
      <alignment horizontal="left"/>
    </xf>
    <xf numFmtId="0" fontId="3" fillId="0" borderId="0" xfId="4" applyFont="1"/>
    <xf numFmtId="0" fontId="9" fillId="0" borderId="0" xfId="4" applyFont="1"/>
    <xf numFmtId="0" fontId="10" fillId="2" borderId="0" xfId="7" applyFont="1" applyBorder="1"/>
    <xf numFmtId="0" fontId="1" fillId="0" borderId="1" xfId="1"/>
    <xf numFmtId="0" fontId="11" fillId="0" borderId="0" xfId="0" applyFont="1"/>
    <xf numFmtId="0" fontId="3" fillId="0" borderId="0" xfId="8"/>
    <xf numFmtId="2" fontId="3" fillId="0" borderId="0" xfId="8" applyNumberFormat="1"/>
    <xf numFmtId="11" fontId="4" fillId="0" borderId="0" xfId="4" applyNumberFormat="1"/>
    <xf numFmtId="1" fontId="4" fillId="0" borderId="0" xfId="4" applyNumberFormat="1"/>
    <xf numFmtId="0" fontId="12" fillId="0" borderId="0" xfId="4" applyFont="1"/>
  </cellXfs>
  <cellStyles count="9">
    <cellStyle name="20% - Accent3 2 10" xfId="6" xr:uid="{A08C13C3-B829-4DF2-BE3F-F27A49A4B197}"/>
    <cellStyle name="20% - Accent3 2 13" xfId="5" xr:uid="{389B47E4-7425-4398-8F4F-122E68D55C0D}"/>
    <cellStyle name="20% - Accent6 2 7" xfId="7" xr:uid="{20E6AC3B-D875-4A43-84AA-80821330BCF2}"/>
    <cellStyle name="Heading 2" xfId="1" builtinId="17"/>
    <cellStyle name="Heading 3" xfId="2" builtinId="18"/>
    <cellStyle name="Normal" xfId="0" builtinId="0"/>
    <cellStyle name="Normal 2" xfId="8" xr:uid="{C0D1161E-7DCE-4C2D-A3CC-745F196DDA42}"/>
    <cellStyle name="Normal 39" xfId="3" xr:uid="{91A367B4-54B8-4653-9D42-7935F46A0AAC}"/>
    <cellStyle name="Normal 40" xfId="4" xr:uid="{0F50A757-C949-4E01-804D-A36D5D3BC6B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A442E-75FD-4833-986A-F0F4A9F671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3055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ABA7F-B70D-4EC6-BE52-CA58A3A1F754}">
  <dimension ref="B3:I38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17</v>
      </c>
      <c r="D6" t="s">
        <v>11</v>
      </c>
      <c r="E6" t="s">
        <v>18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19</v>
      </c>
      <c r="D7" t="s">
        <v>11</v>
      </c>
      <c r="E7" t="s">
        <v>20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21</v>
      </c>
      <c r="D8" t="s">
        <v>11</v>
      </c>
      <c r="E8" t="s">
        <v>22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23</v>
      </c>
      <c r="D9" t="s">
        <v>11</v>
      </c>
      <c r="E9" t="s">
        <v>24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25</v>
      </c>
      <c r="D10" t="s">
        <v>11</v>
      </c>
      <c r="E10" t="s">
        <v>26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27</v>
      </c>
      <c r="D11" t="s">
        <v>11</v>
      </c>
      <c r="E11" t="s">
        <v>28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29</v>
      </c>
      <c r="D12" t="s">
        <v>11</v>
      </c>
      <c r="E12" t="s">
        <v>30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31</v>
      </c>
      <c r="D13" t="s">
        <v>11</v>
      </c>
      <c r="E13" t="s">
        <v>32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33</v>
      </c>
      <c r="D14" t="s">
        <v>11</v>
      </c>
      <c r="E14" t="s">
        <v>34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35</v>
      </c>
      <c r="D15" t="s">
        <v>11</v>
      </c>
      <c r="E15" t="s">
        <v>36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37</v>
      </c>
      <c r="D16" t="s">
        <v>11</v>
      </c>
      <c r="E16" t="s">
        <v>38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39</v>
      </c>
      <c r="D17" t="s">
        <v>11</v>
      </c>
      <c r="E17" t="s">
        <v>40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41</v>
      </c>
      <c r="D18" t="s">
        <v>11</v>
      </c>
      <c r="E18" t="s">
        <v>42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43</v>
      </c>
      <c r="D19" t="s">
        <v>11</v>
      </c>
      <c r="E19" t="s">
        <v>44</v>
      </c>
      <c r="F19" t="s">
        <v>13</v>
      </c>
      <c r="G19" t="s">
        <v>14</v>
      </c>
      <c r="H19" t="s">
        <v>15</v>
      </c>
      <c r="I19" t="s">
        <v>16</v>
      </c>
    </row>
    <row r="20" spans="2:9" x14ac:dyDescent="0.45">
      <c r="B20" t="s">
        <v>9</v>
      </c>
      <c r="C20" t="s">
        <v>45</v>
      </c>
      <c r="D20" t="s">
        <v>11</v>
      </c>
      <c r="E20" t="s">
        <v>46</v>
      </c>
      <c r="F20" t="s">
        <v>13</v>
      </c>
      <c r="G20" t="s">
        <v>14</v>
      </c>
      <c r="H20" t="s">
        <v>15</v>
      </c>
      <c r="I20" t="s">
        <v>16</v>
      </c>
    </row>
    <row r="21" spans="2:9" x14ac:dyDescent="0.45">
      <c r="B21" t="s">
        <v>9</v>
      </c>
      <c r="C21" t="s">
        <v>47</v>
      </c>
      <c r="D21" t="s">
        <v>11</v>
      </c>
      <c r="E21" t="s">
        <v>48</v>
      </c>
      <c r="F21" t="s">
        <v>13</v>
      </c>
      <c r="G21" t="s">
        <v>14</v>
      </c>
      <c r="H21" t="s">
        <v>15</v>
      </c>
      <c r="I21" t="s">
        <v>16</v>
      </c>
    </row>
    <row r="22" spans="2:9" x14ac:dyDescent="0.45">
      <c r="B22" t="s">
        <v>9</v>
      </c>
      <c r="C22" t="s">
        <v>49</v>
      </c>
      <c r="D22" t="s">
        <v>11</v>
      </c>
      <c r="E22" t="s">
        <v>50</v>
      </c>
      <c r="F22" t="s">
        <v>13</v>
      </c>
      <c r="G22" t="s">
        <v>14</v>
      </c>
      <c r="H22" t="s">
        <v>15</v>
      </c>
      <c r="I22" t="s">
        <v>16</v>
      </c>
    </row>
    <row r="23" spans="2:9" x14ac:dyDescent="0.45">
      <c r="B23" t="s">
        <v>9</v>
      </c>
      <c r="C23" t="s">
        <v>51</v>
      </c>
      <c r="D23" t="s">
        <v>11</v>
      </c>
      <c r="E23" t="s">
        <v>52</v>
      </c>
      <c r="F23" t="s">
        <v>13</v>
      </c>
      <c r="G23" t="s">
        <v>14</v>
      </c>
      <c r="H23" t="s">
        <v>15</v>
      </c>
      <c r="I23" t="s">
        <v>16</v>
      </c>
    </row>
    <row r="24" spans="2:9" x14ac:dyDescent="0.45">
      <c r="B24" t="s">
        <v>9</v>
      </c>
      <c r="C24" t="s">
        <v>53</v>
      </c>
      <c r="D24" t="s">
        <v>11</v>
      </c>
      <c r="E24" t="s">
        <v>54</v>
      </c>
      <c r="F24" t="s">
        <v>13</v>
      </c>
      <c r="G24" t="s">
        <v>14</v>
      </c>
      <c r="H24" t="s">
        <v>15</v>
      </c>
      <c r="I24" t="s">
        <v>16</v>
      </c>
    </row>
    <row r="25" spans="2:9" x14ac:dyDescent="0.45">
      <c r="B25" t="s">
        <v>9</v>
      </c>
      <c r="C25" t="s">
        <v>55</v>
      </c>
      <c r="D25" t="s">
        <v>11</v>
      </c>
      <c r="E25" t="s">
        <v>56</v>
      </c>
      <c r="F25" t="s">
        <v>13</v>
      </c>
      <c r="G25" t="s">
        <v>14</v>
      </c>
      <c r="H25" t="s">
        <v>15</v>
      </c>
      <c r="I25" t="s">
        <v>16</v>
      </c>
    </row>
    <row r="26" spans="2:9" x14ac:dyDescent="0.45">
      <c r="B26" t="s">
        <v>9</v>
      </c>
      <c r="C26" t="s">
        <v>57</v>
      </c>
      <c r="D26" t="s">
        <v>11</v>
      </c>
      <c r="E26" t="s">
        <v>58</v>
      </c>
      <c r="F26" t="s">
        <v>13</v>
      </c>
      <c r="G26" t="s">
        <v>14</v>
      </c>
      <c r="H26" t="s">
        <v>15</v>
      </c>
      <c r="I26" t="s">
        <v>16</v>
      </c>
    </row>
    <row r="27" spans="2:9" x14ac:dyDescent="0.45">
      <c r="B27" t="s">
        <v>9</v>
      </c>
      <c r="C27" t="s">
        <v>59</v>
      </c>
      <c r="D27" t="s">
        <v>11</v>
      </c>
      <c r="E27" t="s">
        <v>60</v>
      </c>
      <c r="F27" t="s">
        <v>13</v>
      </c>
      <c r="G27" t="s">
        <v>14</v>
      </c>
      <c r="H27" t="s">
        <v>15</v>
      </c>
      <c r="I27" t="s">
        <v>16</v>
      </c>
    </row>
    <row r="28" spans="2:9" x14ac:dyDescent="0.45">
      <c r="B28" t="s">
        <v>9</v>
      </c>
      <c r="C28" t="s">
        <v>61</v>
      </c>
      <c r="D28" t="s">
        <v>11</v>
      </c>
      <c r="E28" t="s">
        <v>62</v>
      </c>
      <c r="F28" t="s">
        <v>13</v>
      </c>
      <c r="G28" t="s">
        <v>14</v>
      </c>
      <c r="H28" t="s">
        <v>15</v>
      </c>
      <c r="I28" t="s">
        <v>16</v>
      </c>
    </row>
    <row r="29" spans="2:9" x14ac:dyDescent="0.45">
      <c r="B29" t="s">
        <v>9</v>
      </c>
      <c r="C29" t="s">
        <v>63</v>
      </c>
      <c r="D29" t="s">
        <v>11</v>
      </c>
      <c r="E29" t="s">
        <v>64</v>
      </c>
      <c r="F29" t="s">
        <v>13</v>
      </c>
      <c r="G29" t="s">
        <v>14</v>
      </c>
      <c r="H29" t="s">
        <v>15</v>
      </c>
      <c r="I29" t="s">
        <v>16</v>
      </c>
    </row>
    <row r="30" spans="2:9" x14ac:dyDescent="0.45">
      <c r="B30" t="s">
        <v>9</v>
      </c>
      <c r="C30" t="s">
        <v>65</v>
      </c>
      <c r="D30" t="s">
        <v>11</v>
      </c>
      <c r="E30" t="s">
        <v>66</v>
      </c>
      <c r="F30" t="s">
        <v>13</v>
      </c>
      <c r="G30" t="s">
        <v>14</v>
      </c>
      <c r="H30" t="s">
        <v>15</v>
      </c>
      <c r="I30" t="s">
        <v>16</v>
      </c>
    </row>
    <row r="31" spans="2:9" x14ac:dyDescent="0.45">
      <c r="B31" t="s">
        <v>9</v>
      </c>
      <c r="C31" t="s">
        <v>67</v>
      </c>
      <c r="D31" t="s">
        <v>11</v>
      </c>
      <c r="E31" t="s">
        <v>68</v>
      </c>
      <c r="F31" t="s">
        <v>13</v>
      </c>
      <c r="G31" t="s">
        <v>14</v>
      </c>
      <c r="H31" t="s">
        <v>15</v>
      </c>
      <c r="I31" t="s">
        <v>16</v>
      </c>
    </row>
    <row r="32" spans="2:9" x14ac:dyDescent="0.45">
      <c r="B32" t="s">
        <v>9</v>
      </c>
      <c r="C32" t="s">
        <v>69</v>
      </c>
      <c r="D32" t="s">
        <v>11</v>
      </c>
      <c r="E32" t="s">
        <v>70</v>
      </c>
      <c r="F32" t="s">
        <v>13</v>
      </c>
      <c r="G32" t="s">
        <v>14</v>
      </c>
      <c r="H32" t="s">
        <v>15</v>
      </c>
      <c r="I32" t="s">
        <v>16</v>
      </c>
    </row>
    <row r="33" spans="2:9" x14ac:dyDescent="0.45">
      <c r="B33" t="s">
        <v>9</v>
      </c>
      <c r="C33" t="s">
        <v>71</v>
      </c>
      <c r="D33" t="s">
        <v>11</v>
      </c>
      <c r="E33" t="s">
        <v>72</v>
      </c>
      <c r="F33" t="s">
        <v>13</v>
      </c>
      <c r="G33" t="s">
        <v>14</v>
      </c>
      <c r="H33" t="s">
        <v>15</v>
      </c>
      <c r="I33" t="s">
        <v>16</v>
      </c>
    </row>
    <row r="34" spans="2:9" x14ac:dyDescent="0.45">
      <c r="B34" t="s">
        <v>9</v>
      </c>
      <c r="C34" t="s">
        <v>73</v>
      </c>
      <c r="D34" t="s">
        <v>11</v>
      </c>
      <c r="E34" t="s">
        <v>74</v>
      </c>
      <c r="F34" t="s">
        <v>13</v>
      </c>
      <c r="G34" t="s">
        <v>14</v>
      </c>
      <c r="H34" t="s">
        <v>15</v>
      </c>
      <c r="I34" t="s">
        <v>16</v>
      </c>
    </row>
    <row r="35" spans="2:9" x14ac:dyDescent="0.45">
      <c r="B35" t="s">
        <v>9</v>
      </c>
      <c r="C35" t="s">
        <v>75</v>
      </c>
      <c r="D35" t="s">
        <v>11</v>
      </c>
      <c r="E35" t="s">
        <v>76</v>
      </c>
      <c r="F35" t="s">
        <v>13</v>
      </c>
      <c r="G35" t="s">
        <v>14</v>
      </c>
      <c r="H35" t="s">
        <v>15</v>
      </c>
      <c r="I35" t="s">
        <v>16</v>
      </c>
    </row>
    <row r="36" spans="2:9" x14ac:dyDescent="0.45">
      <c r="B36" t="s">
        <v>9</v>
      </c>
      <c r="C36" t="s">
        <v>77</v>
      </c>
      <c r="D36" t="s">
        <v>11</v>
      </c>
      <c r="E36" t="s">
        <v>78</v>
      </c>
      <c r="F36" t="s">
        <v>13</v>
      </c>
      <c r="G36" t="s">
        <v>14</v>
      </c>
      <c r="H36" t="s">
        <v>15</v>
      </c>
      <c r="I36" t="s">
        <v>16</v>
      </c>
    </row>
    <row r="37" spans="2:9" x14ac:dyDescent="0.45">
      <c r="B37" t="s">
        <v>9</v>
      </c>
      <c r="C37" t="s">
        <v>79</v>
      </c>
      <c r="D37" t="s">
        <v>11</v>
      </c>
      <c r="E37" t="s">
        <v>80</v>
      </c>
      <c r="F37" t="s">
        <v>13</v>
      </c>
      <c r="G37" t="s">
        <v>14</v>
      </c>
      <c r="H37" t="s">
        <v>15</v>
      </c>
      <c r="I37" t="s">
        <v>16</v>
      </c>
    </row>
    <row r="38" spans="2:9" x14ac:dyDescent="0.45">
      <c r="B38" t="s">
        <v>9</v>
      </c>
      <c r="C38" t="s">
        <v>81</v>
      </c>
      <c r="D38" t="s">
        <v>11</v>
      </c>
      <c r="E38" t="s">
        <v>82</v>
      </c>
      <c r="F38" t="s">
        <v>13</v>
      </c>
      <c r="G38" t="s">
        <v>14</v>
      </c>
      <c r="H38" t="s">
        <v>15</v>
      </c>
      <c r="I38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884EA-7511-4368-B69D-476D0D6C85C4}">
  <dimension ref="B3:I38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83</v>
      </c>
      <c r="D5" t="s">
        <v>11</v>
      </c>
      <c r="E5" t="s">
        <v>84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87</v>
      </c>
      <c r="D6" t="s">
        <v>11</v>
      </c>
      <c r="E6" t="s">
        <v>88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89</v>
      </c>
      <c r="D7" t="s">
        <v>11</v>
      </c>
      <c r="E7" t="s">
        <v>90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91</v>
      </c>
      <c r="D8" t="s">
        <v>11</v>
      </c>
      <c r="E8" t="s">
        <v>92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93</v>
      </c>
      <c r="D9" t="s">
        <v>11</v>
      </c>
      <c r="E9" t="s">
        <v>94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95</v>
      </c>
      <c r="D10" t="s">
        <v>11</v>
      </c>
      <c r="E10" t="s">
        <v>96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97</v>
      </c>
      <c r="D11" t="s">
        <v>11</v>
      </c>
      <c r="E11" t="s">
        <v>98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99</v>
      </c>
      <c r="D12" t="s">
        <v>11</v>
      </c>
      <c r="E12" t="s">
        <v>100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101</v>
      </c>
      <c r="D13" t="s">
        <v>11</v>
      </c>
      <c r="E13" t="s">
        <v>102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103</v>
      </c>
      <c r="D14" t="s">
        <v>11</v>
      </c>
      <c r="E14" t="s">
        <v>104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105</v>
      </c>
      <c r="D15" t="s">
        <v>11</v>
      </c>
      <c r="E15" t="s">
        <v>106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107</v>
      </c>
      <c r="D16" t="s">
        <v>11</v>
      </c>
      <c r="E16" t="s">
        <v>108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109</v>
      </c>
      <c r="D17" t="s">
        <v>11</v>
      </c>
      <c r="E17" t="s">
        <v>110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111</v>
      </c>
      <c r="D18" t="s">
        <v>11</v>
      </c>
      <c r="E18" t="s">
        <v>112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113</v>
      </c>
      <c r="D19" t="s">
        <v>11</v>
      </c>
      <c r="E19" t="s">
        <v>114</v>
      </c>
      <c r="F19" t="s">
        <v>85</v>
      </c>
      <c r="G19" t="s">
        <v>86</v>
      </c>
      <c r="H19" t="s">
        <v>15</v>
      </c>
      <c r="I19" t="s">
        <v>16</v>
      </c>
    </row>
    <row r="20" spans="2:9" x14ac:dyDescent="0.45">
      <c r="B20" t="s">
        <v>9</v>
      </c>
      <c r="C20" t="s">
        <v>115</v>
      </c>
      <c r="D20" t="s">
        <v>11</v>
      </c>
      <c r="E20" t="s">
        <v>116</v>
      </c>
      <c r="F20" t="s">
        <v>85</v>
      </c>
      <c r="G20" t="s">
        <v>86</v>
      </c>
      <c r="H20" t="s">
        <v>15</v>
      </c>
      <c r="I20" t="s">
        <v>16</v>
      </c>
    </row>
    <row r="21" spans="2:9" x14ac:dyDescent="0.45">
      <c r="B21" t="s">
        <v>9</v>
      </c>
      <c r="C21" t="s">
        <v>117</v>
      </c>
      <c r="D21" t="s">
        <v>11</v>
      </c>
      <c r="E21" t="s">
        <v>118</v>
      </c>
      <c r="F21" t="s">
        <v>85</v>
      </c>
      <c r="G21" t="s">
        <v>86</v>
      </c>
      <c r="H21" t="s">
        <v>15</v>
      </c>
      <c r="I21" t="s">
        <v>16</v>
      </c>
    </row>
    <row r="22" spans="2:9" x14ac:dyDescent="0.45">
      <c r="B22" t="s">
        <v>9</v>
      </c>
      <c r="C22" t="s">
        <v>119</v>
      </c>
      <c r="D22" t="s">
        <v>11</v>
      </c>
      <c r="E22" t="s">
        <v>120</v>
      </c>
      <c r="F22" t="s">
        <v>85</v>
      </c>
      <c r="G22" t="s">
        <v>86</v>
      </c>
      <c r="H22" t="s">
        <v>15</v>
      </c>
      <c r="I22" t="s">
        <v>16</v>
      </c>
    </row>
    <row r="23" spans="2:9" x14ac:dyDescent="0.45">
      <c r="B23" t="s">
        <v>9</v>
      </c>
      <c r="C23" t="s">
        <v>121</v>
      </c>
      <c r="D23" t="s">
        <v>11</v>
      </c>
      <c r="E23" t="s">
        <v>122</v>
      </c>
      <c r="F23" t="s">
        <v>85</v>
      </c>
      <c r="G23" t="s">
        <v>86</v>
      </c>
      <c r="H23" t="s">
        <v>15</v>
      </c>
      <c r="I23" t="s">
        <v>16</v>
      </c>
    </row>
    <row r="24" spans="2:9" x14ac:dyDescent="0.45">
      <c r="B24" t="s">
        <v>9</v>
      </c>
      <c r="C24" t="s">
        <v>123</v>
      </c>
      <c r="D24" t="s">
        <v>11</v>
      </c>
      <c r="E24" t="s">
        <v>124</v>
      </c>
      <c r="F24" t="s">
        <v>85</v>
      </c>
      <c r="G24" t="s">
        <v>86</v>
      </c>
      <c r="H24" t="s">
        <v>15</v>
      </c>
      <c r="I24" t="s">
        <v>16</v>
      </c>
    </row>
    <row r="25" spans="2:9" x14ac:dyDescent="0.45">
      <c r="B25" t="s">
        <v>9</v>
      </c>
      <c r="C25" t="s">
        <v>125</v>
      </c>
      <c r="D25" t="s">
        <v>11</v>
      </c>
      <c r="E25" t="s">
        <v>126</v>
      </c>
      <c r="F25" t="s">
        <v>85</v>
      </c>
      <c r="G25" t="s">
        <v>86</v>
      </c>
      <c r="H25" t="s">
        <v>15</v>
      </c>
      <c r="I25" t="s">
        <v>16</v>
      </c>
    </row>
    <row r="26" spans="2:9" x14ac:dyDescent="0.45">
      <c r="B26" t="s">
        <v>9</v>
      </c>
      <c r="C26" t="s">
        <v>127</v>
      </c>
      <c r="D26" t="s">
        <v>11</v>
      </c>
      <c r="E26" t="s">
        <v>128</v>
      </c>
      <c r="F26" t="s">
        <v>85</v>
      </c>
      <c r="G26" t="s">
        <v>86</v>
      </c>
      <c r="H26" t="s">
        <v>15</v>
      </c>
      <c r="I26" t="s">
        <v>16</v>
      </c>
    </row>
    <row r="27" spans="2:9" x14ac:dyDescent="0.45">
      <c r="B27" t="s">
        <v>9</v>
      </c>
      <c r="C27" t="s">
        <v>129</v>
      </c>
      <c r="D27" t="s">
        <v>11</v>
      </c>
      <c r="E27" t="s">
        <v>130</v>
      </c>
      <c r="F27" t="s">
        <v>85</v>
      </c>
      <c r="G27" t="s">
        <v>86</v>
      </c>
      <c r="H27" t="s">
        <v>15</v>
      </c>
      <c r="I27" t="s">
        <v>16</v>
      </c>
    </row>
    <row r="28" spans="2:9" x14ac:dyDescent="0.45">
      <c r="B28" t="s">
        <v>9</v>
      </c>
      <c r="C28" t="s">
        <v>131</v>
      </c>
      <c r="D28" t="s">
        <v>11</v>
      </c>
      <c r="E28" t="s">
        <v>132</v>
      </c>
      <c r="F28" t="s">
        <v>85</v>
      </c>
      <c r="G28" t="s">
        <v>86</v>
      </c>
      <c r="H28" t="s">
        <v>15</v>
      </c>
      <c r="I28" t="s">
        <v>16</v>
      </c>
    </row>
    <row r="29" spans="2:9" x14ac:dyDescent="0.45">
      <c r="B29" t="s">
        <v>9</v>
      </c>
      <c r="C29" t="s">
        <v>133</v>
      </c>
      <c r="D29" t="s">
        <v>11</v>
      </c>
      <c r="E29" t="s">
        <v>134</v>
      </c>
      <c r="F29" t="s">
        <v>85</v>
      </c>
      <c r="G29" t="s">
        <v>86</v>
      </c>
      <c r="H29" t="s">
        <v>15</v>
      </c>
      <c r="I29" t="s">
        <v>16</v>
      </c>
    </row>
    <row r="30" spans="2:9" x14ac:dyDescent="0.45">
      <c r="B30" t="s">
        <v>9</v>
      </c>
      <c r="C30" t="s">
        <v>135</v>
      </c>
      <c r="D30" t="s">
        <v>11</v>
      </c>
      <c r="E30" t="s">
        <v>136</v>
      </c>
      <c r="F30" t="s">
        <v>85</v>
      </c>
      <c r="G30" t="s">
        <v>86</v>
      </c>
      <c r="H30" t="s">
        <v>15</v>
      </c>
      <c r="I30" t="s">
        <v>16</v>
      </c>
    </row>
    <row r="31" spans="2:9" x14ac:dyDescent="0.45">
      <c r="B31" t="s">
        <v>9</v>
      </c>
      <c r="C31" t="s">
        <v>137</v>
      </c>
      <c r="D31" t="s">
        <v>11</v>
      </c>
      <c r="E31" t="s">
        <v>138</v>
      </c>
      <c r="F31" t="s">
        <v>85</v>
      </c>
      <c r="G31" t="s">
        <v>86</v>
      </c>
      <c r="H31" t="s">
        <v>15</v>
      </c>
      <c r="I31" t="s">
        <v>16</v>
      </c>
    </row>
    <row r="32" spans="2:9" x14ac:dyDescent="0.45">
      <c r="B32" t="s">
        <v>9</v>
      </c>
      <c r="C32" t="s">
        <v>139</v>
      </c>
      <c r="D32" t="s">
        <v>11</v>
      </c>
      <c r="E32" t="s">
        <v>140</v>
      </c>
      <c r="F32" t="s">
        <v>85</v>
      </c>
      <c r="G32" t="s">
        <v>86</v>
      </c>
      <c r="H32" t="s">
        <v>15</v>
      </c>
      <c r="I32" t="s">
        <v>16</v>
      </c>
    </row>
    <row r="33" spans="2:9" x14ac:dyDescent="0.45">
      <c r="B33" t="s">
        <v>9</v>
      </c>
      <c r="C33" t="s">
        <v>141</v>
      </c>
      <c r="D33" t="s">
        <v>11</v>
      </c>
      <c r="E33" t="s">
        <v>142</v>
      </c>
      <c r="F33" t="s">
        <v>85</v>
      </c>
      <c r="G33" t="s">
        <v>86</v>
      </c>
      <c r="H33" t="s">
        <v>15</v>
      </c>
      <c r="I33" t="s">
        <v>16</v>
      </c>
    </row>
    <row r="34" spans="2:9" x14ac:dyDescent="0.45">
      <c r="B34" t="s">
        <v>9</v>
      </c>
      <c r="C34" t="s">
        <v>143</v>
      </c>
      <c r="D34" t="s">
        <v>11</v>
      </c>
      <c r="E34" t="s">
        <v>144</v>
      </c>
      <c r="F34" t="s">
        <v>85</v>
      </c>
      <c r="G34" t="s">
        <v>86</v>
      </c>
      <c r="H34" t="s">
        <v>15</v>
      </c>
      <c r="I34" t="s">
        <v>16</v>
      </c>
    </row>
    <row r="35" spans="2:9" x14ac:dyDescent="0.45">
      <c r="B35" t="s">
        <v>9</v>
      </c>
      <c r="C35" t="s">
        <v>145</v>
      </c>
      <c r="D35" t="s">
        <v>11</v>
      </c>
      <c r="E35" t="s">
        <v>146</v>
      </c>
      <c r="F35" t="s">
        <v>85</v>
      </c>
      <c r="G35" t="s">
        <v>86</v>
      </c>
      <c r="H35" t="s">
        <v>15</v>
      </c>
      <c r="I35" t="s">
        <v>16</v>
      </c>
    </row>
    <row r="36" spans="2:9" x14ac:dyDescent="0.45">
      <c r="B36" t="s">
        <v>9</v>
      </c>
      <c r="C36" t="s">
        <v>147</v>
      </c>
      <c r="D36" t="s">
        <v>11</v>
      </c>
      <c r="E36" t="s">
        <v>148</v>
      </c>
      <c r="F36" t="s">
        <v>85</v>
      </c>
      <c r="G36" t="s">
        <v>86</v>
      </c>
      <c r="H36" t="s">
        <v>15</v>
      </c>
      <c r="I36" t="s">
        <v>16</v>
      </c>
    </row>
    <row r="37" spans="2:9" x14ac:dyDescent="0.45">
      <c r="B37" t="s">
        <v>9</v>
      </c>
      <c r="C37" t="s">
        <v>149</v>
      </c>
      <c r="D37" t="s">
        <v>11</v>
      </c>
      <c r="E37" t="s">
        <v>150</v>
      </c>
      <c r="F37" t="s">
        <v>85</v>
      </c>
      <c r="G37" t="s">
        <v>86</v>
      </c>
      <c r="H37" t="s">
        <v>15</v>
      </c>
      <c r="I37" t="s">
        <v>16</v>
      </c>
    </row>
    <row r="38" spans="2:9" x14ac:dyDescent="0.45">
      <c r="B38" t="s">
        <v>9</v>
      </c>
      <c r="C38" t="s">
        <v>151</v>
      </c>
      <c r="D38" t="s">
        <v>11</v>
      </c>
      <c r="E38" t="s">
        <v>152</v>
      </c>
      <c r="F38" t="s">
        <v>85</v>
      </c>
      <c r="G38" t="s">
        <v>86</v>
      </c>
      <c r="H38" t="s">
        <v>15</v>
      </c>
      <c r="I38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081B6-705D-4951-AE49-E1352B9DF56D}">
  <dimension ref="B3:S79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158</v>
      </c>
      <c r="O5" t="s">
        <v>11</v>
      </c>
      <c r="P5" t="s">
        <v>159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161</v>
      </c>
      <c r="O6" t="s">
        <v>11</v>
      </c>
      <c r="P6" t="s">
        <v>162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164</v>
      </c>
      <c r="O7" t="s">
        <v>11</v>
      </c>
      <c r="P7" t="s">
        <v>165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167</v>
      </c>
      <c r="O8" t="s">
        <v>11</v>
      </c>
      <c r="P8" t="s">
        <v>168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170</v>
      </c>
      <c r="O9" t="s">
        <v>11</v>
      </c>
      <c r="P9" t="s">
        <v>171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173</v>
      </c>
      <c r="O10" t="s">
        <v>11</v>
      </c>
      <c r="P10" t="s">
        <v>174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176</v>
      </c>
      <c r="O11" t="s">
        <v>11</v>
      </c>
      <c r="P11" t="s">
        <v>177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179</v>
      </c>
      <c r="O12" t="s">
        <v>11</v>
      </c>
      <c r="P12" t="s">
        <v>180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182</v>
      </c>
      <c r="O13" t="s">
        <v>11</v>
      </c>
      <c r="P13" t="s">
        <v>183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186</v>
      </c>
      <c r="O14" t="s">
        <v>11</v>
      </c>
      <c r="P14" t="s">
        <v>187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190</v>
      </c>
      <c r="O15" t="s">
        <v>11</v>
      </c>
      <c r="P15" t="s">
        <v>191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194</v>
      </c>
      <c r="O16" t="s">
        <v>11</v>
      </c>
      <c r="P16" t="s">
        <v>195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198</v>
      </c>
      <c r="O17" t="s">
        <v>11</v>
      </c>
      <c r="P17" t="s">
        <v>199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203</v>
      </c>
      <c r="O18" t="s">
        <v>11</v>
      </c>
      <c r="P18" t="s">
        <v>204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207</v>
      </c>
      <c r="O19" t="s">
        <v>11</v>
      </c>
      <c r="P19" t="s">
        <v>208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211</v>
      </c>
      <c r="O20" t="s">
        <v>11</v>
      </c>
      <c r="P20" t="s">
        <v>212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215</v>
      </c>
      <c r="O21" t="s">
        <v>11</v>
      </c>
      <c r="P21" t="s">
        <v>216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219</v>
      </c>
      <c r="O22" t="s">
        <v>11</v>
      </c>
      <c r="P22" t="s">
        <v>220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223</v>
      </c>
      <c r="O23" t="s">
        <v>11</v>
      </c>
      <c r="P23" t="s">
        <v>224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227</v>
      </c>
      <c r="O24" t="s">
        <v>11</v>
      </c>
      <c r="P24" t="s">
        <v>228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233</v>
      </c>
      <c r="O25" t="s">
        <v>11</v>
      </c>
      <c r="P25" t="s">
        <v>234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236</v>
      </c>
      <c r="O26" t="s">
        <v>11</v>
      </c>
      <c r="P26" t="s">
        <v>237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239</v>
      </c>
      <c r="O27" t="s">
        <v>11</v>
      </c>
      <c r="P27" t="s">
        <v>240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241</v>
      </c>
      <c r="O28" t="s">
        <v>11</v>
      </c>
      <c r="P28" t="s">
        <v>242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243</v>
      </c>
      <c r="O29" t="s">
        <v>11</v>
      </c>
      <c r="P29" t="s">
        <v>244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  <c r="M30" t="s">
        <v>9</v>
      </c>
      <c r="N30" t="s">
        <v>246</v>
      </c>
      <c r="O30" t="s">
        <v>11</v>
      </c>
      <c r="P30" t="s">
        <v>247</v>
      </c>
      <c r="Q30" t="s">
        <v>85</v>
      </c>
      <c r="R30" t="s">
        <v>86</v>
      </c>
      <c r="S30" t="s">
        <v>16</v>
      </c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  <c r="M31" t="s">
        <v>9</v>
      </c>
      <c r="N31" t="s">
        <v>251</v>
      </c>
      <c r="O31" t="s">
        <v>11</v>
      </c>
      <c r="P31" t="s">
        <v>252</v>
      </c>
      <c r="Q31" t="s">
        <v>85</v>
      </c>
      <c r="R31" t="s">
        <v>86</v>
      </c>
      <c r="S31" t="s">
        <v>16</v>
      </c>
    </row>
    <row r="32" spans="2:19" x14ac:dyDescent="0.45">
      <c r="B32" t="s">
        <v>253</v>
      </c>
      <c r="C32" t="s">
        <v>254</v>
      </c>
      <c r="D32" t="s">
        <v>255</v>
      </c>
      <c r="M32" t="s">
        <v>9</v>
      </c>
      <c r="N32" t="s">
        <v>256</v>
      </c>
      <c r="O32" t="s">
        <v>11</v>
      </c>
      <c r="P32" t="s">
        <v>257</v>
      </c>
      <c r="Q32" t="s">
        <v>85</v>
      </c>
      <c r="R32" t="s">
        <v>86</v>
      </c>
      <c r="S32" t="s">
        <v>16</v>
      </c>
    </row>
    <row r="33" spans="2:19" x14ac:dyDescent="0.45">
      <c r="M33" t="s">
        <v>9</v>
      </c>
      <c r="N33" t="s">
        <v>258</v>
      </c>
      <c r="O33" t="s">
        <v>11</v>
      </c>
      <c r="P33" t="s">
        <v>259</v>
      </c>
      <c r="Q33" t="s">
        <v>85</v>
      </c>
      <c r="R33" t="s">
        <v>86</v>
      </c>
      <c r="S33" t="s">
        <v>16</v>
      </c>
    </row>
    <row r="34" spans="2:19" x14ac:dyDescent="0.45">
      <c r="M34" t="s">
        <v>9</v>
      </c>
      <c r="N34" t="s">
        <v>260</v>
      </c>
      <c r="O34" t="s">
        <v>11</v>
      </c>
      <c r="P34" t="s">
        <v>261</v>
      </c>
      <c r="Q34" t="s">
        <v>85</v>
      </c>
      <c r="R34" t="s">
        <v>86</v>
      </c>
      <c r="S34" t="s">
        <v>16</v>
      </c>
    </row>
    <row r="35" spans="2:19" x14ac:dyDescent="0.45">
      <c r="M35" t="s">
        <v>9</v>
      </c>
      <c r="N35" t="s">
        <v>262</v>
      </c>
      <c r="O35" t="s">
        <v>11</v>
      </c>
      <c r="P35" t="s">
        <v>263</v>
      </c>
      <c r="Q35" t="s">
        <v>85</v>
      </c>
      <c r="R35" t="s">
        <v>86</v>
      </c>
      <c r="S35" t="s">
        <v>16</v>
      </c>
    </row>
    <row r="36" spans="2:19" x14ac:dyDescent="0.45">
      <c r="M36" t="s">
        <v>9</v>
      </c>
      <c r="N36" t="s">
        <v>264</v>
      </c>
      <c r="O36" t="s">
        <v>11</v>
      </c>
      <c r="P36" t="s">
        <v>265</v>
      </c>
      <c r="Q36" t="s">
        <v>85</v>
      </c>
      <c r="R36" t="s">
        <v>86</v>
      </c>
      <c r="S36" t="s">
        <v>16</v>
      </c>
    </row>
    <row r="37" spans="2:19" x14ac:dyDescent="0.45">
      <c r="M37" t="s">
        <v>9</v>
      </c>
      <c r="N37" t="s">
        <v>266</v>
      </c>
      <c r="O37" t="s">
        <v>11</v>
      </c>
      <c r="P37" t="s">
        <v>267</v>
      </c>
      <c r="Q37" t="s">
        <v>85</v>
      </c>
      <c r="R37" t="s">
        <v>86</v>
      </c>
      <c r="S37" t="s">
        <v>16</v>
      </c>
    </row>
    <row r="38" spans="2:19" ht="17.25" thickBot="1" x14ac:dyDescent="0.55000000000000004">
      <c r="B38" s="1" t="s">
        <v>153</v>
      </c>
      <c r="C38" s="2"/>
      <c r="D38" s="2"/>
      <c r="M38" t="s">
        <v>9</v>
      </c>
      <c r="N38" t="s">
        <v>268</v>
      </c>
      <c r="O38" t="s">
        <v>11</v>
      </c>
      <c r="P38" t="s">
        <v>269</v>
      </c>
      <c r="Q38" t="s">
        <v>85</v>
      </c>
      <c r="R38" t="s">
        <v>86</v>
      </c>
      <c r="S38" t="s">
        <v>16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  <c r="M39" t="s">
        <v>9</v>
      </c>
      <c r="N39" t="s">
        <v>271</v>
      </c>
      <c r="O39" t="s">
        <v>11</v>
      </c>
      <c r="P39" t="s">
        <v>272</v>
      </c>
      <c r="Q39" t="s">
        <v>85</v>
      </c>
      <c r="R39" t="s">
        <v>86</v>
      </c>
      <c r="S39" t="s">
        <v>16</v>
      </c>
    </row>
    <row r="40" spans="2:19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  <c r="M40" t="s">
        <v>9</v>
      </c>
      <c r="N40" t="s">
        <v>277</v>
      </c>
      <c r="O40" t="s">
        <v>11</v>
      </c>
      <c r="P40" t="s">
        <v>278</v>
      </c>
      <c r="Q40" t="s">
        <v>85</v>
      </c>
      <c r="R40" t="s">
        <v>86</v>
      </c>
      <c r="S40" t="s">
        <v>16</v>
      </c>
    </row>
    <row r="41" spans="2:19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  <c r="M41" t="s">
        <v>9</v>
      </c>
      <c r="N41" t="s">
        <v>281</v>
      </c>
      <c r="O41" t="s">
        <v>11</v>
      </c>
      <c r="P41" t="s">
        <v>282</v>
      </c>
      <c r="Q41" t="s">
        <v>85</v>
      </c>
      <c r="R41" t="s">
        <v>86</v>
      </c>
      <c r="S41" t="s">
        <v>16</v>
      </c>
    </row>
    <row r="42" spans="2:19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  <c r="M42" t="s">
        <v>9</v>
      </c>
      <c r="N42" t="s">
        <v>285</v>
      </c>
      <c r="O42" t="s">
        <v>11</v>
      </c>
      <c r="P42" t="s">
        <v>286</v>
      </c>
      <c r="Q42" t="s">
        <v>85</v>
      </c>
      <c r="R42" t="s">
        <v>86</v>
      </c>
      <c r="S42" t="s">
        <v>16</v>
      </c>
    </row>
    <row r="43" spans="2:19" x14ac:dyDescent="0.45">
      <c r="C43" t="s">
        <v>287</v>
      </c>
      <c r="D43" t="s">
        <v>288</v>
      </c>
      <c r="E43" t="s">
        <v>289</v>
      </c>
      <c r="F43" t="s">
        <v>290</v>
      </c>
      <c r="M43" t="s">
        <v>9</v>
      </c>
      <c r="N43" t="s">
        <v>291</v>
      </c>
      <c r="O43" t="s">
        <v>11</v>
      </c>
      <c r="P43" t="s">
        <v>292</v>
      </c>
      <c r="Q43" t="s">
        <v>85</v>
      </c>
      <c r="R43" t="s">
        <v>86</v>
      </c>
      <c r="S43" t="s">
        <v>16</v>
      </c>
    </row>
    <row r="44" spans="2:19" x14ac:dyDescent="0.45">
      <c r="M44" t="s">
        <v>9</v>
      </c>
      <c r="N44" t="s">
        <v>293</v>
      </c>
      <c r="O44" t="s">
        <v>11</v>
      </c>
      <c r="P44" t="s">
        <v>294</v>
      </c>
      <c r="Q44" t="s">
        <v>85</v>
      </c>
      <c r="R44" t="s">
        <v>86</v>
      </c>
      <c r="S44" t="s">
        <v>16</v>
      </c>
    </row>
    <row r="45" spans="2:19" x14ac:dyDescent="0.45">
      <c r="M45" t="s">
        <v>9</v>
      </c>
      <c r="N45" t="s">
        <v>295</v>
      </c>
      <c r="O45" t="s">
        <v>11</v>
      </c>
      <c r="P45" t="s">
        <v>296</v>
      </c>
      <c r="Q45" t="s">
        <v>85</v>
      </c>
      <c r="R45" t="s">
        <v>86</v>
      </c>
      <c r="S45" t="s">
        <v>16</v>
      </c>
    </row>
    <row r="46" spans="2:19" x14ac:dyDescent="0.45">
      <c r="M46" t="s">
        <v>9</v>
      </c>
      <c r="N46" t="s">
        <v>297</v>
      </c>
      <c r="O46" t="s">
        <v>11</v>
      </c>
      <c r="P46" t="s">
        <v>298</v>
      </c>
      <c r="Q46" t="s">
        <v>85</v>
      </c>
      <c r="R46" t="s">
        <v>86</v>
      </c>
      <c r="S46" t="s">
        <v>16</v>
      </c>
    </row>
    <row r="47" spans="2:19" x14ac:dyDescent="0.45">
      <c r="M47" t="s">
        <v>9</v>
      </c>
      <c r="N47" t="s">
        <v>299</v>
      </c>
      <c r="O47" t="s">
        <v>11</v>
      </c>
      <c r="P47" t="s">
        <v>300</v>
      </c>
      <c r="Q47" t="s">
        <v>85</v>
      </c>
      <c r="R47" t="s">
        <v>86</v>
      </c>
      <c r="S47" t="s">
        <v>16</v>
      </c>
    </row>
    <row r="48" spans="2:19" x14ac:dyDescent="0.45">
      <c r="M48" t="s">
        <v>9</v>
      </c>
      <c r="N48" t="s">
        <v>301</v>
      </c>
      <c r="O48" t="s">
        <v>11</v>
      </c>
      <c r="P48" t="s">
        <v>302</v>
      </c>
      <c r="Q48" t="s">
        <v>85</v>
      </c>
      <c r="R48" t="s">
        <v>86</v>
      </c>
      <c r="S48" t="s">
        <v>16</v>
      </c>
    </row>
    <row r="49" spans="13:19" x14ac:dyDescent="0.45">
      <c r="M49" t="s">
        <v>9</v>
      </c>
      <c r="N49" t="s">
        <v>303</v>
      </c>
      <c r="O49" t="s">
        <v>11</v>
      </c>
      <c r="P49" t="s">
        <v>304</v>
      </c>
      <c r="Q49" t="s">
        <v>85</v>
      </c>
      <c r="R49" t="s">
        <v>86</v>
      </c>
      <c r="S49" t="s">
        <v>16</v>
      </c>
    </row>
    <row r="50" spans="13:19" x14ac:dyDescent="0.45">
      <c r="M50" t="s">
        <v>9</v>
      </c>
      <c r="N50" t="s">
        <v>305</v>
      </c>
      <c r="O50" t="s">
        <v>11</v>
      </c>
      <c r="P50" t="s">
        <v>306</v>
      </c>
      <c r="Q50" t="s">
        <v>85</v>
      </c>
      <c r="R50" t="s">
        <v>86</v>
      </c>
      <c r="S50" t="s">
        <v>16</v>
      </c>
    </row>
    <row r="51" spans="13:19" x14ac:dyDescent="0.45">
      <c r="M51" t="s">
        <v>9</v>
      </c>
      <c r="N51" t="s">
        <v>307</v>
      </c>
      <c r="O51" t="s">
        <v>11</v>
      </c>
      <c r="P51" t="s">
        <v>308</v>
      </c>
      <c r="Q51" t="s">
        <v>85</v>
      </c>
      <c r="R51" t="s">
        <v>86</v>
      </c>
      <c r="S51" t="s">
        <v>16</v>
      </c>
    </row>
    <row r="52" spans="13:19" x14ac:dyDescent="0.45">
      <c r="M52" t="s">
        <v>9</v>
      </c>
      <c r="N52" t="s">
        <v>309</v>
      </c>
      <c r="O52" t="s">
        <v>11</v>
      </c>
      <c r="P52" t="s">
        <v>310</v>
      </c>
      <c r="Q52" t="s">
        <v>85</v>
      </c>
      <c r="R52" t="s">
        <v>86</v>
      </c>
      <c r="S52" t="s">
        <v>16</v>
      </c>
    </row>
    <row r="53" spans="13:19" x14ac:dyDescent="0.45">
      <c r="M53" t="s">
        <v>9</v>
      </c>
      <c r="N53" t="s">
        <v>311</v>
      </c>
      <c r="O53" t="s">
        <v>11</v>
      </c>
      <c r="P53" t="s">
        <v>312</v>
      </c>
      <c r="Q53" t="s">
        <v>85</v>
      </c>
      <c r="R53" t="s">
        <v>86</v>
      </c>
      <c r="S53" t="s">
        <v>16</v>
      </c>
    </row>
    <row r="54" spans="13:19" x14ac:dyDescent="0.45">
      <c r="M54" t="s">
        <v>9</v>
      </c>
      <c r="N54" t="s">
        <v>313</v>
      </c>
      <c r="O54" t="s">
        <v>11</v>
      </c>
      <c r="P54" t="s">
        <v>314</v>
      </c>
      <c r="Q54" t="s">
        <v>85</v>
      </c>
      <c r="R54" t="s">
        <v>86</v>
      </c>
      <c r="S54" t="s">
        <v>16</v>
      </c>
    </row>
    <row r="55" spans="13:19" x14ac:dyDescent="0.45">
      <c r="M55" t="s">
        <v>9</v>
      </c>
      <c r="N55" t="s">
        <v>315</v>
      </c>
      <c r="O55" t="s">
        <v>11</v>
      </c>
      <c r="P55" t="s">
        <v>316</v>
      </c>
      <c r="Q55" t="s">
        <v>85</v>
      </c>
      <c r="R55" t="s">
        <v>86</v>
      </c>
      <c r="S55" t="s">
        <v>16</v>
      </c>
    </row>
    <row r="56" spans="13:19" x14ac:dyDescent="0.45">
      <c r="M56" t="s">
        <v>9</v>
      </c>
      <c r="N56" t="s">
        <v>317</v>
      </c>
      <c r="O56" t="s">
        <v>11</v>
      </c>
      <c r="P56" t="s">
        <v>318</v>
      </c>
      <c r="Q56" t="s">
        <v>85</v>
      </c>
      <c r="R56" t="s">
        <v>86</v>
      </c>
      <c r="S56" t="s">
        <v>16</v>
      </c>
    </row>
    <row r="57" spans="13:19" x14ac:dyDescent="0.45">
      <c r="M57" t="s">
        <v>9</v>
      </c>
      <c r="N57" t="s">
        <v>319</v>
      </c>
      <c r="O57" t="s">
        <v>11</v>
      </c>
      <c r="P57" t="s">
        <v>320</v>
      </c>
      <c r="Q57" t="s">
        <v>85</v>
      </c>
      <c r="R57" t="s">
        <v>86</v>
      </c>
      <c r="S57" t="s">
        <v>16</v>
      </c>
    </row>
    <row r="58" spans="13:19" x14ac:dyDescent="0.45">
      <c r="M58" t="s">
        <v>9</v>
      </c>
      <c r="N58" t="s">
        <v>321</v>
      </c>
      <c r="O58" t="s">
        <v>11</v>
      </c>
      <c r="P58" t="s">
        <v>322</v>
      </c>
      <c r="Q58" t="s">
        <v>85</v>
      </c>
      <c r="R58" t="s">
        <v>86</v>
      </c>
      <c r="S58" t="s">
        <v>16</v>
      </c>
    </row>
    <row r="59" spans="13:19" x14ac:dyDescent="0.45">
      <c r="M59" t="s">
        <v>9</v>
      </c>
      <c r="N59" t="s">
        <v>323</v>
      </c>
      <c r="O59" t="s">
        <v>11</v>
      </c>
      <c r="P59" t="s">
        <v>324</v>
      </c>
      <c r="Q59" t="s">
        <v>85</v>
      </c>
      <c r="R59" t="s">
        <v>86</v>
      </c>
      <c r="S59" t="s">
        <v>16</v>
      </c>
    </row>
    <row r="60" spans="13:19" x14ac:dyDescent="0.45">
      <c r="M60" t="s">
        <v>9</v>
      </c>
      <c r="N60" t="s">
        <v>325</v>
      </c>
      <c r="O60" t="s">
        <v>11</v>
      </c>
      <c r="P60" t="s">
        <v>326</v>
      </c>
      <c r="Q60" t="s">
        <v>85</v>
      </c>
      <c r="R60" t="s">
        <v>86</v>
      </c>
      <c r="S60" t="s">
        <v>16</v>
      </c>
    </row>
    <row r="61" spans="13:19" x14ac:dyDescent="0.45">
      <c r="M61" t="s">
        <v>9</v>
      </c>
      <c r="N61" t="s">
        <v>327</v>
      </c>
      <c r="O61" t="s">
        <v>11</v>
      </c>
      <c r="P61" t="s">
        <v>328</v>
      </c>
      <c r="Q61" t="s">
        <v>85</v>
      </c>
      <c r="R61" t="s">
        <v>86</v>
      </c>
      <c r="S61" t="s">
        <v>16</v>
      </c>
    </row>
    <row r="62" spans="13:19" x14ac:dyDescent="0.45">
      <c r="M62" t="s">
        <v>9</v>
      </c>
      <c r="N62" t="s">
        <v>329</v>
      </c>
      <c r="O62" t="s">
        <v>11</v>
      </c>
      <c r="P62" t="s">
        <v>330</v>
      </c>
      <c r="Q62" t="s">
        <v>85</v>
      </c>
      <c r="R62" t="s">
        <v>86</v>
      </c>
      <c r="S62" t="s">
        <v>16</v>
      </c>
    </row>
    <row r="63" spans="13:19" x14ac:dyDescent="0.45">
      <c r="M63" t="s">
        <v>9</v>
      </c>
      <c r="N63" t="s">
        <v>331</v>
      </c>
      <c r="O63" t="s">
        <v>11</v>
      </c>
      <c r="P63" t="s">
        <v>332</v>
      </c>
      <c r="Q63" t="s">
        <v>85</v>
      </c>
      <c r="R63" t="s">
        <v>86</v>
      </c>
      <c r="S63" t="s">
        <v>16</v>
      </c>
    </row>
    <row r="64" spans="13:19" x14ac:dyDescent="0.45">
      <c r="M64" t="s">
        <v>9</v>
      </c>
      <c r="N64" t="s">
        <v>333</v>
      </c>
      <c r="O64" t="s">
        <v>11</v>
      </c>
      <c r="P64" t="s">
        <v>334</v>
      </c>
      <c r="Q64" t="s">
        <v>85</v>
      </c>
      <c r="R64" t="s">
        <v>86</v>
      </c>
      <c r="S64" t="s">
        <v>16</v>
      </c>
    </row>
    <row r="65" spans="13:19" x14ac:dyDescent="0.45">
      <c r="M65" t="s">
        <v>9</v>
      </c>
      <c r="N65" t="s">
        <v>335</v>
      </c>
      <c r="O65" t="s">
        <v>11</v>
      </c>
      <c r="P65" t="s">
        <v>336</v>
      </c>
      <c r="Q65" t="s">
        <v>85</v>
      </c>
      <c r="R65" t="s">
        <v>86</v>
      </c>
      <c r="S65" t="s">
        <v>16</v>
      </c>
    </row>
    <row r="66" spans="13:19" x14ac:dyDescent="0.45">
      <c r="M66" t="s">
        <v>9</v>
      </c>
      <c r="N66" t="s">
        <v>337</v>
      </c>
      <c r="O66" t="s">
        <v>11</v>
      </c>
      <c r="P66" t="s">
        <v>338</v>
      </c>
      <c r="Q66" t="s">
        <v>85</v>
      </c>
      <c r="R66" t="s">
        <v>86</v>
      </c>
      <c r="S66" t="s">
        <v>16</v>
      </c>
    </row>
    <row r="67" spans="13:19" x14ac:dyDescent="0.45">
      <c r="M67" t="s">
        <v>9</v>
      </c>
      <c r="N67" t="s">
        <v>339</v>
      </c>
      <c r="O67" t="s">
        <v>11</v>
      </c>
      <c r="P67" t="s">
        <v>340</v>
      </c>
      <c r="Q67" t="s">
        <v>85</v>
      </c>
      <c r="R67" t="s">
        <v>86</v>
      </c>
      <c r="S67" t="s">
        <v>16</v>
      </c>
    </row>
    <row r="68" spans="13:19" x14ac:dyDescent="0.45">
      <c r="M68" t="s">
        <v>9</v>
      </c>
      <c r="N68" t="s">
        <v>341</v>
      </c>
      <c r="O68" t="s">
        <v>11</v>
      </c>
      <c r="P68" t="s">
        <v>342</v>
      </c>
      <c r="Q68" t="s">
        <v>85</v>
      </c>
      <c r="R68" t="s">
        <v>86</v>
      </c>
      <c r="S68" t="s">
        <v>16</v>
      </c>
    </row>
    <row r="69" spans="13:19" x14ac:dyDescent="0.45">
      <c r="M69" t="s">
        <v>9</v>
      </c>
      <c r="N69" t="s">
        <v>343</v>
      </c>
      <c r="O69" t="s">
        <v>11</v>
      </c>
      <c r="P69" t="s">
        <v>344</v>
      </c>
      <c r="Q69" t="s">
        <v>85</v>
      </c>
      <c r="R69" t="s">
        <v>86</v>
      </c>
      <c r="S69" t="s">
        <v>16</v>
      </c>
    </row>
    <row r="70" spans="13:19" x14ac:dyDescent="0.45">
      <c r="M70" t="s">
        <v>9</v>
      </c>
      <c r="N70" t="s">
        <v>345</v>
      </c>
      <c r="O70" t="s">
        <v>11</v>
      </c>
      <c r="P70" t="s">
        <v>346</v>
      </c>
      <c r="Q70" t="s">
        <v>85</v>
      </c>
      <c r="R70" t="s">
        <v>86</v>
      </c>
      <c r="S70" t="s">
        <v>16</v>
      </c>
    </row>
    <row r="71" spans="13:19" x14ac:dyDescent="0.45">
      <c r="M71" t="s">
        <v>9</v>
      </c>
      <c r="N71" t="s">
        <v>347</v>
      </c>
      <c r="O71" t="s">
        <v>11</v>
      </c>
      <c r="P71" t="s">
        <v>348</v>
      </c>
      <c r="Q71" t="s">
        <v>85</v>
      </c>
      <c r="R71" t="s">
        <v>86</v>
      </c>
      <c r="S71" t="s">
        <v>16</v>
      </c>
    </row>
    <row r="72" spans="13:19" x14ac:dyDescent="0.45">
      <c r="M72" t="s">
        <v>9</v>
      </c>
      <c r="N72" t="s">
        <v>349</v>
      </c>
      <c r="O72" t="s">
        <v>11</v>
      </c>
      <c r="P72" t="s">
        <v>350</v>
      </c>
      <c r="Q72" t="s">
        <v>85</v>
      </c>
      <c r="R72" t="s">
        <v>86</v>
      </c>
      <c r="S72" t="s">
        <v>16</v>
      </c>
    </row>
    <row r="73" spans="13:19" x14ac:dyDescent="0.45">
      <c r="M73" t="s">
        <v>9</v>
      </c>
      <c r="N73" t="s">
        <v>351</v>
      </c>
      <c r="O73" t="s">
        <v>11</v>
      </c>
      <c r="P73" t="s">
        <v>352</v>
      </c>
      <c r="Q73" t="s">
        <v>85</v>
      </c>
      <c r="R73" t="s">
        <v>86</v>
      </c>
      <c r="S73" t="s">
        <v>16</v>
      </c>
    </row>
    <row r="74" spans="13:19" x14ac:dyDescent="0.45">
      <c r="M74" t="s">
        <v>9</v>
      </c>
      <c r="N74" t="s">
        <v>353</v>
      </c>
      <c r="O74" t="s">
        <v>11</v>
      </c>
      <c r="P74" t="s">
        <v>354</v>
      </c>
      <c r="Q74" t="s">
        <v>85</v>
      </c>
      <c r="R74" t="s">
        <v>86</v>
      </c>
      <c r="S74" t="s">
        <v>16</v>
      </c>
    </row>
    <row r="75" spans="13:19" x14ac:dyDescent="0.45">
      <c r="M75" t="s">
        <v>9</v>
      </c>
      <c r="N75" t="s">
        <v>355</v>
      </c>
      <c r="O75" t="s">
        <v>11</v>
      </c>
      <c r="P75" t="s">
        <v>356</v>
      </c>
      <c r="Q75" t="s">
        <v>85</v>
      </c>
      <c r="R75" t="s">
        <v>86</v>
      </c>
      <c r="S75" t="s">
        <v>16</v>
      </c>
    </row>
    <row r="76" spans="13:19" x14ac:dyDescent="0.45">
      <c r="M76" t="s">
        <v>9</v>
      </c>
      <c r="N76" t="s">
        <v>357</v>
      </c>
      <c r="O76" t="s">
        <v>11</v>
      </c>
      <c r="P76" t="s">
        <v>358</v>
      </c>
      <c r="Q76" t="s">
        <v>85</v>
      </c>
      <c r="R76" t="s">
        <v>86</v>
      </c>
      <c r="S76" t="s">
        <v>16</v>
      </c>
    </row>
    <row r="77" spans="13:19" x14ac:dyDescent="0.45">
      <c r="M77" t="s">
        <v>9</v>
      </c>
      <c r="N77" t="s">
        <v>359</v>
      </c>
      <c r="O77" t="s">
        <v>11</v>
      </c>
      <c r="P77" t="s">
        <v>360</v>
      </c>
      <c r="Q77" t="s">
        <v>85</v>
      </c>
      <c r="R77" t="s">
        <v>86</v>
      </c>
      <c r="S77" t="s">
        <v>16</v>
      </c>
    </row>
    <row r="78" spans="13:19" x14ac:dyDescent="0.45">
      <c r="M78" t="s">
        <v>9</v>
      </c>
      <c r="N78" t="s">
        <v>361</v>
      </c>
      <c r="O78" t="s">
        <v>11</v>
      </c>
      <c r="P78" t="s">
        <v>362</v>
      </c>
      <c r="Q78" t="s">
        <v>85</v>
      </c>
      <c r="R78" t="s">
        <v>86</v>
      </c>
      <c r="S78" t="s">
        <v>16</v>
      </c>
    </row>
    <row r="79" spans="13:19" x14ac:dyDescent="0.45">
      <c r="M79" t="s">
        <v>9</v>
      </c>
      <c r="N79" t="s">
        <v>363</v>
      </c>
      <c r="O79" t="s">
        <v>11</v>
      </c>
      <c r="P79" t="s">
        <v>364</v>
      </c>
      <c r="Q79" t="s">
        <v>85</v>
      </c>
      <c r="R79" t="s">
        <v>86</v>
      </c>
      <c r="S79" t="s"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0E39C-1940-49FD-9433-0413EB576A0A}">
  <dimension ref="B3:I19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365</v>
      </c>
      <c r="D5" t="s">
        <v>366</v>
      </c>
      <c r="E5" t="s">
        <v>367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368</v>
      </c>
      <c r="D6" t="s">
        <v>366</v>
      </c>
      <c r="E6" t="s">
        <v>369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370</v>
      </c>
      <c r="D7" t="s">
        <v>366</v>
      </c>
      <c r="E7" t="s">
        <v>371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372</v>
      </c>
      <c r="D8" t="s">
        <v>366</v>
      </c>
      <c r="E8" t="s">
        <v>373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374</v>
      </c>
      <c r="D9" t="s">
        <v>366</v>
      </c>
      <c r="E9" t="s">
        <v>375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376</v>
      </c>
      <c r="D10" t="s">
        <v>366</v>
      </c>
      <c r="E10" t="s">
        <v>377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378</v>
      </c>
      <c r="D11" t="s">
        <v>366</v>
      </c>
      <c r="E11" t="s">
        <v>379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380</v>
      </c>
      <c r="D12" t="s">
        <v>366</v>
      </c>
      <c r="E12" t="s">
        <v>381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382</v>
      </c>
      <c r="D13" t="s">
        <v>366</v>
      </c>
      <c r="E13" t="s">
        <v>383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384</v>
      </c>
      <c r="D14" t="s">
        <v>366</v>
      </c>
      <c r="E14" t="s">
        <v>385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386</v>
      </c>
      <c r="D15" t="s">
        <v>366</v>
      </c>
      <c r="E15" t="s">
        <v>387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388</v>
      </c>
      <c r="D16" t="s">
        <v>366</v>
      </c>
      <c r="E16" t="s">
        <v>389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390</v>
      </c>
      <c r="D17" t="s">
        <v>366</v>
      </c>
      <c r="E17" t="s">
        <v>391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392</v>
      </c>
      <c r="D18" t="s">
        <v>366</v>
      </c>
      <c r="E18" t="s">
        <v>393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394</v>
      </c>
      <c r="D19" t="s">
        <v>366</v>
      </c>
      <c r="E19" t="s">
        <v>395</v>
      </c>
      <c r="F19" t="s">
        <v>13</v>
      </c>
      <c r="G19" t="s">
        <v>14</v>
      </c>
      <c r="H19" t="s">
        <v>15</v>
      </c>
      <c r="I19" t="s">
        <v>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B601B-D5AD-47C8-98B6-380E41D080E3}">
  <dimension ref="B3:I19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396</v>
      </c>
      <c r="D5" t="s">
        <v>366</v>
      </c>
      <c r="E5" t="s">
        <v>397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398</v>
      </c>
      <c r="D6" t="s">
        <v>366</v>
      </c>
      <c r="E6" t="s">
        <v>399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400</v>
      </c>
      <c r="D7" t="s">
        <v>366</v>
      </c>
      <c r="E7" t="s">
        <v>401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402</v>
      </c>
      <c r="D8" t="s">
        <v>366</v>
      </c>
      <c r="E8" t="s">
        <v>403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404</v>
      </c>
      <c r="D9" t="s">
        <v>366</v>
      </c>
      <c r="E9" t="s">
        <v>405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406</v>
      </c>
      <c r="D10" t="s">
        <v>366</v>
      </c>
      <c r="E10" t="s">
        <v>407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408</v>
      </c>
      <c r="D11" t="s">
        <v>366</v>
      </c>
      <c r="E11" t="s">
        <v>409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410</v>
      </c>
      <c r="D12" t="s">
        <v>366</v>
      </c>
      <c r="E12" t="s">
        <v>411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412</v>
      </c>
      <c r="D13" t="s">
        <v>366</v>
      </c>
      <c r="E13" t="s">
        <v>413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414</v>
      </c>
      <c r="D14" t="s">
        <v>366</v>
      </c>
      <c r="E14" t="s">
        <v>415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416</v>
      </c>
      <c r="D15" t="s">
        <v>366</v>
      </c>
      <c r="E15" t="s">
        <v>417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418</v>
      </c>
      <c r="D16" t="s">
        <v>366</v>
      </c>
      <c r="E16" t="s">
        <v>419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420</v>
      </c>
      <c r="D17" t="s">
        <v>366</v>
      </c>
      <c r="E17" t="s">
        <v>421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422</v>
      </c>
      <c r="D18" t="s">
        <v>366</v>
      </c>
      <c r="E18" t="s">
        <v>423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424</v>
      </c>
      <c r="D19" t="s">
        <v>366</v>
      </c>
      <c r="E19" t="s">
        <v>425</v>
      </c>
      <c r="F19" t="s">
        <v>85</v>
      </c>
      <c r="G19" t="s">
        <v>86</v>
      </c>
      <c r="H19" t="s">
        <v>15</v>
      </c>
      <c r="I19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732A6-C244-4F5E-8CD6-34D18BB141BA}">
  <dimension ref="B3:S80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426</v>
      </c>
      <c r="O5" t="s">
        <v>366</v>
      </c>
      <c r="P5" t="s">
        <v>427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428</v>
      </c>
      <c r="O6" t="s">
        <v>366</v>
      </c>
      <c r="P6" t="s">
        <v>429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430</v>
      </c>
      <c r="O7" t="s">
        <v>366</v>
      </c>
      <c r="P7" t="s">
        <v>431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432</v>
      </c>
      <c r="O8" t="s">
        <v>366</v>
      </c>
      <c r="P8" t="s">
        <v>433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434</v>
      </c>
      <c r="O9" t="s">
        <v>366</v>
      </c>
      <c r="P9" t="s">
        <v>435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436</v>
      </c>
      <c r="O10" t="s">
        <v>366</v>
      </c>
      <c r="P10" t="s">
        <v>437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438</v>
      </c>
      <c r="O11" t="s">
        <v>366</v>
      </c>
      <c r="P11" t="s">
        <v>439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440</v>
      </c>
      <c r="O12" t="s">
        <v>366</v>
      </c>
      <c r="P12" t="s">
        <v>441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442</v>
      </c>
      <c r="O13" t="s">
        <v>366</v>
      </c>
      <c r="P13" t="s">
        <v>443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444</v>
      </c>
      <c r="O14" t="s">
        <v>366</v>
      </c>
      <c r="P14" t="s">
        <v>445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446</v>
      </c>
      <c r="O15" t="s">
        <v>366</v>
      </c>
      <c r="P15" t="s">
        <v>447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448</v>
      </c>
      <c r="O16" t="s">
        <v>366</v>
      </c>
      <c r="P16" t="s">
        <v>449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450</v>
      </c>
      <c r="O17" t="s">
        <v>366</v>
      </c>
      <c r="P17" t="s">
        <v>451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452</v>
      </c>
      <c r="O18" t="s">
        <v>366</v>
      </c>
      <c r="P18" t="s">
        <v>453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454</v>
      </c>
      <c r="O19" t="s">
        <v>366</v>
      </c>
      <c r="P19" t="s">
        <v>455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456</v>
      </c>
      <c r="O20" t="s">
        <v>366</v>
      </c>
      <c r="P20" t="s">
        <v>457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458</v>
      </c>
      <c r="O21" t="s">
        <v>366</v>
      </c>
      <c r="P21" t="s">
        <v>459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460</v>
      </c>
      <c r="O22" t="s">
        <v>366</v>
      </c>
      <c r="P22" t="s">
        <v>461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462</v>
      </c>
      <c r="O23" t="s">
        <v>366</v>
      </c>
      <c r="P23" t="s">
        <v>463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464</v>
      </c>
      <c r="O24" t="s">
        <v>366</v>
      </c>
      <c r="P24" t="s">
        <v>465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466</v>
      </c>
      <c r="O25" t="s">
        <v>366</v>
      </c>
      <c r="P25" t="s">
        <v>467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468</v>
      </c>
      <c r="O26" t="s">
        <v>366</v>
      </c>
      <c r="P26" t="s">
        <v>469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470</v>
      </c>
      <c r="O27" t="s">
        <v>366</v>
      </c>
      <c r="P27" t="s">
        <v>471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472</v>
      </c>
      <c r="O28" t="s">
        <v>366</v>
      </c>
      <c r="P28" t="s">
        <v>473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474</v>
      </c>
      <c r="O29" t="s">
        <v>366</v>
      </c>
      <c r="P29" t="s">
        <v>475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  <c r="M30" t="s">
        <v>9</v>
      </c>
      <c r="N30" t="s">
        <v>476</v>
      </c>
      <c r="O30" t="s">
        <v>366</v>
      </c>
      <c r="P30" t="s">
        <v>477</v>
      </c>
      <c r="Q30" t="s">
        <v>85</v>
      </c>
      <c r="R30" t="s">
        <v>86</v>
      </c>
      <c r="S30" t="s">
        <v>16</v>
      </c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  <c r="M31" t="s">
        <v>9</v>
      </c>
      <c r="N31" t="s">
        <v>478</v>
      </c>
      <c r="O31" t="s">
        <v>366</v>
      </c>
      <c r="P31" t="s">
        <v>479</v>
      </c>
      <c r="Q31" t="s">
        <v>85</v>
      </c>
      <c r="R31" t="s">
        <v>86</v>
      </c>
      <c r="S31" t="s">
        <v>16</v>
      </c>
    </row>
    <row r="32" spans="2:19" x14ac:dyDescent="0.45">
      <c r="B32" t="s">
        <v>253</v>
      </c>
      <c r="C32" t="s">
        <v>254</v>
      </c>
      <c r="D32" t="s">
        <v>255</v>
      </c>
      <c r="M32" t="s">
        <v>9</v>
      </c>
      <c r="N32" t="s">
        <v>480</v>
      </c>
      <c r="O32" t="s">
        <v>366</v>
      </c>
      <c r="P32" t="s">
        <v>481</v>
      </c>
      <c r="Q32" t="s">
        <v>85</v>
      </c>
      <c r="R32" t="s">
        <v>86</v>
      </c>
      <c r="S32" t="s">
        <v>16</v>
      </c>
    </row>
    <row r="33" spans="2:19" x14ac:dyDescent="0.45">
      <c r="M33" t="s">
        <v>9</v>
      </c>
      <c r="N33" t="s">
        <v>482</v>
      </c>
      <c r="O33" t="s">
        <v>366</v>
      </c>
      <c r="P33" t="s">
        <v>483</v>
      </c>
      <c r="Q33" t="s">
        <v>85</v>
      </c>
      <c r="R33" t="s">
        <v>86</v>
      </c>
      <c r="S33" t="s">
        <v>16</v>
      </c>
    </row>
    <row r="34" spans="2:19" x14ac:dyDescent="0.45">
      <c r="M34" t="s">
        <v>9</v>
      </c>
      <c r="N34" t="s">
        <v>484</v>
      </c>
      <c r="O34" t="s">
        <v>366</v>
      </c>
      <c r="P34" t="s">
        <v>485</v>
      </c>
      <c r="Q34" t="s">
        <v>85</v>
      </c>
      <c r="R34" t="s">
        <v>86</v>
      </c>
      <c r="S34" t="s">
        <v>16</v>
      </c>
    </row>
    <row r="35" spans="2:19" x14ac:dyDescent="0.45">
      <c r="M35" t="s">
        <v>9</v>
      </c>
      <c r="N35" t="s">
        <v>486</v>
      </c>
      <c r="O35" t="s">
        <v>366</v>
      </c>
      <c r="P35" t="s">
        <v>487</v>
      </c>
      <c r="Q35" t="s">
        <v>85</v>
      </c>
      <c r="R35" t="s">
        <v>86</v>
      </c>
      <c r="S35" t="s">
        <v>16</v>
      </c>
    </row>
    <row r="36" spans="2:19" x14ac:dyDescent="0.45">
      <c r="M36" t="s">
        <v>9</v>
      </c>
      <c r="N36" t="s">
        <v>488</v>
      </c>
      <c r="O36" t="s">
        <v>366</v>
      </c>
      <c r="P36" t="s">
        <v>489</v>
      </c>
      <c r="Q36" t="s">
        <v>85</v>
      </c>
      <c r="R36" t="s">
        <v>86</v>
      </c>
      <c r="S36" t="s">
        <v>16</v>
      </c>
    </row>
    <row r="37" spans="2:19" x14ac:dyDescent="0.45">
      <c r="M37" t="s">
        <v>9</v>
      </c>
      <c r="N37" t="s">
        <v>490</v>
      </c>
      <c r="O37" t="s">
        <v>366</v>
      </c>
      <c r="P37" t="s">
        <v>491</v>
      </c>
      <c r="Q37" t="s">
        <v>85</v>
      </c>
      <c r="R37" t="s">
        <v>86</v>
      </c>
      <c r="S37" t="s">
        <v>16</v>
      </c>
    </row>
    <row r="38" spans="2:19" ht="17.25" thickBot="1" x14ac:dyDescent="0.55000000000000004">
      <c r="B38" s="1" t="s">
        <v>153</v>
      </c>
      <c r="C38" s="2"/>
      <c r="D38" s="2"/>
      <c r="M38" t="s">
        <v>9</v>
      </c>
      <c r="N38" t="s">
        <v>492</v>
      </c>
      <c r="O38" t="s">
        <v>366</v>
      </c>
      <c r="P38" t="s">
        <v>493</v>
      </c>
      <c r="Q38" t="s">
        <v>85</v>
      </c>
      <c r="R38" t="s">
        <v>86</v>
      </c>
      <c r="S38" t="s">
        <v>16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  <c r="M39" t="s">
        <v>9</v>
      </c>
      <c r="N39" t="s">
        <v>494</v>
      </c>
      <c r="O39" t="s">
        <v>366</v>
      </c>
      <c r="P39" t="s">
        <v>495</v>
      </c>
      <c r="Q39" t="s">
        <v>85</v>
      </c>
      <c r="R39" t="s">
        <v>86</v>
      </c>
      <c r="S39" t="s">
        <v>16</v>
      </c>
    </row>
    <row r="40" spans="2:19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  <c r="M40" t="s">
        <v>9</v>
      </c>
      <c r="N40" t="s">
        <v>496</v>
      </c>
      <c r="O40" t="s">
        <v>366</v>
      </c>
      <c r="P40" t="s">
        <v>497</v>
      </c>
      <c r="Q40" t="s">
        <v>85</v>
      </c>
      <c r="R40" t="s">
        <v>86</v>
      </c>
      <c r="S40" t="s">
        <v>16</v>
      </c>
    </row>
    <row r="41" spans="2:19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  <c r="M41" t="s">
        <v>9</v>
      </c>
      <c r="N41" t="s">
        <v>498</v>
      </c>
      <c r="O41" t="s">
        <v>366</v>
      </c>
      <c r="P41" t="s">
        <v>499</v>
      </c>
      <c r="Q41" t="s">
        <v>85</v>
      </c>
      <c r="R41" t="s">
        <v>86</v>
      </c>
      <c r="S41" t="s">
        <v>16</v>
      </c>
    </row>
    <row r="42" spans="2:19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  <c r="M42" t="s">
        <v>9</v>
      </c>
      <c r="N42" t="s">
        <v>500</v>
      </c>
      <c r="O42" t="s">
        <v>366</v>
      </c>
      <c r="P42" t="s">
        <v>501</v>
      </c>
      <c r="Q42" t="s">
        <v>85</v>
      </c>
      <c r="R42" t="s">
        <v>86</v>
      </c>
      <c r="S42" t="s">
        <v>16</v>
      </c>
    </row>
    <row r="43" spans="2:19" x14ac:dyDescent="0.45">
      <c r="C43" t="s">
        <v>287</v>
      </c>
      <c r="D43" t="s">
        <v>288</v>
      </c>
      <c r="E43" t="s">
        <v>289</v>
      </c>
      <c r="F43" t="s">
        <v>290</v>
      </c>
      <c r="M43" t="s">
        <v>9</v>
      </c>
      <c r="N43" t="s">
        <v>502</v>
      </c>
      <c r="O43" t="s">
        <v>366</v>
      </c>
      <c r="P43" t="s">
        <v>503</v>
      </c>
      <c r="Q43" t="s">
        <v>85</v>
      </c>
      <c r="R43" t="s">
        <v>86</v>
      </c>
      <c r="S43" t="s">
        <v>16</v>
      </c>
    </row>
    <row r="44" spans="2:19" x14ac:dyDescent="0.45">
      <c r="M44" t="s">
        <v>9</v>
      </c>
      <c r="N44" t="s">
        <v>504</v>
      </c>
      <c r="O44" t="s">
        <v>366</v>
      </c>
      <c r="P44" t="s">
        <v>505</v>
      </c>
      <c r="Q44" t="s">
        <v>85</v>
      </c>
      <c r="R44" t="s">
        <v>86</v>
      </c>
      <c r="S44" t="s">
        <v>16</v>
      </c>
    </row>
    <row r="45" spans="2:19" x14ac:dyDescent="0.45">
      <c r="M45" t="s">
        <v>9</v>
      </c>
      <c r="N45" t="s">
        <v>506</v>
      </c>
      <c r="O45" t="s">
        <v>366</v>
      </c>
      <c r="P45" t="s">
        <v>507</v>
      </c>
      <c r="Q45" t="s">
        <v>85</v>
      </c>
      <c r="R45" t="s">
        <v>86</v>
      </c>
      <c r="S45" t="s">
        <v>16</v>
      </c>
    </row>
    <row r="46" spans="2:19" x14ac:dyDescent="0.45">
      <c r="M46" t="s">
        <v>9</v>
      </c>
      <c r="N46" t="s">
        <v>508</v>
      </c>
      <c r="O46" t="s">
        <v>366</v>
      </c>
      <c r="P46" t="s">
        <v>509</v>
      </c>
      <c r="Q46" t="s">
        <v>85</v>
      </c>
      <c r="R46" t="s">
        <v>86</v>
      </c>
      <c r="S46" t="s">
        <v>16</v>
      </c>
    </row>
    <row r="47" spans="2:19" x14ac:dyDescent="0.45">
      <c r="M47" t="s">
        <v>9</v>
      </c>
      <c r="N47" t="s">
        <v>510</v>
      </c>
      <c r="O47" t="s">
        <v>366</v>
      </c>
      <c r="P47" t="s">
        <v>511</v>
      </c>
      <c r="Q47" t="s">
        <v>85</v>
      </c>
      <c r="R47" t="s">
        <v>86</v>
      </c>
      <c r="S47" t="s">
        <v>16</v>
      </c>
    </row>
    <row r="48" spans="2:19" x14ac:dyDescent="0.45">
      <c r="M48" t="s">
        <v>9</v>
      </c>
      <c r="N48" t="s">
        <v>512</v>
      </c>
      <c r="O48" t="s">
        <v>366</v>
      </c>
      <c r="P48" t="s">
        <v>513</v>
      </c>
      <c r="Q48" t="s">
        <v>85</v>
      </c>
      <c r="R48" t="s">
        <v>86</v>
      </c>
      <c r="S48" t="s">
        <v>16</v>
      </c>
    </row>
    <row r="49" spans="13:19" x14ac:dyDescent="0.45">
      <c r="M49" t="s">
        <v>9</v>
      </c>
      <c r="N49" t="s">
        <v>514</v>
      </c>
      <c r="O49" t="s">
        <v>366</v>
      </c>
      <c r="P49" t="s">
        <v>515</v>
      </c>
      <c r="Q49" t="s">
        <v>85</v>
      </c>
      <c r="R49" t="s">
        <v>86</v>
      </c>
      <c r="S49" t="s">
        <v>16</v>
      </c>
    </row>
    <row r="50" spans="13:19" x14ac:dyDescent="0.45">
      <c r="M50" t="s">
        <v>9</v>
      </c>
      <c r="N50" t="s">
        <v>516</v>
      </c>
      <c r="O50" t="s">
        <v>366</v>
      </c>
      <c r="P50" t="s">
        <v>517</v>
      </c>
      <c r="Q50" t="s">
        <v>85</v>
      </c>
      <c r="R50" t="s">
        <v>86</v>
      </c>
      <c r="S50" t="s">
        <v>16</v>
      </c>
    </row>
    <row r="51" spans="13:19" x14ac:dyDescent="0.45">
      <c r="M51" t="s">
        <v>9</v>
      </c>
      <c r="N51" t="s">
        <v>518</v>
      </c>
      <c r="O51" t="s">
        <v>366</v>
      </c>
      <c r="P51" t="s">
        <v>519</v>
      </c>
      <c r="Q51" t="s">
        <v>85</v>
      </c>
      <c r="R51" t="s">
        <v>86</v>
      </c>
      <c r="S51" t="s">
        <v>16</v>
      </c>
    </row>
    <row r="52" spans="13:19" x14ac:dyDescent="0.45">
      <c r="M52" t="s">
        <v>9</v>
      </c>
      <c r="N52" t="s">
        <v>520</v>
      </c>
      <c r="O52" t="s">
        <v>366</v>
      </c>
      <c r="P52" t="s">
        <v>521</v>
      </c>
      <c r="Q52" t="s">
        <v>85</v>
      </c>
      <c r="R52" t="s">
        <v>86</v>
      </c>
      <c r="S52" t="s">
        <v>16</v>
      </c>
    </row>
    <row r="53" spans="13:19" x14ac:dyDescent="0.45">
      <c r="M53" t="s">
        <v>9</v>
      </c>
      <c r="N53" t="s">
        <v>522</v>
      </c>
      <c r="O53" t="s">
        <v>366</v>
      </c>
      <c r="P53" t="s">
        <v>523</v>
      </c>
      <c r="Q53" t="s">
        <v>85</v>
      </c>
      <c r="R53" t="s">
        <v>86</v>
      </c>
      <c r="S53" t="s">
        <v>16</v>
      </c>
    </row>
    <row r="54" spans="13:19" x14ac:dyDescent="0.45">
      <c r="M54" t="s">
        <v>9</v>
      </c>
      <c r="N54" t="s">
        <v>524</v>
      </c>
      <c r="O54" t="s">
        <v>366</v>
      </c>
      <c r="P54" t="s">
        <v>525</v>
      </c>
      <c r="Q54" t="s">
        <v>85</v>
      </c>
      <c r="R54" t="s">
        <v>86</v>
      </c>
      <c r="S54" t="s">
        <v>16</v>
      </c>
    </row>
    <row r="55" spans="13:19" x14ac:dyDescent="0.45">
      <c r="M55" t="s">
        <v>9</v>
      </c>
      <c r="N55" t="s">
        <v>526</v>
      </c>
      <c r="O55" t="s">
        <v>366</v>
      </c>
      <c r="P55" t="s">
        <v>527</v>
      </c>
      <c r="Q55" t="s">
        <v>85</v>
      </c>
      <c r="R55" t="s">
        <v>86</v>
      </c>
      <c r="S55" t="s">
        <v>16</v>
      </c>
    </row>
    <row r="56" spans="13:19" x14ac:dyDescent="0.45">
      <c r="M56" t="s">
        <v>9</v>
      </c>
      <c r="N56" t="s">
        <v>528</v>
      </c>
      <c r="O56" t="s">
        <v>366</v>
      </c>
      <c r="P56" t="s">
        <v>529</v>
      </c>
      <c r="Q56" t="s">
        <v>85</v>
      </c>
      <c r="R56" t="s">
        <v>86</v>
      </c>
      <c r="S56" t="s">
        <v>16</v>
      </c>
    </row>
    <row r="57" spans="13:19" x14ac:dyDescent="0.45">
      <c r="M57" t="s">
        <v>9</v>
      </c>
      <c r="N57" t="s">
        <v>530</v>
      </c>
      <c r="O57" t="s">
        <v>366</v>
      </c>
      <c r="P57" t="s">
        <v>531</v>
      </c>
      <c r="Q57" t="s">
        <v>85</v>
      </c>
      <c r="R57" t="s">
        <v>86</v>
      </c>
      <c r="S57" t="s">
        <v>16</v>
      </c>
    </row>
    <row r="58" spans="13:19" x14ac:dyDescent="0.45">
      <c r="M58" t="s">
        <v>9</v>
      </c>
      <c r="N58" t="s">
        <v>532</v>
      </c>
      <c r="O58" t="s">
        <v>366</v>
      </c>
      <c r="P58" t="s">
        <v>533</v>
      </c>
      <c r="Q58" t="s">
        <v>85</v>
      </c>
      <c r="R58" t="s">
        <v>86</v>
      </c>
      <c r="S58" t="s">
        <v>16</v>
      </c>
    </row>
    <row r="59" spans="13:19" x14ac:dyDescent="0.45">
      <c r="M59" t="s">
        <v>9</v>
      </c>
      <c r="N59" t="s">
        <v>534</v>
      </c>
      <c r="O59" t="s">
        <v>366</v>
      </c>
      <c r="P59" t="s">
        <v>535</v>
      </c>
      <c r="Q59" t="s">
        <v>85</v>
      </c>
      <c r="R59" t="s">
        <v>86</v>
      </c>
      <c r="S59" t="s">
        <v>16</v>
      </c>
    </row>
    <row r="60" spans="13:19" x14ac:dyDescent="0.45">
      <c r="M60" t="s">
        <v>9</v>
      </c>
      <c r="N60" t="s">
        <v>536</v>
      </c>
      <c r="O60" t="s">
        <v>366</v>
      </c>
      <c r="P60" t="s">
        <v>537</v>
      </c>
      <c r="Q60" t="s">
        <v>85</v>
      </c>
      <c r="R60" t="s">
        <v>86</v>
      </c>
      <c r="S60" t="s">
        <v>16</v>
      </c>
    </row>
    <row r="61" spans="13:19" x14ac:dyDescent="0.45">
      <c r="M61" t="s">
        <v>9</v>
      </c>
      <c r="N61" t="s">
        <v>538</v>
      </c>
      <c r="O61" t="s">
        <v>366</v>
      </c>
      <c r="P61" t="s">
        <v>539</v>
      </c>
      <c r="Q61" t="s">
        <v>85</v>
      </c>
      <c r="R61" t="s">
        <v>86</v>
      </c>
      <c r="S61" t="s">
        <v>16</v>
      </c>
    </row>
    <row r="62" spans="13:19" x14ac:dyDescent="0.45">
      <c r="M62" t="s">
        <v>9</v>
      </c>
      <c r="N62" t="s">
        <v>540</v>
      </c>
      <c r="O62" t="s">
        <v>366</v>
      </c>
      <c r="P62" t="s">
        <v>541</v>
      </c>
      <c r="Q62" t="s">
        <v>85</v>
      </c>
      <c r="R62" t="s">
        <v>86</v>
      </c>
      <c r="S62" t="s">
        <v>16</v>
      </c>
    </row>
    <row r="63" spans="13:19" x14ac:dyDescent="0.45">
      <c r="M63" t="s">
        <v>9</v>
      </c>
      <c r="N63" t="s">
        <v>542</v>
      </c>
      <c r="O63" t="s">
        <v>366</v>
      </c>
      <c r="P63" t="s">
        <v>543</v>
      </c>
      <c r="Q63" t="s">
        <v>85</v>
      </c>
      <c r="R63" t="s">
        <v>86</v>
      </c>
      <c r="S63" t="s">
        <v>16</v>
      </c>
    </row>
    <row r="64" spans="13:19" x14ac:dyDescent="0.45">
      <c r="M64" t="s">
        <v>9</v>
      </c>
      <c r="N64" t="s">
        <v>544</v>
      </c>
      <c r="O64" t="s">
        <v>366</v>
      </c>
      <c r="P64" t="s">
        <v>545</v>
      </c>
      <c r="Q64" t="s">
        <v>85</v>
      </c>
      <c r="R64" t="s">
        <v>86</v>
      </c>
      <c r="S64" t="s">
        <v>16</v>
      </c>
    </row>
    <row r="65" spans="13:19" x14ac:dyDescent="0.45">
      <c r="M65" t="s">
        <v>9</v>
      </c>
      <c r="N65" t="s">
        <v>546</v>
      </c>
      <c r="O65" t="s">
        <v>366</v>
      </c>
      <c r="P65" t="s">
        <v>547</v>
      </c>
      <c r="Q65" t="s">
        <v>85</v>
      </c>
      <c r="R65" t="s">
        <v>86</v>
      </c>
      <c r="S65" t="s">
        <v>16</v>
      </c>
    </row>
    <row r="66" spans="13:19" x14ac:dyDescent="0.45">
      <c r="M66" t="s">
        <v>9</v>
      </c>
      <c r="N66" t="s">
        <v>548</v>
      </c>
      <c r="O66" t="s">
        <v>366</v>
      </c>
      <c r="P66" t="s">
        <v>549</v>
      </c>
      <c r="Q66" t="s">
        <v>85</v>
      </c>
      <c r="R66" t="s">
        <v>86</v>
      </c>
      <c r="S66" t="s">
        <v>16</v>
      </c>
    </row>
    <row r="67" spans="13:19" x14ac:dyDescent="0.45">
      <c r="M67" t="s">
        <v>9</v>
      </c>
      <c r="N67" t="s">
        <v>550</v>
      </c>
      <c r="O67" t="s">
        <v>366</v>
      </c>
      <c r="P67" t="s">
        <v>551</v>
      </c>
      <c r="Q67" t="s">
        <v>85</v>
      </c>
      <c r="R67" t="s">
        <v>86</v>
      </c>
      <c r="S67" t="s">
        <v>16</v>
      </c>
    </row>
    <row r="68" spans="13:19" x14ac:dyDescent="0.45">
      <c r="M68" t="s">
        <v>9</v>
      </c>
      <c r="N68" t="s">
        <v>552</v>
      </c>
      <c r="O68" t="s">
        <v>366</v>
      </c>
      <c r="P68" t="s">
        <v>553</v>
      </c>
      <c r="Q68" t="s">
        <v>85</v>
      </c>
      <c r="R68" t="s">
        <v>86</v>
      </c>
      <c r="S68" t="s">
        <v>16</v>
      </c>
    </row>
    <row r="69" spans="13:19" x14ac:dyDescent="0.45">
      <c r="M69" t="s">
        <v>9</v>
      </c>
      <c r="N69" t="s">
        <v>554</v>
      </c>
      <c r="O69" t="s">
        <v>366</v>
      </c>
      <c r="P69" t="s">
        <v>555</v>
      </c>
      <c r="Q69" t="s">
        <v>85</v>
      </c>
      <c r="R69" t="s">
        <v>86</v>
      </c>
      <c r="S69" t="s">
        <v>16</v>
      </c>
    </row>
    <row r="70" spans="13:19" x14ac:dyDescent="0.45">
      <c r="M70" t="s">
        <v>9</v>
      </c>
      <c r="N70" t="s">
        <v>556</v>
      </c>
      <c r="O70" t="s">
        <v>366</v>
      </c>
      <c r="P70" t="s">
        <v>557</v>
      </c>
      <c r="Q70" t="s">
        <v>85</v>
      </c>
      <c r="R70" t="s">
        <v>86</v>
      </c>
      <c r="S70" t="s">
        <v>16</v>
      </c>
    </row>
    <row r="71" spans="13:19" x14ac:dyDescent="0.45">
      <c r="M71" t="s">
        <v>9</v>
      </c>
      <c r="N71" t="s">
        <v>558</v>
      </c>
      <c r="O71" t="s">
        <v>366</v>
      </c>
      <c r="P71" t="s">
        <v>559</v>
      </c>
      <c r="Q71" t="s">
        <v>85</v>
      </c>
      <c r="R71" t="s">
        <v>86</v>
      </c>
      <c r="S71" t="s">
        <v>16</v>
      </c>
    </row>
    <row r="72" spans="13:19" x14ac:dyDescent="0.45">
      <c r="M72" t="s">
        <v>9</v>
      </c>
      <c r="N72" t="s">
        <v>560</v>
      </c>
      <c r="O72" t="s">
        <v>366</v>
      </c>
      <c r="P72" t="s">
        <v>561</v>
      </c>
      <c r="Q72" t="s">
        <v>85</v>
      </c>
      <c r="R72" t="s">
        <v>86</v>
      </c>
      <c r="S72" t="s">
        <v>16</v>
      </c>
    </row>
    <row r="73" spans="13:19" x14ac:dyDescent="0.45">
      <c r="M73" t="s">
        <v>9</v>
      </c>
      <c r="N73" t="s">
        <v>562</v>
      </c>
      <c r="O73" t="s">
        <v>366</v>
      </c>
      <c r="P73" t="s">
        <v>563</v>
      </c>
      <c r="Q73" t="s">
        <v>85</v>
      </c>
      <c r="R73" t="s">
        <v>86</v>
      </c>
      <c r="S73" t="s">
        <v>16</v>
      </c>
    </row>
    <row r="74" spans="13:19" x14ac:dyDescent="0.45">
      <c r="M74" t="s">
        <v>9</v>
      </c>
      <c r="N74" t="s">
        <v>564</v>
      </c>
      <c r="O74" t="s">
        <v>366</v>
      </c>
      <c r="P74" t="s">
        <v>565</v>
      </c>
      <c r="Q74" t="s">
        <v>85</v>
      </c>
      <c r="R74" t="s">
        <v>86</v>
      </c>
      <c r="S74" t="s">
        <v>16</v>
      </c>
    </row>
    <row r="75" spans="13:19" x14ac:dyDescent="0.45">
      <c r="M75" t="s">
        <v>9</v>
      </c>
      <c r="N75" t="s">
        <v>566</v>
      </c>
      <c r="O75" t="s">
        <v>366</v>
      </c>
      <c r="P75" t="s">
        <v>567</v>
      </c>
      <c r="Q75" t="s">
        <v>85</v>
      </c>
      <c r="R75" t="s">
        <v>86</v>
      </c>
      <c r="S75" t="s">
        <v>16</v>
      </c>
    </row>
    <row r="76" spans="13:19" x14ac:dyDescent="0.45">
      <c r="M76" t="s">
        <v>9</v>
      </c>
      <c r="N76" t="s">
        <v>568</v>
      </c>
      <c r="O76" t="s">
        <v>366</v>
      </c>
      <c r="P76" t="s">
        <v>569</v>
      </c>
      <c r="Q76" t="s">
        <v>85</v>
      </c>
      <c r="R76" t="s">
        <v>86</v>
      </c>
      <c r="S76" t="s">
        <v>16</v>
      </c>
    </row>
    <row r="77" spans="13:19" x14ac:dyDescent="0.45">
      <c r="M77" t="s">
        <v>9</v>
      </c>
      <c r="N77" t="s">
        <v>570</v>
      </c>
      <c r="O77" t="s">
        <v>366</v>
      </c>
      <c r="P77" t="s">
        <v>571</v>
      </c>
      <c r="Q77" t="s">
        <v>85</v>
      </c>
      <c r="R77" t="s">
        <v>86</v>
      </c>
      <c r="S77" t="s">
        <v>16</v>
      </c>
    </row>
    <row r="78" spans="13:19" x14ac:dyDescent="0.45">
      <c r="M78" t="s">
        <v>9</v>
      </c>
      <c r="N78" t="s">
        <v>572</v>
      </c>
      <c r="O78" t="s">
        <v>366</v>
      </c>
      <c r="P78" t="s">
        <v>573</v>
      </c>
      <c r="Q78" t="s">
        <v>85</v>
      </c>
      <c r="R78" t="s">
        <v>86</v>
      </c>
      <c r="S78" t="s">
        <v>16</v>
      </c>
    </row>
    <row r="79" spans="13:19" x14ac:dyDescent="0.45">
      <c r="M79" t="s">
        <v>9</v>
      </c>
      <c r="N79" t="s">
        <v>574</v>
      </c>
      <c r="O79" t="s">
        <v>366</v>
      </c>
      <c r="P79" t="s">
        <v>575</v>
      </c>
      <c r="Q79" t="s">
        <v>85</v>
      </c>
      <c r="R79" t="s">
        <v>86</v>
      </c>
      <c r="S79" t="s">
        <v>16</v>
      </c>
    </row>
    <row r="80" spans="13:19" x14ac:dyDescent="0.45">
      <c r="M80" t="s">
        <v>9</v>
      </c>
      <c r="N80" t="s">
        <v>576</v>
      </c>
      <c r="O80" t="s">
        <v>366</v>
      </c>
      <c r="P80" t="s">
        <v>577</v>
      </c>
      <c r="Q80" t="s">
        <v>85</v>
      </c>
      <c r="R80" t="s">
        <v>86</v>
      </c>
      <c r="S80" t="s">
        <v>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19313-A135-4D61-B38B-2FDEF40679C9}">
  <dimension ref="B3:I17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578</v>
      </c>
      <c r="D5" t="s">
        <v>579</v>
      </c>
      <c r="E5" t="s">
        <v>580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581</v>
      </c>
      <c r="D6" t="s">
        <v>579</v>
      </c>
      <c r="E6" t="s">
        <v>582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583</v>
      </c>
      <c r="D7" t="s">
        <v>579</v>
      </c>
      <c r="E7" t="s">
        <v>584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585</v>
      </c>
      <c r="D8" t="s">
        <v>579</v>
      </c>
      <c r="E8" t="s">
        <v>586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587</v>
      </c>
      <c r="D9" t="s">
        <v>579</v>
      </c>
      <c r="E9" t="s">
        <v>588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589</v>
      </c>
      <c r="D10" t="s">
        <v>579</v>
      </c>
      <c r="E10" t="s">
        <v>590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591</v>
      </c>
      <c r="D11" t="s">
        <v>579</v>
      </c>
      <c r="E11" t="s">
        <v>592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593</v>
      </c>
      <c r="D12" t="s">
        <v>579</v>
      </c>
      <c r="E12" t="s">
        <v>594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595</v>
      </c>
      <c r="D13" t="s">
        <v>579</v>
      </c>
      <c r="E13" t="s">
        <v>596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597</v>
      </c>
      <c r="D14" t="s">
        <v>579</v>
      </c>
      <c r="E14" t="s">
        <v>598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599</v>
      </c>
      <c r="D15" t="s">
        <v>579</v>
      </c>
      <c r="E15" t="s">
        <v>600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601</v>
      </c>
      <c r="D16" t="s">
        <v>579</v>
      </c>
      <c r="E16" t="s">
        <v>602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603</v>
      </c>
      <c r="D17" t="s">
        <v>579</v>
      </c>
      <c r="E17" t="s">
        <v>604</v>
      </c>
      <c r="F17" t="s">
        <v>13</v>
      </c>
      <c r="G17" t="s">
        <v>14</v>
      </c>
      <c r="H17" t="s">
        <v>15</v>
      </c>
      <c r="I17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8062-DFC9-4CB1-BE81-DD26B54AC1C6}">
  <dimension ref="B3:I17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605</v>
      </c>
      <c r="D5" t="s">
        <v>579</v>
      </c>
      <c r="E5" t="s">
        <v>606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607</v>
      </c>
      <c r="D6" t="s">
        <v>579</v>
      </c>
      <c r="E6" t="s">
        <v>608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609</v>
      </c>
      <c r="D7" t="s">
        <v>579</v>
      </c>
      <c r="E7" t="s">
        <v>610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611</v>
      </c>
      <c r="D8" t="s">
        <v>579</v>
      </c>
      <c r="E8" t="s">
        <v>612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613</v>
      </c>
      <c r="D9" t="s">
        <v>579</v>
      </c>
      <c r="E9" t="s">
        <v>614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615</v>
      </c>
      <c r="D10" t="s">
        <v>579</v>
      </c>
      <c r="E10" t="s">
        <v>616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617</v>
      </c>
      <c r="D11" t="s">
        <v>579</v>
      </c>
      <c r="E11" t="s">
        <v>618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619</v>
      </c>
      <c r="D12" t="s">
        <v>579</v>
      </c>
      <c r="E12" t="s">
        <v>620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621</v>
      </c>
      <c r="D13" t="s">
        <v>579</v>
      </c>
      <c r="E13" t="s">
        <v>622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623</v>
      </c>
      <c r="D14" t="s">
        <v>579</v>
      </c>
      <c r="E14" t="s">
        <v>624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625</v>
      </c>
      <c r="D15" t="s">
        <v>579</v>
      </c>
      <c r="E15" t="s">
        <v>626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627</v>
      </c>
      <c r="D16" t="s">
        <v>579</v>
      </c>
      <c r="E16" t="s">
        <v>628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629</v>
      </c>
      <c r="D17" t="s">
        <v>579</v>
      </c>
      <c r="E17" t="s">
        <v>630</v>
      </c>
      <c r="F17" t="s">
        <v>85</v>
      </c>
      <c r="G17" t="s">
        <v>86</v>
      </c>
      <c r="H17" t="s">
        <v>15</v>
      </c>
      <c r="I17" t="s">
        <v>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6664E-97BB-488F-A0DB-5A592B2B05F0}">
  <dimension ref="B3:S43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631</v>
      </c>
      <c r="O5" t="s">
        <v>579</v>
      </c>
      <c r="P5" t="s">
        <v>632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633</v>
      </c>
      <c r="O6" t="s">
        <v>579</v>
      </c>
      <c r="P6" t="s">
        <v>634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635</v>
      </c>
      <c r="O7" t="s">
        <v>579</v>
      </c>
      <c r="P7" t="s">
        <v>636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637</v>
      </c>
      <c r="O8" t="s">
        <v>579</v>
      </c>
      <c r="P8" t="s">
        <v>638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639</v>
      </c>
      <c r="O9" t="s">
        <v>579</v>
      </c>
      <c r="P9" t="s">
        <v>640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641</v>
      </c>
      <c r="O10" t="s">
        <v>579</v>
      </c>
      <c r="P10" t="s">
        <v>642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643</v>
      </c>
      <c r="O11" t="s">
        <v>579</v>
      </c>
      <c r="P11" t="s">
        <v>644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645</v>
      </c>
      <c r="O12" t="s">
        <v>579</v>
      </c>
      <c r="P12" t="s">
        <v>646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647</v>
      </c>
      <c r="O13" t="s">
        <v>579</v>
      </c>
      <c r="P13" t="s">
        <v>648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649</v>
      </c>
      <c r="O14" t="s">
        <v>579</v>
      </c>
      <c r="P14" t="s">
        <v>650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651</v>
      </c>
      <c r="O15" t="s">
        <v>579</v>
      </c>
      <c r="P15" t="s">
        <v>652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653</v>
      </c>
      <c r="O16" t="s">
        <v>579</v>
      </c>
      <c r="P16" t="s">
        <v>654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655</v>
      </c>
      <c r="O17" t="s">
        <v>579</v>
      </c>
      <c r="P17" t="s">
        <v>656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657</v>
      </c>
      <c r="O18" t="s">
        <v>579</v>
      </c>
      <c r="P18" t="s">
        <v>658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659</v>
      </c>
      <c r="O19" t="s">
        <v>579</v>
      </c>
      <c r="P19" t="s">
        <v>660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661</v>
      </c>
      <c r="O20" t="s">
        <v>579</v>
      </c>
      <c r="P20" t="s">
        <v>662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663</v>
      </c>
      <c r="O21" t="s">
        <v>579</v>
      </c>
      <c r="P21" t="s">
        <v>664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665</v>
      </c>
      <c r="O22" t="s">
        <v>579</v>
      </c>
      <c r="P22" t="s">
        <v>666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667</v>
      </c>
      <c r="O23" t="s">
        <v>579</v>
      </c>
      <c r="P23" t="s">
        <v>668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669</v>
      </c>
      <c r="O24" t="s">
        <v>579</v>
      </c>
      <c r="P24" t="s">
        <v>670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671</v>
      </c>
      <c r="O25" t="s">
        <v>579</v>
      </c>
      <c r="P25" t="s">
        <v>672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673</v>
      </c>
      <c r="O26" t="s">
        <v>579</v>
      </c>
      <c r="P26" t="s">
        <v>674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675</v>
      </c>
      <c r="O27" t="s">
        <v>579</v>
      </c>
      <c r="P27" t="s">
        <v>676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677</v>
      </c>
      <c r="O28" t="s">
        <v>579</v>
      </c>
      <c r="P28" t="s">
        <v>678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679</v>
      </c>
      <c r="O29" t="s">
        <v>579</v>
      </c>
      <c r="P29" t="s">
        <v>680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</row>
    <row r="32" spans="2:19" x14ac:dyDescent="0.45">
      <c r="B32" t="s">
        <v>253</v>
      </c>
      <c r="C32" t="s">
        <v>254</v>
      </c>
      <c r="D32" t="s">
        <v>255</v>
      </c>
    </row>
    <row r="38" spans="2:7" ht="17.25" thickBot="1" x14ac:dyDescent="0.55000000000000004">
      <c r="B38" s="1" t="s">
        <v>153</v>
      </c>
      <c r="C38" s="2"/>
      <c r="D38" s="2"/>
    </row>
    <row r="39" spans="2:7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</row>
    <row r="40" spans="2:7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</row>
    <row r="41" spans="2:7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</row>
    <row r="42" spans="2:7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</row>
    <row r="43" spans="2:7" x14ac:dyDescent="0.45">
      <c r="C43" t="s">
        <v>287</v>
      </c>
      <c r="D43" t="s">
        <v>288</v>
      </c>
      <c r="E43" t="s">
        <v>289</v>
      </c>
      <c r="F43" t="s">
        <v>290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883CA-3FCB-4654-8209-C879BE772623}">
  <dimension ref="B3:I15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681</v>
      </c>
      <c r="D5" t="s">
        <v>682</v>
      </c>
      <c r="E5" t="s">
        <v>683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684</v>
      </c>
      <c r="D6" t="s">
        <v>682</v>
      </c>
      <c r="E6" t="s">
        <v>685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686</v>
      </c>
      <c r="D7" t="s">
        <v>682</v>
      </c>
      <c r="E7" t="s">
        <v>687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688</v>
      </c>
      <c r="D8" t="s">
        <v>682</v>
      </c>
      <c r="E8" t="s">
        <v>689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690</v>
      </c>
      <c r="D9" t="s">
        <v>682</v>
      </c>
      <c r="E9" t="s">
        <v>691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692</v>
      </c>
      <c r="D10" t="s">
        <v>682</v>
      </c>
      <c r="E10" t="s">
        <v>693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694</v>
      </c>
      <c r="D11" t="s">
        <v>682</v>
      </c>
      <c r="E11" t="s">
        <v>695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696</v>
      </c>
      <c r="D12" t="s">
        <v>682</v>
      </c>
      <c r="E12" t="s">
        <v>697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698</v>
      </c>
      <c r="D13" t="s">
        <v>682</v>
      </c>
      <c r="E13" t="s">
        <v>699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700</v>
      </c>
      <c r="D14" t="s">
        <v>682</v>
      </c>
      <c r="E14" t="s">
        <v>701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702</v>
      </c>
      <c r="D15" t="s">
        <v>682</v>
      </c>
      <c r="E15" t="s">
        <v>703</v>
      </c>
      <c r="F15" t="s">
        <v>13</v>
      </c>
      <c r="G15" t="s">
        <v>14</v>
      </c>
      <c r="H15" t="s">
        <v>15</v>
      </c>
      <c r="I15" t="s">
        <v>16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DEDCC-CB60-40E3-9CA9-66B3B250B741}">
  <dimension ref="B3:I15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704</v>
      </c>
      <c r="D5" t="s">
        <v>682</v>
      </c>
      <c r="E5" t="s">
        <v>705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706</v>
      </c>
      <c r="D6" t="s">
        <v>682</v>
      </c>
      <c r="E6" t="s">
        <v>707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708</v>
      </c>
      <c r="D7" t="s">
        <v>682</v>
      </c>
      <c r="E7" t="s">
        <v>709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710</v>
      </c>
      <c r="D8" t="s">
        <v>682</v>
      </c>
      <c r="E8" t="s">
        <v>711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712</v>
      </c>
      <c r="D9" t="s">
        <v>682</v>
      </c>
      <c r="E9" t="s">
        <v>713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714</v>
      </c>
      <c r="D10" t="s">
        <v>682</v>
      </c>
      <c r="E10" t="s">
        <v>715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716</v>
      </c>
      <c r="D11" t="s">
        <v>682</v>
      </c>
      <c r="E11" t="s">
        <v>717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718</v>
      </c>
      <c r="D12" t="s">
        <v>682</v>
      </c>
      <c r="E12" t="s">
        <v>719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720</v>
      </c>
      <c r="D13" t="s">
        <v>682</v>
      </c>
      <c r="E13" t="s">
        <v>721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722</v>
      </c>
      <c r="D14" t="s">
        <v>682</v>
      </c>
      <c r="E14" t="s">
        <v>723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724</v>
      </c>
      <c r="D15" t="s">
        <v>682</v>
      </c>
      <c r="E15" t="s">
        <v>725</v>
      </c>
      <c r="F15" t="s">
        <v>85</v>
      </c>
      <c r="G15" t="s">
        <v>86</v>
      </c>
      <c r="H15" t="s">
        <v>15</v>
      </c>
      <c r="I15" t="s">
        <v>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A7EB1-0E69-4B5B-98F9-B647F74915B3}">
  <dimension ref="B3:S43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726</v>
      </c>
      <c r="O5" t="s">
        <v>682</v>
      </c>
      <c r="P5" t="s">
        <v>727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728</v>
      </c>
      <c r="O6" t="s">
        <v>682</v>
      </c>
      <c r="P6" t="s">
        <v>729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730</v>
      </c>
      <c r="O7" t="s">
        <v>682</v>
      </c>
      <c r="P7" t="s">
        <v>731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732</v>
      </c>
      <c r="O8" t="s">
        <v>682</v>
      </c>
      <c r="P8" t="s">
        <v>733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734</v>
      </c>
      <c r="O9" t="s">
        <v>682</v>
      </c>
      <c r="P9" t="s">
        <v>735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736</v>
      </c>
      <c r="O10" t="s">
        <v>682</v>
      </c>
      <c r="P10" t="s">
        <v>737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738</v>
      </c>
      <c r="O11" t="s">
        <v>682</v>
      </c>
      <c r="P11" t="s">
        <v>739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740</v>
      </c>
      <c r="O12" t="s">
        <v>682</v>
      </c>
      <c r="P12" t="s">
        <v>741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742</v>
      </c>
      <c r="O13" t="s">
        <v>682</v>
      </c>
      <c r="P13" t="s">
        <v>743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744</v>
      </c>
      <c r="O14" t="s">
        <v>682</v>
      </c>
      <c r="P14" t="s">
        <v>745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746</v>
      </c>
      <c r="O15" t="s">
        <v>682</v>
      </c>
      <c r="P15" t="s">
        <v>747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748</v>
      </c>
      <c r="O16" t="s">
        <v>682</v>
      </c>
      <c r="P16" t="s">
        <v>749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750</v>
      </c>
      <c r="O17" t="s">
        <v>682</v>
      </c>
      <c r="P17" t="s">
        <v>751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752</v>
      </c>
      <c r="O18" t="s">
        <v>682</v>
      </c>
      <c r="P18" t="s">
        <v>753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754</v>
      </c>
      <c r="O19" t="s">
        <v>682</v>
      </c>
      <c r="P19" t="s">
        <v>755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756</v>
      </c>
      <c r="O20" t="s">
        <v>682</v>
      </c>
      <c r="P20" t="s">
        <v>757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758</v>
      </c>
      <c r="O21" t="s">
        <v>682</v>
      </c>
      <c r="P21" t="s">
        <v>759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760</v>
      </c>
      <c r="O22" t="s">
        <v>682</v>
      </c>
      <c r="P22" t="s">
        <v>761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762</v>
      </c>
      <c r="O23" t="s">
        <v>682</v>
      </c>
      <c r="P23" t="s">
        <v>763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764</v>
      </c>
      <c r="O24" t="s">
        <v>682</v>
      </c>
      <c r="P24" t="s">
        <v>765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</row>
    <row r="26" spans="2:19" x14ac:dyDescent="0.45">
      <c r="B26" t="s">
        <v>229</v>
      </c>
      <c r="C26" t="s">
        <v>235</v>
      </c>
      <c r="E26" t="s">
        <v>232</v>
      </c>
    </row>
    <row r="27" spans="2:19" x14ac:dyDescent="0.45">
      <c r="B27" t="s">
        <v>229</v>
      </c>
      <c r="C27" t="s">
        <v>238</v>
      </c>
      <c r="E27" t="s">
        <v>232</v>
      </c>
    </row>
    <row r="30" spans="2:19" ht="17.25" thickBot="1" x14ac:dyDescent="0.55000000000000004">
      <c r="B30" s="1" t="s">
        <v>245</v>
      </c>
      <c r="C30" s="2"/>
      <c r="D30" s="2"/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</row>
    <row r="32" spans="2:19" x14ac:dyDescent="0.45">
      <c r="B32" t="s">
        <v>253</v>
      </c>
      <c r="C32" t="s">
        <v>254</v>
      </c>
      <c r="D32" t="s">
        <v>255</v>
      </c>
    </row>
    <row r="38" spans="2:7" ht="17.25" thickBot="1" x14ac:dyDescent="0.55000000000000004">
      <c r="B38" s="1" t="s">
        <v>153</v>
      </c>
      <c r="C38" s="2"/>
      <c r="D38" s="2"/>
    </row>
    <row r="39" spans="2:7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</row>
    <row r="40" spans="2:7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</row>
    <row r="41" spans="2:7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</row>
    <row r="42" spans="2:7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</row>
    <row r="43" spans="2:7" x14ac:dyDescent="0.45">
      <c r="C43" t="s">
        <v>287</v>
      </c>
      <c r="D43" t="s">
        <v>288</v>
      </c>
      <c r="E43" t="s">
        <v>289</v>
      </c>
      <c r="F43" t="s">
        <v>290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F51C0-B44C-47AC-8749-F9418A7CB2FC}">
  <dimension ref="B3:I41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766</v>
      </c>
      <c r="D5" t="s">
        <v>767</v>
      </c>
      <c r="E5" t="s">
        <v>768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769</v>
      </c>
      <c r="D6" t="s">
        <v>767</v>
      </c>
      <c r="E6" t="s">
        <v>770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771</v>
      </c>
      <c r="D7" t="s">
        <v>767</v>
      </c>
      <c r="E7" t="s">
        <v>772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773</v>
      </c>
      <c r="D8" t="s">
        <v>767</v>
      </c>
      <c r="E8" t="s">
        <v>774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775</v>
      </c>
      <c r="D9" t="s">
        <v>767</v>
      </c>
      <c r="E9" t="s">
        <v>776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777</v>
      </c>
      <c r="D10" t="s">
        <v>767</v>
      </c>
      <c r="E10" t="s">
        <v>778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779</v>
      </c>
      <c r="D11" t="s">
        <v>767</v>
      </c>
      <c r="E11" t="s">
        <v>780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781</v>
      </c>
      <c r="D12" t="s">
        <v>767</v>
      </c>
      <c r="E12" t="s">
        <v>782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783</v>
      </c>
      <c r="D13" t="s">
        <v>767</v>
      </c>
      <c r="E13" t="s">
        <v>784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785</v>
      </c>
      <c r="D14" t="s">
        <v>767</v>
      </c>
      <c r="E14" t="s">
        <v>786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787</v>
      </c>
      <c r="D15" t="s">
        <v>767</v>
      </c>
      <c r="E15" t="s">
        <v>788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789</v>
      </c>
      <c r="D16" t="s">
        <v>767</v>
      </c>
      <c r="E16" t="s">
        <v>790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791</v>
      </c>
      <c r="D17" t="s">
        <v>767</v>
      </c>
      <c r="E17" t="s">
        <v>792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793</v>
      </c>
      <c r="D18" t="s">
        <v>767</v>
      </c>
      <c r="E18" t="s">
        <v>794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795</v>
      </c>
      <c r="D19" t="s">
        <v>767</v>
      </c>
      <c r="E19" t="s">
        <v>796</v>
      </c>
      <c r="F19" t="s">
        <v>13</v>
      </c>
      <c r="G19" t="s">
        <v>14</v>
      </c>
      <c r="H19" t="s">
        <v>15</v>
      </c>
      <c r="I19" t="s">
        <v>16</v>
      </c>
    </row>
    <row r="20" spans="2:9" x14ac:dyDescent="0.45">
      <c r="B20" t="s">
        <v>9</v>
      </c>
      <c r="C20" t="s">
        <v>797</v>
      </c>
      <c r="D20" t="s">
        <v>767</v>
      </c>
      <c r="E20" t="s">
        <v>798</v>
      </c>
      <c r="F20" t="s">
        <v>13</v>
      </c>
      <c r="G20" t="s">
        <v>14</v>
      </c>
      <c r="H20" t="s">
        <v>15</v>
      </c>
      <c r="I20" t="s">
        <v>16</v>
      </c>
    </row>
    <row r="21" spans="2:9" x14ac:dyDescent="0.45">
      <c r="B21" t="s">
        <v>9</v>
      </c>
      <c r="C21" t="s">
        <v>799</v>
      </c>
      <c r="D21" t="s">
        <v>767</v>
      </c>
      <c r="E21" t="s">
        <v>800</v>
      </c>
      <c r="F21" t="s">
        <v>13</v>
      </c>
      <c r="G21" t="s">
        <v>14</v>
      </c>
      <c r="H21" t="s">
        <v>15</v>
      </c>
      <c r="I21" t="s">
        <v>16</v>
      </c>
    </row>
    <row r="22" spans="2:9" x14ac:dyDescent="0.45">
      <c r="B22" t="s">
        <v>9</v>
      </c>
      <c r="C22" t="s">
        <v>801</v>
      </c>
      <c r="D22" t="s">
        <v>767</v>
      </c>
      <c r="E22" t="s">
        <v>802</v>
      </c>
      <c r="F22" t="s">
        <v>13</v>
      </c>
      <c r="G22" t="s">
        <v>14</v>
      </c>
      <c r="H22" t="s">
        <v>15</v>
      </c>
      <c r="I22" t="s">
        <v>16</v>
      </c>
    </row>
    <row r="23" spans="2:9" x14ac:dyDescent="0.45">
      <c r="B23" t="s">
        <v>9</v>
      </c>
      <c r="C23" t="s">
        <v>803</v>
      </c>
      <c r="D23" t="s">
        <v>767</v>
      </c>
      <c r="E23" t="s">
        <v>804</v>
      </c>
      <c r="F23" t="s">
        <v>13</v>
      </c>
      <c r="G23" t="s">
        <v>14</v>
      </c>
      <c r="H23" t="s">
        <v>15</v>
      </c>
      <c r="I23" t="s">
        <v>16</v>
      </c>
    </row>
    <row r="24" spans="2:9" x14ac:dyDescent="0.45">
      <c r="B24" t="s">
        <v>9</v>
      </c>
      <c r="C24" t="s">
        <v>805</v>
      </c>
      <c r="D24" t="s">
        <v>767</v>
      </c>
      <c r="E24" t="s">
        <v>806</v>
      </c>
      <c r="F24" t="s">
        <v>13</v>
      </c>
      <c r="G24" t="s">
        <v>14</v>
      </c>
      <c r="H24" t="s">
        <v>15</v>
      </c>
      <c r="I24" t="s">
        <v>16</v>
      </c>
    </row>
    <row r="25" spans="2:9" x14ac:dyDescent="0.45">
      <c r="B25" t="s">
        <v>9</v>
      </c>
      <c r="C25" t="s">
        <v>807</v>
      </c>
      <c r="D25" t="s">
        <v>767</v>
      </c>
      <c r="E25" t="s">
        <v>808</v>
      </c>
      <c r="F25" t="s">
        <v>13</v>
      </c>
      <c r="G25" t="s">
        <v>14</v>
      </c>
      <c r="H25" t="s">
        <v>15</v>
      </c>
      <c r="I25" t="s">
        <v>16</v>
      </c>
    </row>
    <row r="26" spans="2:9" x14ac:dyDescent="0.45">
      <c r="B26" t="s">
        <v>9</v>
      </c>
      <c r="C26" t="s">
        <v>809</v>
      </c>
      <c r="D26" t="s">
        <v>767</v>
      </c>
      <c r="E26" t="s">
        <v>810</v>
      </c>
      <c r="F26" t="s">
        <v>13</v>
      </c>
      <c r="G26" t="s">
        <v>14</v>
      </c>
      <c r="H26" t="s">
        <v>15</v>
      </c>
      <c r="I26" t="s">
        <v>16</v>
      </c>
    </row>
    <row r="27" spans="2:9" x14ac:dyDescent="0.45">
      <c r="B27" t="s">
        <v>9</v>
      </c>
      <c r="C27" t="s">
        <v>811</v>
      </c>
      <c r="D27" t="s">
        <v>767</v>
      </c>
      <c r="E27" t="s">
        <v>812</v>
      </c>
      <c r="F27" t="s">
        <v>13</v>
      </c>
      <c r="G27" t="s">
        <v>14</v>
      </c>
      <c r="H27" t="s">
        <v>15</v>
      </c>
      <c r="I27" t="s">
        <v>16</v>
      </c>
    </row>
    <row r="28" spans="2:9" x14ac:dyDescent="0.45">
      <c r="B28" t="s">
        <v>9</v>
      </c>
      <c r="C28" t="s">
        <v>813</v>
      </c>
      <c r="D28" t="s">
        <v>767</v>
      </c>
      <c r="E28" t="s">
        <v>814</v>
      </c>
      <c r="F28" t="s">
        <v>13</v>
      </c>
      <c r="G28" t="s">
        <v>14</v>
      </c>
      <c r="H28" t="s">
        <v>15</v>
      </c>
      <c r="I28" t="s">
        <v>16</v>
      </c>
    </row>
    <row r="29" spans="2:9" x14ac:dyDescent="0.45">
      <c r="B29" t="s">
        <v>9</v>
      </c>
      <c r="C29" t="s">
        <v>815</v>
      </c>
      <c r="D29" t="s">
        <v>767</v>
      </c>
      <c r="E29" t="s">
        <v>816</v>
      </c>
      <c r="F29" t="s">
        <v>13</v>
      </c>
      <c r="G29" t="s">
        <v>14</v>
      </c>
      <c r="H29" t="s">
        <v>15</v>
      </c>
      <c r="I29" t="s">
        <v>16</v>
      </c>
    </row>
    <row r="30" spans="2:9" x14ac:dyDescent="0.45">
      <c r="B30" t="s">
        <v>9</v>
      </c>
      <c r="C30" t="s">
        <v>817</v>
      </c>
      <c r="D30" t="s">
        <v>767</v>
      </c>
      <c r="E30" t="s">
        <v>818</v>
      </c>
      <c r="F30" t="s">
        <v>13</v>
      </c>
      <c r="G30" t="s">
        <v>14</v>
      </c>
      <c r="H30" t="s">
        <v>15</v>
      </c>
      <c r="I30" t="s">
        <v>16</v>
      </c>
    </row>
    <row r="31" spans="2:9" x14ac:dyDescent="0.45">
      <c r="B31" t="s">
        <v>9</v>
      </c>
      <c r="C31" t="s">
        <v>819</v>
      </c>
      <c r="D31" t="s">
        <v>767</v>
      </c>
      <c r="E31" t="s">
        <v>820</v>
      </c>
      <c r="F31" t="s">
        <v>13</v>
      </c>
      <c r="G31" t="s">
        <v>14</v>
      </c>
      <c r="H31" t="s">
        <v>15</v>
      </c>
      <c r="I31" t="s">
        <v>16</v>
      </c>
    </row>
    <row r="32" spans="2:9" x14ac:dyDescent="0.45">
      <c r="B32" t="s">
        <v>9</v>
      </c>
      <c r="C32" t="s">
        <v>821</v>
      </c>
      <c r="D32" t="s">
        <v>767</v>
      </c>
      <c r="E32" t="s">
        <v>822</v>
      </c>
      <c r="F32" t="s">
        <v>13</v>
      </c>
      <c r="G32" t="s">
        <v>14</v>
      </c>
      <c r="H32" t="s">
        <v>15</v>
      </c>
      <c r="I32" t="s">
        <v>16</v>
      </c>
    </row>
    <row r="33" spans="2:9" x14ac:dyDescent="0.45">
      <c r="B33" t="s">
        <v>9</v>
      </c>
      <c r="C33" t="s">
        <v>823</v>
      </c>
      <c r="D33" t="s">
        <v>767</v>
      </c>
      <c r="E33" t="s">
        <v>824</v>
      </c>
      <c r="F33" t="s">
        <v>13</v>
      </c>
      <c r="G33" t="s">
        <v>14</v>
      </c>
      <c r="H33" t="s">
        <v>15</v>
      </c>
      <c r="I33" t="s">
        <v>16</v>
      </c>
    </row>
    <row r="34" spans="2:9" x14ac:dyDescent="0.45">
      <c r="B34" t="s">
        <v>9</v>
      </c>
      <c r="C34" t="s">
        <v>825</v>
      </c>
      <c r="D34" t="s">
        <v>767</v>
      </c>
      <c r="E34" t="s">
        <v>826</v>
      </c>
      <c r="F34" t="s">
        <v>13</v>
      </c>
      <c r="G34" t="s">
        <v>14</v>
      </c>
      <c r="H34" t="s">
        <v>15</v>
      </c>
      <c r="I34" t="s">
        <v>16</v>
      </c>
    </row>
    <row r="35" spans="2:9" x14ac:dyDescent="0.45">
      <c r="B35" t="s">
        <v>9</v>
      </c>
      <c r="C35" t="s">
        <v>827</v>
      </c>
      <c r="D35" t="s">
        <v>767</v>
      </c>
      <c r="E35" t="s">
        <v>828</v>
      </c>
      <c r="F35" t="s">
        <v>13</v>
      </c>
      <c r="G35" t="s">
        <v>14</v>
      </c>
      <c r="H35" t="s">
        <v>15</v>
      </c>
      <c r="I35" t="s">
        <v>16</v>
      </c>
    </row>
    <row r="36" spans="2:9" x14ac:dyDescent="0.45">
      <c r="B36" t="s">
        <v>9</v>
      </c>
      <c r="C36" t="s">
        <v>829</v>
      </c>
      <c r="D36" t="s">
        <v>767</v>
      </c>
      <c r="E36" t="s">
        <v>830</v>
      </c>
      <c r="F36" t="s">
        <v>13</v>
      </c>
      <c r="G36" t="s">
        <v>14</v>
      </c>
      <c r="H36" t="s">
        <v>15</v>
      </c>
      <c r="I36" t="s">
        <v>16</v>
      </c>
    </row>
    <row r="37" spans="2:9" x14ac:dyDescent="0.45">
      <c r="B37" t="s">
        <v>9</v>
      </c>
      <c r="C37" t="s">
        <v>831</v>
      </c>
      <c r="D37" t="s">
        <v>767</v>
      </c>
      <c r="E37" t="s">
        <v>832</v>
      </c>
      <c r="F37" t="s">
        <v>13</v>
      </c>
      <c r="G37" t="s">
        <v>14</v>
      </c>
      <c r="H37" t="s">
        <v>15</v>
      </c>
      <c r="I37" t="s">
        <v>16</v>
      </c>
    </row>
    <row r="38" spans="2:9" x14ac:dyDescent="0.45">
      <c r="B38" t="s">
        <v>9</v>
      </c>
      <c r="C38" t="s">
        <v>833</v>
      </c>
      <c r="D38" t="s">
        <v>767</v>
      </c>
      <c r="E38" t="s">
        <v>834</v>
      </c>
      <c r="F38" t="s">
        <v>13</v>
      </c>
      <c r="G38" t="s">
        <v>14</v>
      </c>
      <c r="H38" t="s">
        <v>15</v>
      </c>
      <c r="I38" t="s">
        <v>16</v>
      </c>
    </row>
    <row r="39" spans="2:9" x14ac:dyDescent="0.45">
      <c r="B39" t="s">
        <v>9</v>
      </c>
      <c r="C39" t="s">
        <v>835</v>
      </c>
      <c r="D39" t="s">
        <v>767</v>
      </c>
      <c r="E39" t="s">
        <v>836</v>
      </c>
      <c r="F39" t="s">
        <v>13</v>
      </c>
      <c r="G39" t="s">
        <v>14</v>
      </c>
      <c r="H39" t="s">
        <v>15</v>
      </c>
      <c r="I39" t="s">
        <v>16</v>
      </c>
    </row>
    <row r="40" spans="2:9" x14ac:dyDescent="0.45">
      <c r="B40" t="s">
        <v>9</v>
      </c>
      <c r="C40" t="s">
        <v>837</v>
      </c>
      <c r="D40" t="s">
        <v>767</v>
      </c>
      <c r="E40" t="s">
        <v>838</v>
      </c>
      <c r="F40" t="s">
        <v>13</v>
      </c>
      <c r="G40" t="s">
        <v>14</v>
      </c>
      <c r="H40" t="s">
        <v>15</v>
      </c>
      <c r="I40" t="s">
        <v>16</v>
      </c>
    </row>
    <row r="41" spans="2:9" x14ac:dyDescent="0.45">
      <c r="B41" t="s">
        <v>9</v>
      </c>
      <c r="C41" t="s">
        <v>839</v>
      </c>
      <c r="D41" t="s">
        <v>767</v>
      </c>
      <c r="E41" t="s">
        <v>840</v>
      </c>
      <c r="F41" t="s">
        <v>13</v>
      </c>
      <c r="G41" t="s">
        <v>14</v>
      </c>
      <c r="H41" t="s">
        <v>15</v>
      </c>
      <c r="I41" t="s">
        <v>16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92D54-E4FA-49E9-A9BD-0B6E2EB6ADB8}">
  <dimension ref="B3:I41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841</v>
      </c>
      <c r="D5" t="s">
        <v>767</v>
      </c>
      <c r="E5" t="s">
        <v>842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843</v>
      </c>
      <c r="D6" t="s">
        <v>767</v>
      </c>
      <c r="E6" t="s">
        <v>844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845</v>
      </c>
      <c r="D7" t="s">
        <v>767</v>
      </c>
      <c r="E7" t="s">
        <v>846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847</v>
      </c>
      <c r="D8" t="s">
        <v>767</v>
      </c>
      <c r="E8" t="s">
        <v>848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849</v>
      </c>
      <c r="D9" t="s">
        <v>767</v>
      </c>
      <c r="E9" t="s">
        <v>850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851</v>
      </c>
      <c r="D10" t="s">
        <v>767</v>
      </c>
      <c r="E10" t="s">
        <v>852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853</v>
      </c>
      <c r="D11" t="s">
        <v>767</v>
      </c>
      <c r="E11" t="s">
        <v>854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855</v>
      </c>
      <c r="D12" t="s">
        <v>767</v>
      </c>
      <c r="E12" t="s">
        <v>856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857</v>
      </c>
      <c r="D13" t="s">
        <v>767</v>
      </c>
      <c r="E13" t="s">
        <v>858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859</v>
      </c>
      <c r="D14" t="s">
        <v>767</v>
      </c>
      <c r="E14" t="s">
        <v>860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861</v>
      </c>
      <c r="D15" t="s">
        <v>767</v>
      </c>
      <c r="E15" t="s">
        <v>862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863</v>
      </c>
      <c r="D16" t="s">
        <v>767</v>
      </c>
      <c r="E16" t="s">
        <v>864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865</v>
      </c>
      <c r="D17" t="s">
        <v>767</v>
      </c>
      <c r="E17" t="s">
        <v>866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867</v>
      </c>
      <c r="D18" t="s">
        <v>767</v>
      </c>
      <c r="E18" t="s">
        <v>868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869</v>
      </c>
      <c r="D19" t="s">
        <v>767</v>
      </c>
      <c r="E19" t="s">
        <v>870</v>
      </c>
      <c r="F19" t="s">
        <v>85</v>
      </c>
      <c r="G19" t="s">
        <v>86</v>
      </c>
      <c r="H19" t="s">
        <v>15</v>
      </c>
      <c r="I19" t="s">
        <v>16</v>
      </c>
    </row>
    <row r="20" spans="2:9" x14ac:dyDescent="0.45">
      <c r="B20" t="s">
        <v>9</v>
      </c>
      <c r="C20" t="s">
        <v>871</v>
      </c>
      <c r="D20" t="s">
        <v>767</v>
      </c>
      <c r="E20" t="s">
        <v>872</v>
      </c>
      <c r="F20" t="s">
        <v>85</v>
      </c>
      <c r="G20" t="s">
        <v>86</v>
      </c>
      <c r="H20" t="s">
        <v>15</v>
      </c>
      <c r="I20" t="s">
        <v>16</v>
      </c>
    </row>
    <row r="21" spans="2:9" x14ac:dyDescent="0.45">
      <c r="B21" t="s">
        <v>9</v>
      </c>
      <c r="C21" t="s">
        <v>873</v>
      </c>
      <c r="D21" t="s">
        <v>767</v>
      </c>
      <c r="E21" t="s">
        <v>874</v>
      </c>
      <c r="F21" t="s">
        <v>85</v>
      </c>
      <c r="G21" t="s">
        <v>86</v>
      </c>
      <c r="H21" t="s">
        <v>15</v>
      </c>
      <c r="I21" t="s">
        <v>16</v>
      </c>
    </row>
    <row r="22" spans="2:9" x14ac:dyDescent="0.45">
      <c r="B22" t="s">
        <v>9</v>
      </c>
      <c r="C22" t="s">
        <v>875</v>
      </c>
      <c r="D22" t="s">
        <v>767</v>
      </c>
      <c r="E22" t="s">
        <v>876</v>
      </c>
      <c r="F22" t="s">
        <v>85</v>
      </c>
      <c r="G22" t="s">
        <v>86</v>
      </c>
      <c r="H22" t="s">
        <v>15</v>
      </c>
      <c r="I22" t="s">
        <v>16</v>
      </c>
    </row>
    <row r="23" spans="2:9" x14ac:dyDescent="0.45">
      <c r="B23" t="s">
        <v>9</v>
      </c>
      <c r="C23" t="s">
        <v>877</v>
      </c>
      <c r="D23" t="s">
        <v>767</v>
      </c>
      <c r="E23" t="s">
        <v>878</v>
      </c>
      <c r="F23" t="s">
        <v>85</v>
      </c>
      <c r="G23" t="s">
        <v>86</v>
      </c>
      <c r="H23" t="s">
        <v>15</v>
      </c>
      <c r="I23" t="s">
        <v>16</v>
      </c>
    </row>
    <row r="24" spans="2:9" x14ac:dyDescent="0.45">
      <c r="B24" t="s">
        <v>9</v>
      </c>
      <c r="C24" t="s">
        <v>879</v>
      </c>
      <c r="D24" t="s">
        <v>767</v>
      </c>
      <c r="E24" t="s">
        <v>880</v>
      </c>
      <c r="F24" t="s">
        <v>85</v>
      </c>
      <c r="G24" t="s">
        <v>86</v>
      </c>
      <c r="H24" t="s">
        <v>15</v>
      </c>
      <c r="I24" t="s">
        <v>16</v>
      </c>
    </row>
    <row r="25" spans="2:9" x14ac:dyDescent="0.45">
      <c r="B25" t="s">
        <v>9</v>
      </c>
      <c r="C25" t="s">
        <v>881</v>
      </c>
      <c r="D25" t="s">
        <v>767</v>
      </c>
      <c r="E25" t="s">
        <v>882</v>
      </c>
      <c r="F25" t="s">
        <v>85</v>
      </c>
      <c r="G25" t="s">
        <v>86</v>
      </c>
      <c r="H25" t="s">
        <v>15</v>
      </c>
      <c r="I25" t="s">
        <v>16</v>
      </c>
    </row>
    <row r="26" spans="2:9" x14ac:dyDescent="0.45">
      <c r="B26" t="s">
        <v>9</v>
      </c>
      <c r="C26" t="s">
        <v>883</v>
      </c>
      <c r="D26" t="s">
        <v>767</v>
      </c>
      <c r="E26" t="s">
        <v>884</v>
      </c>
      <c r="F26" t="s">
        <v>85</v>
      </c>
      <c r="G26" t="s">
        <v>86</v>
      </c>
      <c r="H26" t="s">
        <v>15</v>
      </c>
      <c r="I26" t="s">
        <v>16</v>
      </c>
    </row>
    <row r="27" spans="2:9" x14ac:dyDescent="0.45">
      <c r="B27" t="s">
        <v>9</v>
      </c>
      <c r="C27" t="s">
        <v>885</v>
      </c>
      <c r="D27" t="s">
        <v>767</v>
      </c>
      <c r="E27" t="s">
        <v>886</v>
      </c>
      <c r="F27" t="s">
        <v>85</v>
      </c>
      <c r="G27" t="s">
        <v>86</v>
      </c>
      <c r="H27" t="s">
        <v>15</v>
      </c>
      <c r="I27" t="s">
        <v>16</v>
      </c>
    </row>
    <row r="28" spans="2:9" x14ac:dyDescent="0.45">
      <c r="B28" t="s">
        <v>9</v>
      </c>
      <c r="C28" t="s">
        <v>887</v>
      </c>
      <c r="D28" t="s">
        <v>767</v>
      </c>
      <c r="E28" t="s">
        <v>888</v>
      </c>
      <c r="F28" t="s">
        <v>85</v>
      </c>
      <c r="G28" t="s">
        <v>86</v>
      </c>
      <c r="H28" t="s">
        <v>15</v>
      </c>
      <c r="I28" t="s">
        <v>16</v>
      </c>
    </row>
    <row r="29" spans="2:9" x14ac:dyDescent="0.45">
      <c r="B29" t="s">
        <v>9</v>
      </c>
      <c r="C29" t="s">
        <v>889</v>
      </c>
      <c r="D29" t="s">
        <v>767</v>
      </c>
      <c r="E29" t="s">
        <v>890</v>
      </c>
      <c r="F29" t="s">
        <v>85</v>
      </c>
      <c r="G29" t="s">
        <v>86</v>
      </c>
      <c r="H29" t="s">
        <v>15</v>
      </c>
      <c r="I29" t="s">
        <v>16</v>
      </c>
    </row>
    <row r="30" spans="2:9" x14ac:dyDescent="0.45">
      <c r="B30" t="s">
        <v>9</v>
      </c>
      <c r="C30" t="s">
        <v>891</v>
      </c>
      <c r="D30" t="s">
        <v>767</v>
      </c>
      <c r="E30" t="s">
        <v>892</v>
      </c>
      <c r="F30" t="s">
        <v>85</v>
      </c>
      <c r="G30" t="s">
        <v>86</v>
      </c>
      <c r="H30" t="s">
        <v>15</v>
      </c>
      <c r="I30" t="s">
        <v>16</v>
      </c>
    </row>
    <row r="31" spans="2:9" x14ac:dyDescent="0.45">
      <c r="B31" t="s">
        <v>9</v>
      </c>
      <c r="C31" t="s">
        <v>893</v>
      </c>
      <c r="D31" t="s">
        <v>767</v>
      </c>
      <c r="E31" t="s">
        <v>894</v>
      </c>
      <c r="F31" t="s">
        <v>85</v>
      </c>
      <c r="G31" t="s">
        <v>86</v>
      </c>
      <c r="H31" t="s">
        <v>15</v>
      </c>
      <c r="I31" t="s">
        <v>16</v>
      </c>
    </row>
    <row r="32" spans="2:9" x14ac:dyDescent="0.45">
      <c r="B32" t="s">
        <v>9</v>
      </c>
      <c r="C32" t="s">
        <v>895</v>
      </c>
      <c r="D32" t="s">
        <v>767</v>
      </c>
      <c r="E32" t="s">
        <v>896</v>
      </c>
      <c r="F32" t="s">
        <v>85</v>
      </c>
      <c r="G32" t="s">
        <v>86</v>
      </c>
      <c r="H32" t="s">
        <v>15</v>
      </c>
      <c r="I32" t="s">
        <v>16</v>
      </c>
    </row>
    <row r="33" spans="2:9" x14ac:dyDescent="0.45">
      <c r="B33" t="s">
        <v>9</v>
      </c>
      <c r="C33" t="s">
        <v>897</v>
      </c>
      <c r="D33" t="s">
        <v>767</v>
      </c>
      <c r="E33" t="s">
        <v>898</v>
      </c>
      <c r="F33" t="s">
        <v>85</v>
      </c>
      <c r="G33" t="s">
        <v>86</v>
      </c>
      <c r="H33" t="s">
        <v>15</v>
      </c>
      <c r="I33" t="s">
        <v>16</v>
      </c>
    </row>
    <row r="34" spans="2:9" x14ac:dyDescent="0.45">
      <c r="B34" t="s">
        <v>9</v>
      </c>
      <c r="C34" t="s">
        <v>899</v>
      </c>
      <c r="D34" t="s">
        <v>767</v>
      </c>
      <c r="E34" t="s">
        <v>900</v>
      </c>
      <c r="F34" t="s">
        <v>85</v>
      </c>
      <c r="G34" t="s">
        <v>86</v>
      </c>
      <c r="H34" t="s">
        <v>15</v>
      </c>
      <c r="I34" t="s">
        <v>16</v>
      </c>
    </row>
    <row r="35" spans="2:9" x14ac:dyDescent="0.45">
      <c r="B35" t="s">
        <v>9</v>
      </c>
      <c r="C35" t="s">
        <v>901</v>
      </c>
      <c r="D35" t="s">
        <v>767</v>
      </c>
      <c r="E35" t="s">
        <v>902</v>
      </c>
      <c r="F35" t="s">
        <v>85</v>
      </c>
      <c r="G35" t="s">
        <v>86</v>
      </c>
      <c r="H35" t="s">
        <v>15</v>
      </c>
      <c r="I35" t="s">
        <v>16</v>
      </c>
    </row>
    <row r="36" spans="2:9" x14ac:dyDescent="0.45">
      <c r="B36" t="s">
        <v>9</v>
      </c>
      <c r="C36" t="s">
        <v>903</v>
      </c>
      <c r="D36" t="s">
        <v>767</v>
      </c>
      <c r="E36" t="s">
        <v>904</v>
      </c>
      <c r="F36" t="s">
        <v>85</v>
      </c>
      <c r="G36" t="s">
        <v>86</v>
      </c>
      <c r="H36" t="s">
        <v>15</v>
      </c>
      <c r="I36" t="s">
        <v>16</v>
      </c>
    </row>
    <row r="37" spans="2:9" x14ac:dyDescent="0.45">
      <c r="B37" t="s">
        <v>9</v>
      </c>
      <c r="C37" t="s">
        <v>905</v>
      </c>
      <c r="D37" t="s">
        <v>767</v>
      </c>
      <c r="E37" t="s">
        <v>906</v>
      </c>
      <c r="F37" t="s">
        <v>85</v>
      </c>
      <c r="G37" t="s">
        <v>86</v>
      </c>
      <c r="H37" t="s">
        <v>15</v>
      </c>
      <c r="I37" t="s">
        <v>16</v>
      </c>
    </row>
    <row r="38" spans="2:9" x14ac:dyDescent="0.45">
      <c r="B38" t="s">
        <v>9</v>
      </c>
      <c r="C38" t="s">
        <v>907</v>
      </c>
      <c r="D38" t="s">
        <v>767</v>
      </c>
      <c r="E38" t="s">
        <v>908</v>
      </c>
      <c r="F38" t="s">
        <v>85</v>
      </c>
      <c r="G38" t="s">
        <v>86</v>
      </c>
      <c r="H38" t="s">
        <v>15</v>
      </c>
      <c r="I38" t="s">
        <v>16</v>
      </c>
    </row>
    <row r="39" spans="2:9" x14ac:dyDescent="0.45">
      <c r="B39" t="s">
        <v>9</v>
      </c>
      <c r="C39" t="s">
        <v>909</v>
      </c>
      <c r="D39" t="s">
        <v>767</v>
      </c>
      <c r="E39" t="s">
        <v>910</v>
      </c>
      <c r="F39" t="s">
        <v>85</v>
      </c>
      <c r="G39" t="s">
        <v>86</v>
      </c>
      <c r="H39" t="s">
        <v>15</v>
      </c>
      <c r="I39" t="s">
        <v>16</v>
      </c>
    </row>
    <row r="40" spans="2:9" x14ac:dyDescent="0.45">
      <c r="B40" t="s">
        <v>9</v>
      </c>
      <c r="C40" t="s">
        <v>911</v>
      </c>
      <c r="D40" t="s">
        <v>767</v>
      </c>
      <c r="E40" t="s">
        <v>912</v>
      </c>
      <c r="F40" t="s">
        <v>85</v>
      </c>
      <c r="G40" t="s">
        <v>86</v>
      </c>
      <c r="H40" t="s">
        <v>15</v>
      </c>
      <c r="I40" t="s">
        <v>16</v>
      </c>
    </row>
    <row r="41" spans="2:9" x14ac:dyDescent="0.45">
      <c r="B41" t="s">
        <v>9</v>
      </c>
      <c r="C41" t="s">
        <v>913</v>
      </c>
      <c r="D41" t="s">
        <v>767</v>
      </c>
      <c r="E41" t="s">
        <v>914</v>
      </c>
      <c r="F41" t="s">
        <v>85</v>
      </c>
      <c r="G41" t="s">
        <v>86</v>
      </c>
      <c r="H41" t="s">
        <v>15</v>
      </c>
      <c r="I41" t="s">
        <v>16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5198B-FE15-4116-922F-D114C41AF47B}">
  <dimension ref="B3:S59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915</v>
      </c>
      <c r="O5" t="s">
        <v>767</v>
      </c>
      <c r="P5" t="s">
        <v>916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917</v>
      </c>
      <c r="O6" t="s">
        <v>767</v>
      </c>
      <c r="P6" t="s">
        <v>918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919</v>
      </c>
      <c r="O7" t="s">
        <v>767</v>
      </c>
      <c r="P7" t="s">
        <v>920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921</v>
      </c>
      <c r="O8" t="s">
        <v>767</v>
      </c>
      <c r="P8" t="s">
        <v>922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923</v>
      </c>
      <c r="O9" t="s">
        <v>767</v>
      </c>
      <c r="P9" t="s">
        <v>924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925</v>
      </c>
      <c r="O10" t="s">
        <v>767</v>
      </c>
      <c r="P10" t="s">
        <v>926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927</v>
      </c>
      <c r="O11" t="s">
        <v>767</v>
      </c>
      <c r="P11" t="s">
        <v>928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929</v>
      </c>
      <c r="O12" t="s">
        <v>767</v>
      </c>
      <c r="P12" t="s">
        <v>930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931</v>
      </c>
      <c r="O13" t="s">
        <v>767</v>
      </c>
      <c r="P13" t="s">
        <v>932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933</v>
      </c>
      <c r="O14" t="s">
        <v>767</v>
      </c>
      <c r="P14" t="s">
        <v>934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935</v>
      </c>
      <c r="O15" t="s">
        <v>767</v>
      </c>
      <c r="P15" t="s">
        <v>936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937</v>
      </c>
      <c r="O16" t="s">
        <v>767</v>
      </c>
      <c r="P16" t="s">
        <v>938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939</v>
      </c>
      <c r="O17" t="s">
        <v>767</v>
      </c>
      <c r="P17" t="s">
        <v>940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941</v>
      </c>
      <c r="O18" t="s">
        <v>767</v>
      </c>
      <c r="P18" t="s">
        <v>942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943</v>
      </c>
      <c r="O19" t="s">
        <v>767</v>
      </c>
      <c r="P19" t="s">
        <v>944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945</v>
      </c>
      <c r="O20" t="s">
        <v>767</v>
      </c>
      <c r="P20" t="s">
        <v>946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947</v>
      </c>
      <c r="O21" t="s">
        <v>767</v>
      </c>
      <c r="P21" t="s">
        <v>948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949</v>
      </c>
      <c r="O22" t="s">
        <v>767</v>
      </c>
      <c r="P22" t="s">
        <v>950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951</v>
      </c>
      <c r="O23" t="s">
        <v>767</v>
      </c>
      <c r="P23" t="s">
        <v>952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953</v>
      </c>
      <c r="O24" t="s">
        <v>767</v>
      </c>
      <c r="P24" t="s">
        <v>954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955</v>
      </c>
      <c r="O25" t="s">
        <v>767</v>
      </c>
      <c r="P25" t="s">
        <v>956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957</v>
      </c>
      <c r="O26" t="s">
        <v>767</v>
      </c>
      <c r="P26" t="s">
        <v>958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959</v>
      </c>
      <c r="O27" t="s">
        <v>767</v>
      </c>
      <c r="P27" t="s">
        <v>960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961</v>
      </c>
      <c r="O28" t="s">
        <v>767</v>
      </c>
      <c r="P28" t="s">
        <v>962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963</v>
      </c>
      <c r="O29" t="s">
        <v>767</v>
      </c>
      <c r="P29" t="s">
        <v>964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  <c r="M30" t="s">
        <v>9</v>
      </c>
      <c r="N30" t="s">
        <v>965</v>
      </c>
      <c r="O30" t="s">
        <v>767</v>
      </c>
      <c r="P30" t="s">
        <v>966</v>
      </c>
      <c r="Q30" t="s">
        <v>85</v>
      </c>
      <c r="R30" t="s">
        <v>86</v>
      </c>
      <c r="S30" t="s">
        <v>16</v>
      </c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  <c r="M31" t="s">
        <v>9</v>
      </c>
      <c r="N31" t="s">
        <v>967</v>
      </c>
      <c r="O31" t="s">
        <v>767</v>
      </c>
      <c r="P31" t="s">
        <v>968</v>
      </c>
      <c r="Q31" t="s">
        <v>85</v>
      </c>
      <c r="R31" t="s">
        <v>86</v>
      </c>
      <c r="S31" t="s">
        <v>16</v>
      </c>
    </row>
    <row r="32" spans="2:19" x14ac:dyDescent="0.45">
      <c r="B32" t="s">
        <v>253</v>
      </c>
      <c r="C32" t="s">
        <v>254</v>
      </c>
      <c r="D32" t="s">
        <v>255</v>
      </c>
      <c r="M32" t="s">
        <v>9</v>
      </c>
      <c r="N32" t="s">
        <v>969</v>
      </c>
      <c r="O32" t="s">
        <v>767</v>
      </c>
      <c r="P32" t="s">
        <v>970</v>
      </c>
      <c r="Q32" t="s">
        <v>85</v>
      </c>
      <c r="R32" t="s">
        <v>86</v>
      </c>
      <c r="S32" t="s">
        <v>16</v>
      </c>
    </row>
    <row r="33" spans="2:19" x14ac:dyDescent="0.45">
      <c r="M33" t="s">
        <v>9</v>
      </c>
      <c r="N33" t="s">
        <v>971</v>
      </c>
      <c r="O33" t="s">
        <v>767</v>
      </c>
      <c r="P33" t="s">
        <v>972</v>
      </c>
      <c r="Q33" t="s">
        <v>85</v>
      </c>
      <c r="R33" t="s">
        <v>86</v>
      </c>
      <c r="S33" t="s">
        <v>16</v>
      </c>
    </row>
    <row r="34" spans="2:19" x14ac:dyDescent="0.45">
      <c r="M34" t="s">
        <v>9</v>
      </c>
      <c r="N34" t="s">
        <v>973</v>
      </c>
      <c r="O34" t="s">
        <v>767</v>
      </c>
      <c r="P34" t="s">
        <v>974</v>
      </c>
      <c r="Q34" t="s">
        <v>85</v>
      </c>
      <c r="R34" t="s">
        <v>86</v>
      </c>
      <c r="S34" t="s">
        <v>16</v>
      </c>
    </row>
    <row r="35" spans="2:19" x14ac:dyDescent="0.45">
      <c r="M35" t="s">
        <v>9</v>
      </c>
      <c r="N35" t="s">
        <v>975</v>
      </c>
      <c r="O35" t="s">
        <v>767</v>
      </c>
      <c r="P35" t="s">
        <v>976</v>
      </c>
      <c r="Q35" t="s">
        <v>85</v>
      </c>
      <c r="R35" t="s">
        <v>86</v>
      </c>
      <c r="S35" t="s">
        <v>16</v>
      </c>
    </row>
    <row r="36" spans="2:19" x14ac:dyDescent="0.45">
      <c r="M36" t="s">
        <v>9</v>
      </c>
      <c r="N36" t="s">
        <v>977</v>
      </c>
      <c r="O36" t="s">
        <v>767</v>
      </c>
      <c r="P36" t="s">
        <v>978</v>
      </c>
      <c r="Q36" t="s">
        <v>85</v>
      </c>
      <c r="R36" t="s">
        <v>86</v>
      </c>
      <c r="S36" t="s">
        <v>16</v>
      </c>
    </row>
    <row r="37" spans="2:19" x14ac:dyDescent="0.45">
      <c r="M37" t="s">
        <v>9</v>
      </c>
      <c r="N37" t="s">
        <v>979</v>
      </c>
      <c r="O37" t="s">
        <v>767</v>
      </c>
      <c r="P37" t="s">
        <v>980</v>
      </c>
      <c r="Q37" t="s">
        <v>85</v>
      </c>
      <c r="R37" t="s">
        <v>86</v>
      </c>
      <c r="S37" t="s">
        <v>16</v>
      </c>
    </row>
    <row r="38" spans="2:19" ht="17.25" thickBot="1" x14ac:dyDescent="0.55000000000000004">
      <c r="B38" s="1" t="s">
        <v>153</v>
      </c>
      <c r="C38" s="2"/>
      <c r="D38" s="2"/>
      <c r="M38" t="s">
        <v>9</v>
      </c>
      <c r="N38" t="s">
        <v>981</v>
      </c>
      <c r="O38" t="s">
        <v>767</v>
      </c>
      <c r="P38" t="s">
        <v>982</v>
      </c>
      <c r="Q38" t="s">
        <v>85</v>
      </c>
      <c r="R38" t="s">
        <v>86</v>
      </c>
      <c r="S38" t="s">
        <v>16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  <c r="M39" t="s">
        <v>9</v>
      </c>
      <c r="N39" t="s">
        <v>983</v>
      </c>
      <c r="O39" t="s">
        <v>767</v>
      </c>
      <c r="P39" t="s">
        <v>984</v>
      </c>
      <c r="Q39" t="s">
        <v>85</v>
      </c>
      <c r="R39" t="s">
        <v>86</v>
      </c>
      <c r="S39" t="s">
        <v>16</v>
      </c>
    </row>
    <row r="40" spans="2:19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  <c r="M40" t="s">
        <v>9</v>
      </c>
      <c r="N40" t="s">
        <v>985</v>
      </c>
      <c r="O40" t="s">
        <v>767</v>
      </c>
      <c r="P40" t="s">
        <v>986</v>
      </c>
      <c r="Q40" t="s">
        <v>85</v>
      </c>
      <c r="R40" t="s">
        <v>86</v>
      </c>
      <c r="S40" t="s">
        <v>16</v>
      </c>
    </row>
    <row r="41" spans="2:19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  <c r="M41" t="s">
        <v>9</v>
      </c>
      <c r="N41" t="s">
        <v>987</v>
      </c>
      <c r="O41" t="s">
        <v>767</v>
      </c>
      <c r="P41" t="s">
        <v>988</v>
      </c>
      <c r="Q41" t="s">
        <v>85</v>
      </c>
      <c r="R41" t="s">
        <v>86</v>
      </c>
      <c r="S41" t="s">
        <v>16</v>
      </c>
    </row>
    <row r="42" spans="2:19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  <c r="M42" t="s">
        <v>9</v>
      </c>
      <c r="N42" t="s">
        <v>989</v>
      </c>
      <c r="O42" t="s">
        <v>767</v>
      </c>
      <c r="P42" t="s">
        <v>990</v>
      </c>
      <c r="Q42" t="s">
        <v>85</v>
      </c>
      <c r="R42" t="s">
        <v>86</v>
      </c>
      <c r="S42" t="s">
        <v>16</v>
      </c>
    </row>
    <row r="43" spans="2:19" x14ac:dyDescent="0.45">
      <c r="C43" t="s">
        <v>287</v>
      </c>
      <c r="D43" t="s">
        <v>288</v>
      </c>
      <c r="E43" t="s">
        <v>289</v>
      </c>
      <c r="F43" t="s">
        <v>290</v>
      </c>
      <c r="M43" t="s">
        <v>9</v>
      </c>
      <c r="N43" t="s">
        <v>991</v>
      </c>
      <c r="O43" t="s">
        <v>767</v>
      </c>
      <c r="P43" t="s">
        <v>992</v>
      </c>
      <c r="Q43" t="s">
        <v>85</v>
      </c>
      <c r="R43" t="s">
        <v>86</v>
      </c>
      <c r="S43" t="s">
        <v>16</v>
      </c>
    </row>
    <row r="44" spans="2:19" x14ac:dyDescent="0.45">
      <c r="M44" t="s">
        <v>9</v>
      </c>
      <c r="N44" t="s">
        <v>993</v>
      </c>
      <c r="O44" t="s">
        <v>767</v>
      </c>
      <c r="P44" t="s">
        <v>994</v>
      </c>
      <c r="Q44" t="s">
        <v>85</v>
      </c>
      <c r="R44" t="s">
        <v>86</v>
      </c>
      <c r="S44" t="s">
        <v>16</v>
      </c>
    </row>
    <row r="45" spans="2:19" x14ac:dyDescent="0.45">
      <c r="M45" t="s">
        <v>9</v>
      </c>
      <c r="N45" t="s">
        <v>995</v>
      </c>
      <c r="O45" t="s">
        <v>767</v>
      </c>
      <c r="P45" t="s">
        <v>996</v>
      </c>
      <c r="Q45" t="s">
        <v>85</v>
      </c>
      <c r="R45" t="s">
        <v>86</v>
      </c>
      <c r="S45" t="s">
        <v>16</v>
      </c>
    </row>
    <row r="46" spans="2:19" x14ac:dyDescent="0.45">
      <c r="M46" t="s">
        <v>9</v>
      </c>
      <c r="N46" t="s">
        <v>997</v>
      </c>
      <c r="O46" t="s">
        <v>767</v>
      </c>
      <c r="P46" t="s">
        <v>998</v>
      </c>
      <c r="Q46" t="s">
        <v>85</v>
      </c>
      <c r="R46" t="s">
        <v>86</v>
      </c>
      <c r="S46" t="s">
        <v>16</v>
      </c>
    </row>
    <row r="47" spans="2:19" x14ac:dyDescent="0.45">
      <c r="M47" t="s">
        <v>9</v>
      </c>
      <c r="N47" t="s">
        <v>999</v>
      </c>
      <c r="O47" t="s">
        <v>767</v>
      </c>
      <c r="P47" t="s">
        <v>1000</v>
      </c>
      <c r="Q47" t="s">
        <v>85</v>
      </c>
      <c r="R47" t="s">
        <v>86</v>
      </c>
      <c r="S47" t="s">
        <v>16</v>
      </c>
    </row>
    <row r="48" spans="2:19" x14ac:dyDescent="0.45">
      <c r="M48" t="s">
        <v>9</v>
      </c>
      <c r="N48" t="s">
        <v>1001</v>
      </c>
      <c r="O48" t="s">
        <v>767</v>
      </c>
      <c r="P48" t="s">
        <v>1002</v>
      </c>
      <c r="Q48" t="s">
        <v>85</v>
      </c>
      <c r="R48" t="s">
        <v>86</v>
      </c>
      <c r="S48" t="s">
        <v>16</v>
      </c>
    </row>
    <row r="49" spans="13:19" x14ac:dyDescent="0.45">
      <c r="M49" t="s">
        <v>9</v>
      </c>
      <c r="N49" t="s">
        <v>1003</v>
      </c>
      <c r="O49" t="s">
        <v>767</v>
      </c>
      <c r="P49" t="s">
        <v>1004</v>
      </c>
      <c r="Q49" t="s">
        <v>85</v>
      </c>
      <c r="R49" t="s">
        <v>86</v>
      </c>
      <c r="S49" t="s">
        <v>16</v>
      </c>
    </row>
    <row r="50" spans="13:19" x14ac:dyDescent="0.45">
      <c r="M50" t="s">
        <v>9</v>
      </c>
      <c r="N50" t="s">
        <v>1005</v>
      </c>
      <c r="O50" t="s">
        <v>767</v>
      </c>
      <c r="P50" t="s">
        <v>1006</v>
      </c>
      <c r="Q50" t="s">
        <v>85</v>
      </c>
      <c r="R50" t="s">
        <v>86</v>
      </c>
      <c r="S50" t="s">
        <v>16</v>
      </c>
    </row>
    <row r="51" spans="13:19" x14ac:dyDescent="0.45">
      <c r="M51" t="s">
        <v>9</v>
      </c>
      <c r="N51" t="s">
        <v>1007</v>
      </c>
      <c r="O51" t="s">
        <v>767</v>
      </c>
      <c r="P51" t="s">
        <v>1008</v>
      </c>
      <c r="Q51" t="s">
        <v>85</v>
      </c>
      <c r="R51" t="s">
        <v>86</v>
      </c>
      <c r="S51" t="s">
        <v>16</v>
      </c>
    </row>
    <row r="52" spans="13:19" x14ac:dyDescent="0.45">
      <c r="M52" t="s">
        <v>9</v>
      </c>
      <c r="N52" t="s">
        <v>1009</v>
      </c>
      <c r="O52" t="s">
        <v>767</v>
      </c>
      <c r="P52" t="s">
        <v>1010</v>
      </c>
      <c r="Q52" t="s">
        <v>85</v>
      </c>
      <c r="R52" t="s">
        <v>86</v>
      </c>
      <c r="S52" t="s">
        <v>16</v>
      </c>
    </row>
    <row r="53" spans="13:19" x14ac:dyDescent="0.45">
      <c r="M53" t="s">
        <v>9</v>
      </c>
      <c r="N53" t="s">
        <v>1011</v>
      </c>
      <c r="O53" t="s">
        <v>767</v>
      </c>
      <c r="P53" t="s">
        <v>1012</v>
      </c>
      <c r="Q53" t="s">
        <v>85</v>
      </c>
      <c r="R53" t="s">
        <v>86</v>
      </c>
      <c r="S53" t="s">
        <v>16</v>
      </c>
    </row>
    <row r="54" spans="13:19" x14ac:dyDescent="0.45">
      <c r="M54" t="s">
        <v>9</v>
      </c>
      <c r="N54" t="s">
        <v>1013</v>
      </c>
      <c r="O54" t="s">
        <v>767</v>
      </c>
      <c r="P54" t="s">
        <v>1014</v>
      </c>
      <c r="Q54" t="s">
        <v>85</v>
      </c>
      <c r="R54" t="s">
        <v>86</v>
      </c>
      <c r="S54" t="s">
        <v>16</v>
      </c>
    </row>
    <row r="55" spans="13:19" x14ac:dyDescent="0.45">
      <c r="M55" t="s">
        <v>9</v>
      </c>
      <c r="N55" t="s">
        <v>1015</v>
      </c>
      <c r="O55" t="s">
        <v>767</v>
      </c>
      <c r="P55" t="s">
        <v>1016</v>
      </c>
      <c r="Q55" t="s">
        <v>85</v>
      </c>
      <c r="R55" t="s">
        <v>86</v>
      </c>
      <c r="S55" t="s">
        <v>16</v>
      </c>
    </row>
    <row r="56" spans="13:19" x14ac:dyDescent="0.45">
      <c r="M56" t="s">
        <v>9</v>
      </c>
      <c r="N56" t="s">
        <v>1017</v>
      </c>
      <c r="O56" t="s">
        <v>767</v>
      </c>
      <c r="P56" t="s">
        <v>1018</v>
      </c>
      <c r="Q56" t="s">
        <v>85</v>
      </c>
      <c r="R56" t="s">
        <v>86</v>
      </c>
      <c r="S56" t="s">
        <v>16</v>
      </c>
    </row>
    <row r="57" spans="13:19" x14ac:dyDescent="0.45">
      <c r="M57" t="s">
        <v>9</v>
      </c>
      <c r="N57" t="s">
        <v>1019</v>
      </c>
      <c r="O57" t="s">
        <v>767</v>
      </c>
      <c r="P57" t="s">
        <v>1020</v>
      </c>
      <c r="Q57" t="s">
        <v>85</v>
      </c>
      <c r="R57" t="s">
        <v>86</v>
      </c>
      <c r="S57" t="s">
        <v>16</v>
      </c>
    </row>
    <row r="58" spans="13:19" x14ac:dyDescent="0.45">
      <c r="M58" t="s">
        <v>9</v>
      </c>
      <c r="N58" t="s">
        <v>1021</v>
      </c>
      <c r="O58" t="s">
        <v>767</v>
      </c>
      <c r="P58" t="s">
        <v>1022</v>
      </c>
      <c r="Q58" t="s">
        <v>85</v>
      </c>
      <c r="R58" t="s">
        <v>86</v>
      </c>
      <c r="S58" t="s">
        <v>16</v>
      </c>
    </row>
    <row r="59" spans="13:19" x14ac:dyDescent="0.45">
      <c r="M59" t="s">
        <v>9</v>
      </c>
      <c r="N59" t="s">
        <v>1023</v>
      </c>
      <c r="O59" t="s">
        <v>767</v>
      </c>
      <c r="P59" t="s">
        <v>1024</v>
      </c>
      <c r="Q59" t="s">
        <v>85</v>
      </c>
      <c r="R59" t="s">
        <v>86</v>
      </c>
      <c r="S59" t="s">
        <v>16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C6F67-6FD3-4361-93DC-F68ECEA2C42A}">
  <dimension ref="B3:I27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1025</v>
      </c>
      <c r="D5" t="s">
        <v>1026</v>
      </c>
      <c r="E5" t="s">
        <v>1027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1028</v>
      </c>
      <c r="D6" t="s">
        <v>1026</v>
      </c>
      <c r="E6" t="s">
        <v>1029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1030</v>
      </c>
      <c r="D7" t="s">
        <v>1026</v>
      </c>
      <c r="E7" t="s">
        <v>1031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1032</v>
      </c>
      <c r="D8" t="s">
        <v>1026</v>
      </c>
      <c r="E8" t="s">
        <v>1033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1034</v>
      </c>
      <c r="D9" t="s">
        <v>1026</v>
      </c>
      <c r="E9" t="s">
        <v>1035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1036</v>
      </c>
      <c r="D10" t="s">
        <v>1026</v>
      </c>
      <c r="E10" t="s">
        <v>1037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1038</v>
      </c>
      <c r="D11" t="s">
        <v>1026</v>
      </c>
      <c r="E11" t="s">
        <v>1039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1040</v>
      </c>
      <c r="D12" t="s">
        <v>1026</v>
      </c>
      <c r="E12" t="s">
        <v>1041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1042</v>
      </c>
      <c r="D13" t="s">
        <v>1026</v>
      </c>
      <c r="E13" t="s">
        <v>1043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1044</v>
      </c>
      <c r="D14" t="s">
        <v>1026</v>
      </c>
      <c r="E14" t="s">
        <v>1045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1046</v>
      </c>
      <c r="D15" t="s">
        <v>1026</v>
      </c>
      <c r="E15" t="s">
        <v>1047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1048</v>
      </c>
      <c r="D16" t="s">
        <v>1026</v>
      </c>
      <c r="E16" t="s">
        <v>1049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1050</v>
      </c>
      <c r="D17" t="s">
        <v>1026</v>
      </c>
      <c r="E17" t="s">
        <v>1051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1052</v>
      </c>
      <c r="D18" t="s">
        <v>1026</v>
      </c>
      <c r="E18" t="s">
        <v>1053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1054</v>
      </c>
      <c r="D19" t="s">
        <v>1026</v>
      </c>
      <c r="E19" t="s">
        <v>1055</v>
      </c>
      <c r="F19" t="s">
        <v>13</v>
      </c>
      <c r="G19" t="s">
        <v>14</v>
      </c>
      <c r="H19" t="s">
        <v>15</v>
      </c>
      <c r="I19" t="s">
        <v>16</v>
      </c>
    </row>
    <row r="20" spans="2:9" x14ac:dyDescent="0.45">
      <c r="B20" t="s">
        <v>9</v>
      </c>
      <c r="C20" t="s">
        <v>1056</v>
      </c>
      <c r="D20" t="s">
        <v>1026</v>
      </c>
      <c r="E20" t="s">
        <v>1057</v>
      </c>
      <c r="F20" t="s">
        <v>13</v>
      </c>
      <c r="G20" t="s">
        <v>14</v>
      </c>
      <c r="H20" t="s">
        <v>15</v>
      </c>
      <c r="I20" t="s">
        <v>16</v>
      </c>
    </row>
    <row r="21" spans="2:9" x14ac:dyDescent="0.45">
      <c r="B21" t="s">
        <v>9</v>
      </c>
      <c r="C21" t="s">
        <v>1058</v>
      </c>
      <c r="D21" t="s">
        <v>1026</v>
      </c>
      <c r="E21" t="s">
        <v>1059</v>
      </c>
      <c r="F21" t="s">
        <v>13</v>
      </c>
      <c r="G21" t="s">
        <v>14</v>
      </c>
      <c r="H21" t="s">
        <v>15</v>
      </c>
      <c r="I21" t="s">
        <v>16</v>
      </c>
    </row>
    <row r="22" spans="2:9" x14ac:dyDescent="0.45">
      <c r="B22" t="s">
        <v>9</v>
      </c>
      <c r="C22" t="s">
        <v>1060</v>
      </c>
      <c r="D22" t="s">
        <v>1026</v>
      </c>
      <c r="E22" t="s">
        <v>1061</v>
      </c>
      <c r="F22" t="s">
        <v>13</v>
      </c>
      <c r="G22" t="s">
        <v>14</v>
      </c>
      <c r="H22" t="s">
        <v>15</v>
      </c>
      <c r="I22" t="s">
        <v>16</v>
      </c>
    </row>
    <row r="23" spans="2:9" x14ac:dyDescent="0.45">
      <c r="B23" t="s">
        <v>9</v>
      </c>
      <c r="C23" t="s">
        <v>1062</v>
      </c>
      <c r="D23" t="s">
        <v>1026</v>
      </c>
      <c r="E23" t="s">
        <v>1063</v>
      </c>
      <c r="F23" t="s">
        <v>13</v>
      </c>
      <c r="G23" t="s">
        <v>14</v>
      </c>
      <c r="H23" t="s">
        <v>15</v>
      </c>
      <c r="I23" t="s">
        <v>16</v>
      </c>
    </row>
    <row r="24" spans="2:9" x14ac:dyDescent="0.45">
      <c r="B24" t="s">
        <v>9</v>
      </c>
      <c r="C24" t="s">
        <v>1064</v>
      </c>
      <c r="D24" t="s">
        <v>1026</v>
      </c>
      <c r="E24" t="s">
        <v>1065</v>
      </c>
      <c r="F24" t="s">
        <v>13</v>
      </c>
      <c r="G24" t="s">
        <v>14</v>
      </c>
      <c r="H24" t="s">
        <v>15</v>
      </c>
      <c r="I24" t="s">
        <v>16</v>
      </c>
    </row>
    <row r="25" spans="2:9" x14ac:dyDescent="0.45">
      <c r="B25" t="s">
        <v>9</v>
      </c>
      <c r="C25" t="s">
        <v>1066</v>
      </c>
      <c r="D25" t="s">
        <v>1026</v>
      </c>
      <c r="E25" t="s">
        <v>1067</v>
      </c>
      <c r="F25" t="s">
        <v>13</v>
      </c>
      <c r="G25" t="s">
        <v>14</v>
      </c>
      <c r="H25" t="s">
        <v>15</v>
      </c>
      <c r="I25" t="s">
        <v>16</v>
      </c>
    </row>
    <row r="26" spans="2:9" x14ac:dyDescent="0.45">
      <c r="B26" t="s">
        <v>9</v>
      </c>
      <c r="C26" t="s">
        <v>1068</v>
      </c>
      <c r="D26" t="s">
        <v>1026</v>
      </c>
      <c r="E26" t="s">
        <v>1069</v>
      </c>
      <c r="F26" t="s">
        <v>13</v>
      </c>
      <c r="G26" t="s">
        <v>14</v>
      </c>
      <c r="H26" t="s">
        <v>15</v>
      </c>
      <c r="I26" t="s">
        <v>16</v>
      </c>
    </row>
    <row r="27" spans="2:9" x14ac:dyDescent="0.45">
      <c r="B27" t="s">
        <v>9</v>
      </c>
      <c r="C27" t="s">
        <v>1070</v>
      </c>
      <c r="D27" t="s">
        <v>1026</v>
      </c>
      <c r="E27" t="s">
        <v>1071</v>
      </c>
      <c r="F27" t="s">
        <v>13</v>
      </c>
      <c r="G27" t="s">
        <v>14</v>
      </c>
      <c r="H27" t="s">
        <v>15</v>
      </c>
      <c r="I27" t="s">
        <v>16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9E6E-91BB-4986-835A-B52D78726546}">
  <dimension ref="B3:I27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1072</v>
      </c>
      <c r="D5" t="s">
        <v>1026</v>
      </c>
      <c r="E5" t="s">
        <v>1073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1074</v>
      </c>
      <c r="D6" t="s">
        <v>1026</v>
      </c>
      <c r="E6" t="s">
        <v>1075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1076</v>
      </c>
      <c r="D7" t="s">
        <v>1026</v>
      </c>
      <c r="E7" t="s">
        <v>1077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1078</v>
      </c>
      <c r="D8" t="s">
        <v>1026</v>
      </c>
      <c r="E8" t="s">
        <v>1079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1080</v>
      </c>
      <c r="D9" t="s">
        <v>1026</v>
      </c>
      <c r="E9" t="s">
        <v>1081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1082</v>
      </c>
      <c r="D10" t="s">
        <v>1026</v>
      </c>
      <c r="E10" t="s">
        <v>1083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1084</v>
      </c>
      <c r="D11" t="s">
        <v>1026</v>
      </c>
      <c r="E11" t="s">
        <v>1085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1086</v>
      </c>
      <c r="D12" t="s">
        <v>1026</v>
      </c>
      <c r="E12" t="s">
        <v>1087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1088</v>
      </c>
      <c r="D13" t="s">
        <v>1026</v>
      </c>
      <c r="E13" t="s">
        <v>1089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1090</v>
      </c>
      <c r="D14" t="s">
        <v>1026</v>
      </c>
      <c r="E14" t="s">
        <v>1091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1092</v>
      </c>
      <c r="D15" t="s">
        <v>1026</v>
      </c>
      <c r="E15" t="s">
        <v>1093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1094</v>
      </c>
      <c r="D16" t="s">
        <v>1026</v>
      </c>
      <c r="E16" t="s">
        <v>1095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1096</v>
      </c>
      <c r="D17" t="s">
        <v>1026</v>
      </c>
      <c r="E17" t="s">
        <v>1097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1098</v>
      </c>
      <c r="D18" t="s">
        <v>1026</v>
      </c>
      <c r="E18" t="s">
        <v>1099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1100</v>
      </c>
      <c r="D19" t="s">
        <v>1026</v>
      </c>
      <c r="E19" t="s">
        <v>1101</v>
      </c>
      <c r="F19" t="s">
        <v>85</v>
      </c>
      <c r="G19" t="s">
        <v>86</v>
      </c>
      <c r="H19" t="s">
        <v>15</v>
      </c>
      <c r="I19" t="s">
        <v>16</v>
      </c>
    </row>
    <row r="20" spans="2:9" x14ac:dyDescent="0.45">
      <c r="B20" t="s">
        <v>9</v>
      </c>
      <c r="C20" t="s">
        <v>1102</v>
      </c>
      <c r="D20" t="s">
        <v>1026</v>
      </c>
      <c r="E20" t="s">
        <v>1103</v>
      </c>
      <c r="F20" t="s">
        <v>85</v>
      </c>
      <c r="G20" t="s">
        <v>86</v>
      </c>
      <c r="H20" t="s">
        <v>15</v>
      </c>
      <c r="I20" t="s">
        <v>16</v>
      </c>
    </row>
    <row r="21" spans="2:9" x14ac:dyDescent="0.45">
      <c r="B21" t="s">
        <v>9</v>
      </c>
      <c r="C21" t="s">
        <v>1104</v>
      </c>
      <c r="D21" t="s">
        <v>1026</v>
      </c>
      <c r="E21" t="s">
        <v>1105</v>
      </c>
      <c r="F21" t="s">
        <v>85</v>
      </c>
      <c r="G21" t="s">
        <v>86</v>
      </c>
      <c r="H21" t="s">
        <v>15</v>
      </c>
      <c r="I21" t="s">
        <v>16</v>
      </c>
    </row>
    <row r="22" spans="2:9" x14ac:dyDescent="0.45">
      <c r="B22" t="s">
        <v>9</v>
      </c>
      <c r="C22" t="s">
        <v>1106</v>
      </c>
      <c r="D22" t="s">
        <v>1026</v>
      </c>
      <c r="E22" t="s">
        <v>1107</v>
      </c>
      <c r="F22" t="s">
        <v>85</v>
      </c>
      <c r="G22" t="s">
        <v>86</v>
      </c>
      <c r="H22" t="s">
        <v>15</v>
      </c>
      <c r="I22" t="s">
        <v>16</v>
      </c>
    </row>
    <row r="23" spans="2:9" x14ac:dyDescent="0.45">
      <c r="B23" t="s">
        <v>9</v>
      </c>
      <c r="C23" t="s">
        <v>1108</v>
      </c>
      <c r="D23" t="s">
        <v>1026</v>
      </c>
      <c r="E23" t="s">
        <v>1109</v>
      </c>
      <c r="F23" t="s">
        <v>85</v>
      </c>
      <c r="G23" t="s">
        <v>86</v>
      </c>
      <c r="H23" t="s">
        <v>15</v>
      </c>
      <c r="I23" t="s">
        <v>16</v>
      </c>
    </row>
    <row r="24" spans="2:9" x14ac:dyDescent="0.45">
      <c r="B24" t="s">
        <v>9</v>
      </c>
      <c r="C24" t="s">
        <v>1110</v>
      </c>
      <c r="D24" t="s">
        <v>1026</v>
      </c>
      <c r="E24" t="s">
        <v>1111</v>
      </c>
      <c r="F24" t="s">
        <v>85</v>
      </c>
      <c r="G24" t="s">
        <v>86</v>
      </c>
      <c r="H24" t="s">
        <v>15</v>
      </c>
      <c r="I24" t="s">
        <v>16</v>
      </c>
    </row>
    <row r="25" spans="2:9" x14ac:dyDescent="0.45">
      <c r="B25" t="s">
        <v>9</v>
      </c>
      <c r="C25" t="s">
        <v>1112</v>
      </c>
      <c r="D25" t="s">
        <v>1026</v>
      </c>
      <c r="E25" t="s">
        <v>1113</v>
      </c>
      <c r="F25" t="s">
        <v>85</v>
      </c>
      <c r="G25" t="s">
        <v>86</v>
      </c>
      <c r="H25" t="s">
        <v>15</v>
      </c>
      <c r="I25" t="s">
        <v>16</v>
      </c>
    </row>
    <row r="26" spans="2:9" x14ac:dyDescent="0.45">
      <c r="B26" t="s">
        <v>9</v>
      </c>
      <c r="C26" t="s">
        <v>1114</v>
      </c>
      <c r="D26" t="s">
        <v>1026</v>
      </c>
      <c r="E26" t="s">
        <v>1115</v>
      </c>
      <c r="F26" t="s">
        <v>85</v>
      </c>
      <c r="G26" t="s">
        <v>86</v>
      </c>
      <c r="H26" t="s">
        <v>15</v>
      </c>
      <c r="I26" t="s">
        <v>16</v>
      </c>
    </row>
    <row r="27" spans="2:9" x14ac:dyDescent="0.45">
      <c r="B27" t="s">
        <v>9</v>
      </c>
      <c r="C27" t="s">
        <v>1116</v>
      </c>
      <c r="D27" t="s">
        <v>1026</v>
      </c>
      <c r="E27" t="s">
        <v>1117</v>
      </c>
      <c r="F27" t="s">
        <v>85</v>
      </c>
      <c r="G27" t="s">
        <v>86</v>
      </c>
      <c r="H27" t="s">
        <v>15</v>
      </c>
      <c r="I27" t="s">
        <v>16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17F4F-E3D4-489F-AB44-56BB525D275B}">
  <dimension ref="B3:S43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1118</v>
      </c>
      <c r="O5" t="s">
        <v>1026</v>
      </c>
      <c r="P5" t="s">
        <v>1119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1120</v>
      </c>
      <c r="O6" t="s">
        <v>1026</v>
      </c>
      <c r="P6" t="s">
        <v>1121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1122</v>
      </c>
      <c r="O7" t="s">
        <v>1026</v>
      </c>
      <c r="P7" t="s">
        <v>1123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1124</v>
      </c>
      <c r="O8" t="s">
        <v>1026</v>
      </c>
      <c r="P8" t="s">
        <v>1125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1126</v>
      </c>
      <c r="O9" t="s">
        <v>1026</v>
      </c>
      <c r="P9" t="s">
        <v>1127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1128</v>
      </c>
      <c r="O10" t="s">
        <v>1026</v>
      </c>
      <c r="P10" t="s">
        <v>1129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1130</v>
      </c>
      <c r="O11" t="s">
        <v>1026</v>
      </c>
      <c r="P11" t="s">
        <v>1131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1132</v>
      </c>
      <c r="O12" t="s">
        <v>1026</v>
      </c>
      <c r="P12" t="s">
        <v>1133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1134</v>
      </c>
      <c r="O13" t="s">
        <v>1026</v>
      </c>
      <c r="P13" t="s">
        <v>1135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1136</v>
      </c>
      <c r="O14" t="s">
        <v>1026</v>
      </c>
      <c r="P14" t="s">
        <v>1137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1138</v>
      </c>
      <c r="O15" t="s">
        <v>1026</v>
      </c>
      <c r="P15" t="s">
        <v>1139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1140</v>
      </c>
      <c r="O16" t="s">
        <v>1026</v>
      </c>
      <c r="P16" t="s">
        <v>1141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1142</v>
      </c>
      <c r="O17" t="s">
        <v>1026</v>
      </c>
      <c r="P17" t="s">
        <v>1143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1144</v>
      </c>
      <c r="O18" t="s">
        <v>1026</v>
      </c>
      <c r="P18" t="s">
        <v>1145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1146</v>
      </c>
      <c r="O19" t="s">
        <v>1026</v>
      </c>
      <c r="P19" t="s">
        <v>1147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1148</v>
      </c>
      <c r="O20" t="s">
        <v>1026</v>
      </c>
      <c r="P20" t="s">
        <v>1149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</row>
    <row r="26" spans="2:19" x14ac:dyDescent="0.45">
      <c r="B26" t="s">
        <v>229</v>
      </c>
      <c r="C26" t="s">
        <v>235</v>
      </c>
      <c r="E26" t="s">
        <v>232</v>
      </c>
    </row>
    <row r="27" spans="2:19" x14ac:dyDescent="0.45">
      <c r="B27" t="s">
        <v>229</v>
      </c>
      <c r="C27" t="s">
        <v>238</v>
      </c>
      <c r="E27" t="s">
        <v>232</v>
      </c>
    </row>
    <row r="30" spans="2:19" ht="17.25" thickBot="1" x14ac:dyDescent="0.55000000000000004">
      <c r="B30" s="1" t="s">
        <v>245</v>
      </c>
      <c r="C30" s="2"/>
      <c r="D30" s="2"/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</row>
    <row r="32" spans="2:19" x14ac:dyDescent="0.45">
      <c r="B32" t="s">
        <v>253</v>
      </c>
      <c r="C32" t="s">
        <v>254</v>
      </c>
      <c r="D32" t="s">
        <v>255</v>
      </c>
    </row>
    <row r="38" spans="2:7" ht="17.25" thickBot="1" x14ac:dyDescent="0.55000000000000004">
      <c r="B38" s="1" t="s">
        <v>153</v>
      </c>
      <c r="C38" s="2"/>
      <c r="D38" s="2"/>
    </row>
    <row r="39" spans="2:7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</row>
    <row r="40" spans="2:7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</row>
    <row r="41" spans="2:7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</row>
    <row r="42" spans="2:7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</row>
    <row r="43" spans="2:7" x14ac:dyDescent="0.45">
      <c r="C43" t="s">
        <v>287</v>
      </c>
      <c r="D43" t="s">
        <v>288</v>
      </c>
      <c r="E43" t="s">
        <v>289</v>
      </c>
      <c r="F43" t="s">
        <v>290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6B287-013C-48B3-8D56-209CB1457188}">
  <dimension ref="B3:I29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1150</v>
      </c>
      <c r="D5" t="s">
        <v>1151</v>
      </c>
      <c r="E5" t="s">
        <v>1152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1153</v>
      </c>
      <c r="D6" t="s">
        <v>1151</v>
      </c>
      <c r="E6" t="s">
        <v>1154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1155</v>
      </c>
      <c r="D7" t="s">
        <v>1151</v>
      </c>
      <c r="E7" t="s">
        <v>1156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1157</v>
      </c>
      <c r="D8" t="s">
        <v>1151</v>
      </c>
      <c r="E8" t="s">
        <v>1158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1159</v>
      </c>
      <c r="D9" t="s">
        <v>1151</v>
      </c>
      <c r="E9" t="s">
        <v>1160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1161</v>
      </c>
      <c r="D10" t="s">
        <v>1151</v>
      </c>
      <c r="E10" t="s">
        <v>1162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1163</v>
      </c>
      <c r="D11" t="s">
        <v>1151</v>
      </c>
      <c r="E11" t="s">
        <v>1164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1165</v>
      </c>
      <c r="D12" t="s">
        <v>1151</v>
      </c>
      <c r="E12" t="s">
        <v>1166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1167</v>
      </c>
      <c r="D13" t="s">
        <v>1151</v>
      </c>
      <c r="E13" t="s">
        <v>1168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1169</v>
      </c>
      <c r="D14" t="s">
        <v>1151</v>
      </c>
      <c r="E14" t="s">
        <v>1170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1171</v>
      </c>
      <c r="D15" t="s">
        <v>1151</v>
      </c>
      <c r="E15" t="s">
        <v>1172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1173</v>
      </c>
      <c r="D16" t="s">
        <v>1151</v>
      </c>
      <c r="E16" t="s">
        <v>1174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1175</v>
      </c>
      <c r="D17" t="s">
        <v>1151</v>
      </c>
      <c r="E17" t="s">
        <v>1176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1177</v>
      </c>
      <c r="D18" t="s">
        <v>1151</v>
      </c>
      <c r="E18" t="s">
        <v>1178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1179</v>
      </c>
      <c r="D19" t="s">
        <v>1151</v>
      </c>
      <c r="E19" t="s">
        <v>1180</v>
      </c>
      <c r="F19" t="s">
        <v>13</v>
      </c>
      <c r="G19" t="s">
        <v>14</v>
      </c>
      <c r="H19" t="s">
        <v>15</v>
      </c>
      <c r="I19" t="s">
        <v>16</v>
      </c>
    </row>
    <row r="20" spans="2:9" x14ac:dyDescent="0.45">
      <c r="B20" t="s">
        <v>9</v>
      </c>
      <c r="C20" t="s">
        <v>1181</v>
      </c>
      <c r="D20" t="s">
        <v>1151</v>
      </c>
      <c r="E20" t="s">
        <v>1182</v>
      </c>
      <c r="F20" t="s">
        <v>13</v>
      </c>
      <c r="G20" t="s">
        <v>14</v>
      </c>
      <c r="H20" t="s">
        <v>15</v>
      </c>
      <c r="I20" t="s">
        <v>16</v>
      </c>
    </row>
    <row r="21" spans="2:9" x14ac:dyDescent="0.45">
      <c r="B21" t="s">
        <v>9</v>
      </c>
      <c r="C21" t="s">
        <v>1183</v>
      </c>
      <c r="D21" t="s">
        <v>1151</v>
      </c>
      <c r="E21" t="s">
        <v>1184</v>
      </c>
      <c r="F21" t="s">
        <v>13</v>
      </c>
      <c r="G21" t="s">
        <v>14</v>
      </c>
      <c r="H21" t="s">
        <v>15</v>
      </c>
      <c r="I21" t="s">
        <v>16</v>
      </c>
    </row>
    <row r="22" spans="2:9" x14ac:dyDescent="0.45">
      <c r="B22" t="s">
        <v>9</v>
      </c>
      <c r="C22" t="s">
        <v>1185</v>
      </c>
      <c r="D22" t="s">
        <v>1151</v>
      </c>
      <c r="E22" t="s">
        <v>1186</v>
      </c>
      <c r="F22" t="s">
        <v>13</v>
      </c>
      <c r="G22" t="s">
        <v>14</v>
      </c>
      <c r="H22" t="s">
        <v>15</v>
      </c>
      <c r="I22" t="s">
        <v>16</v>
      </c>
    </row>
    <row r="23" spans="2:9" x14ac:dyDescent="0.45">
      <c r="B23" t="s">
        <v>9</v>
      </c>
      <c r="C23" t="s">
        <v>1187</v>
      </c>
      <c r="D23" t="s">
        <v>1151</v>
      </c>
      <c r="E23" t="s">
        <v>1188</v>
      </c>
      <c r="F23" t="s">
        <v>13</v>
      </c>
      <c r="G23" t="s">
        <v>14</v>
      </c>
      <c r="H23" t="s">
        <v>15</v>
      </c>
      <c r="I23" t="s">
        <v>16</v>
      </c>
    </row>
    <row r="24" spans="2:9" x14ac:dyDescent="0.45">
      <c r="B24" t="s">
        <v>9</v>
      </c>
      <c r="C24" t="s">
        <v>1189</v>
      </c>
      <c r="D24" t="s">
        <v>1151</v>
      </c>
      <c r="E24" t="s">
        <v>1190</v>
      </c>
      <c r="F24" t="s">
        <v>13</v>
      </c>
      <c r="G24" t="s">
        <v>14</v>
      </c>
      <c r="H24" t="s">
        <v>15</v>
      </c>
      <c r="I24" t="s">
        <v>16</v>
      </c>
    </row>
    <row r="25" spans="2:9" x14ac:dyDescent="0.45">
      <c r="B25" t="s">
        <v>9</v>
      </c>
      <c r="C25" t="s">
        <v>1191</v>
      </c>
      <c r="D25" t="s">
        <v>1151</v>
      </c>
      <c r="E25" t="s">
        <v>1192</v>
      </c>
      <c r="F25" t="s">
        <v>13</v>
      </c>
      <c r="G25" t="s">
        <v>14</v>
      </c>
      <c r="H25" t="s">
        <v>15</v>
      </c>
      <c r="I25" t="s">
        <v>16</v>
      </c>
    </row>
    <row r="26" spans="2:9" x14ac:dyDescent="0.45">
      <c r="B26" t="s">
        <v>9</v>
      </c>
      <c r="C26" t="s">
        <v>1193</v>
      </c>
      <c r="D26" t="s">
        <v>1151</v>
      </c>
      <c r="E26" t="s">
        <v>1194</v>
      </c>
      <c r="F26" t="s">
        <v>13</v>
      </c>
      <c r="G26" t="s">
        <v>14</v>
      </c>
      <c r="H26" t="s">
        <v>15</v>
      </c>
      <c r="I26" t="s">
        <v>16</v>
      </c>
    </row>
    <row r="27" spans="2:9" x14ac:dyDescent="0.45">
      <c r="B27" t="s">
        <v>9</v>
      </c>
      <c r="C27" t="s">
        <v>1195</v>
      </c>
      <c r="D27" t="s">
        <v>1151</v>
      </c>
      <c r="E27" t="s">
        <v>1196</v>
      </c>
      <c r="F27" t="s">
        <v>13</v>
      </c>
      <c r="G27" t="s">
        <v>14</v>
      </c>
      <c r="H27" t="s">
        <v>15</v>
      </c>
      <c r="I27" t="s">
        <v>16</v>
      </c>
    </row>
    <row r="28" spans="2:9" x14ac:dyDescent="0.45">
      <c r="B28" t="s">
        <v>9</v>
      </c>
      <c r="C28" t="s">
        <v>1197</v>
      </c>
      <c r="D28" t="s">
        <v>1151</v>
      </c>
      <c r="E28" t="s">
        <v>1198</v>
      </c>
      <c r="F28" t="s">
        <v>13</v>
      </c>
      <c r="G28" t="s">
        <v>14</v>
      </c>
      <c r="H28" t="s">
        <v>15</v>
      </c>
      <c r="I28" t="s">
        <v>16</v>
      </c>
    </row>
    <row r="29" spans="2:9" x14ac:dyDescent="0.45">
      <c r="B29" t="s">
        <v>9</v>
      </c>
      <c r="C29" t="s">
        <v>1199</v>
      </c>
      <c r="D29" t="s">
        <v>1151</v>
      </c>
      <c r="E29" t="s">
        <v>1200</v>
      </c>
      <c r="F29" t="s">
        <v>13</v>
      </c>
      <c r="G29" t="s">
        <v>14</v>
      </c>
      <c r="H29" t="s">
        <v>15</v>
      </c>
      <c r="I29" t="s">
        <v>16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A7E-5777-4D8E-96BD-3DCAB21BFCFC}">
  <dimension ref="B3:I29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1201</v>
      </c>
      <c r="D5" t="s">
        <v>1151</v>
      </c>
      <c r="E5" t="s">
        <v>1202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1203</v>
      </c>
      <c r="D6" t="s">
        <v>1151</v>
      </c>
      <c r="E6" t="s">
        <v>1204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1205</v>
      </c>
      <c r="D7" t="s">
        <v>1151</v>
      </c>
      <c r="E7" t="s">
        <v>1206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1207</v>
      </c>
      <c r="D8" t="s">
        <v>1151</v>
      </c>
      <c r="E8" t="s">
        <v>1208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1209</v>
      </c>
      <c r="D9" t="s">
        <v>1151</v>
      </c>
      <c r="E9" t="s">
        <v>1210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1211</v>
      </c>
      <c r="D10" t="s">
        <v>1151</v>
      </c>
      <c r="E10" t="s">
        <v>1212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1213</v>
      </c>
      <c r="D11" t="s">
        <v>1151</v>
      </c>
      <c r="E11" t="s">
        <v>1214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1215</v>
      </c>
      <c r="D12" t="s">
        <v>1151</v>
      </c>
      <c r="E12" t="s">
        <v>1216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1217</v>
      </c>
      <c r="D13" t="s">
        <v>1151</v>
      </c>
      <c r="E13" t="s">
        <v>1218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1219</v>
      </c>
      <c r="D14" t="s">
        <v>1151</v>
      </c>
      <c r="E14" t="s">
        <v>1220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1221</v>
      </c>
      <c r="D15" t="s">
        <v>1151</v>
      </c>
      <c r="E15" t="s">
        <v>1222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1223</v>
      </c>
      <c r="D16" t="s">
        <v>1151</v>
      </c>
      <c r="E16" t="s">
        <v>1224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1225</v>
      </c>
      <c r="D17" t="s">
        <v>1151</v>
      </c>
      <c r="E17" t="s">
        <v>1226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1227</v>
      </c>
      <c r="D18" t="s">
        <v>1151</v>
      </c>
      <c r="E18" t="s">
        <v>1228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1229</v>
      </c>
      <c r="D19" t="s">
        <v>1151</v>
      </c>
      <c r="E19" t="s">
        <v>1230</v>
      </c>
      <c r="F19" t="s">
        <v>85</v>
      </c>
      <c r="G19" t="s">
        <v>86</v>
      </c>
      <c r="H19" t="s">
        <v>15</v>
      </c>
      <c r="I19" t="s">
        <v>16</v>
      </c>
    </row>
    <row r="20" spans="2:9" x14ac:dyDescent="0.45">
      <c r="B20" t="s">
        <v>9</v>
      </c>
      <c r="C20" t="s">
        <v>1231</v>
      </c>
      <c r="D20" t="s">
        <v>1151</v>
      </c>
      <c r="E20" t="s">
        <v>1232</v>
      </c>
      <c r="F20" t="s">
        <v>85</v>
      </c>
      <c r="G20" t="s">
        <v>86</v>
      </c>
      <c r="H20" t="s">
        <v>15</v>
      </c>
      <c r="I20" t="s">
        <v>16</v>
      </c>
    </row>
    <row r="21" spans="2:9" x14ac:dyDescent="0.45">
      <c r="B21" t="s">
        <v>9</v>
      </c>
      <c r="C21" t="s">
        <v>1233</v>
      </c>
      <c r="D21" t="s">
        <v>1151</v>
      </c>
      <c r="E21" t="s">
        <v>1234</v>
      </c>
      <c r="F21" t="s">
        <v>85</v>
      </c>
      <c r="G21" t="s">
        <v>86</v>
      </c>
      <c r="H21" t="s">
        <v>15</v>
      </c>
      <c r="I21" t="s">
        <v>16</v>
      </c>
    </row>
    <row r="22" spans="2:9" x14ac:dyDescent="0.45">
      <c r="B22" t="s">
        <v>9</v>
      </c>
      <c r="C22" t="s">
        <v>1235</v>
      </c>
      <c r="D22" t="s">
        <v>1151</v>
      </c>
      <c r="E22" t="s">
        <v>1236</v>
      </c>
      <c r="F22" t="s">
        <v>85</v>
      </c>
      <c r="G22" t="s">
        <v>86</v>
      </c>
      <c r="H22" t="s">
        <v>15</v>
      </c>
      <c r="I22" t="s">
        <v>16</v>
      </c>
    </row>
    <row r="23" spans="2:9" x14ac:dyDescent="0.45">
      <c r="B23" t="s">
        <v>9</v>
      </c>
      <c r="C23" t="s">
        <v>1237</v>
      </c>
      <c r="D23" t="s">
        <v>1151</v>
      </c>
      <c r="E23" t="s">
        <v>1238</v>
      </c>
      <c r="F23" t="s">
        <v>85</v>
      </c>
      <c r="G23" t="s">
        <v>86</v>
      </c>
      <c r="H23" t="s">
        <v>15</v>
      </c>
      <c r="I23" t="s">
        <v>16</v>
      </c>
    </row>
    <row r="24" spans="2:9" x14ac:dyDescent="0.45">
      <c r="B24" t="s">
        <v>9</v>
      </c>
      <c r="C24" t="s">
        <v>1239</v>
      </c>
      <c r="D24" t="s">
        <v>1151</v>
      </c>
      <c r="E24" t="s">
        <v>1240</v>
      </c>
      <c r="F24" t="s">
        <v>85</v>
      </c>
      <c r="G24" t="s">
        <v>86</v>
      </c>
      <c r="H24" t="s">
        <v>15</v>
      </c>
      <c r="I24" t="s">
        <v>16</v>
      </c>
    </row>
    <row r="25" spans="2:9" x14ac:dyDescent="0.45">
      <c r="B25" t="s">
        <v>9</v>
      </c>
      <c r="C25" t="s">
        <v>1241</v>
      </c>
      <c r="D25" t="s">
        <v>1151</v>
      </c>
      <c r="E25" t="s">
        <v>1242</v>
      </c>
      <c r="F25" t="s">
        <v>85</v>
      </c>
      <c r="G25" t="s">
        <v>86</v>
      </c>
      <c r="H25" t="s">
        <v>15</v>
      </c>
      <c r="I25" t="s">
        <v>16</v>
      </c>
    </row>
    <row r="26" spans="2:9" x14ac:dyDescent="0.45">
      <c r="B26" t="s">
        <v>9</v>
      </c>
      <c r="C26" t="s">
        <v>1243</v>
      </c>
      <c r="D26" t="s">
        <v>1151</v>
      </c>
      <c r="E26" t="s">
        <v>1244</v>
      </c>
      <c r="F26" t="s">
        <v>85</v>
      </c>
      <c r="G26" t="s">
        <v>86</v>
      </c>
      <c r="H26" t="s">
        <v>15</v>
      </c>
      <c r="I26" t="s">
        <v>16</v>
      </c>
    </row>
    <row r="27" spans="2:9" x14ac:dyDescent="0.45">
      <c r="B27" t="s">
        <v>9</v>
      </c>
      <c r="C27" t="s">
        <v>1245</v>
      </c>
      <c r="D27" t="s">
        <v>1151</v>
      </c>
      <c r="E27" t="s">
        <v>1246</v>
      </c>
      <c r="F27" t="s">
        <v>85</v>
      </c>
      <c r="G27" t="s">
        <v>86</v>
      </c>
      <c r="H27" t="s">
        <v>15</v>
      </c>
      <c r="I27" t="s">
        <v>16</v>
      </c>
    </row>
    <row r="28" spans="2:9" x14ac:dyDescent="0.45">
      <c r="B28" t="s">
        <v>9</v>
      </c>
      <c r="C28" t="s">
        <v>1247</v>
      </c>
      <c r="D28" t="s">
        <v>1151</v>
      </c>
      <c r="E28" t="s">
        <v>1248</v>
      </c>
      <c r="F28" t="s">
        <v>85</v>
      </c>
      <c r="G28" t="s">
        <v>86</v>
      </c>
      <c r="H28" t="s">
        <v>15</v>
      </c>
      <c r="I28" t="s">
        <v>16</v>
      </c>
    </row>
    <row r="29" spans="2:9" x14ac:dyDescent="0.45">
      <c r="B29" t="s">
        <v>9</v>
      </c>
      <c r="C29" t="s">
        <v>1249</v>
      </c>
      <c r="D29" t="s">
        <v>1151</v>
      </c>
      <c r="E29" t="s">
        <v>1250</v>
      </c>
      <c r="F29" t="s">
        <v>85</v>
      </c>
      <c r="G29" t="s">
        <v>86</v>
      </c>
      <c r="H29" t="s">
        <v>15</v>
      </c>
      <c r="I29" t="s">
        <v>16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BD478-12BA-498D-B1FB-424BD2AC46FA}">
  <dimension ref="B3:S67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1251</v>
      </c>
      <c r="O5" t="s">
        <v>1151</v>
      </c>
      <c r="P5" t="s">
        <v>1252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1253</v>
      </c>
      <c r="O6" t="s">
        <v>1151</v>
      </c>
      <c r="P6" t="s">
        <v>1254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1255</v>
      </c>
      <c r="O7" t="s">
        <v>1151</v>
      </c>
      <c r="P7" t="s">
        <v>1256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1257</v>
      </c>
      <c r="O8" t="s">
        <v>1151</v>
      </c>
      <c r="P8" t="s">
        <v>1258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1259</v>
      </c>
      <c r="O9" t="s">
        <v>1151</v>
      </c>
      <c r="P9" t="s">
        <v>1260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1261</v>
      </c>
      <c r="O10" t="s">
        <v>1151</v>
      </c>
      <c r="P10" t="s">
        <v>1262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1263</v>
      </c>
      <c r="O11" t="s">
        <v>1151</v>
      </c>
      <c r="P11" t="s">
        <v>1264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1265</v>
      </c>
      <c r="O12" t="s">
        <v>1151</v>
      </c>
      <c r="P12" t="s">
        <v>1266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1267</v>
      </c>
      <c r="O13" t="s">
        <v>1151</v>
      </c>
      <c r="P13" t="s">
        <v>1268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1269</v>
      </c>
      <c r="O14" t="s">
        <v>1151</v>
      </c>
      <c r="P14" t="s">
        <v>1270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1271</v>
      </c>
      <c r="O15" t="s">
        <v>1151</v>
      </c>
      <c r="P15" t="s">
        <v>1272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1273</v>
      </c>
      <c r="O16" t="s">
        <v>1151</v>
      </c>
      <c r="P16" t="s">
        <v>1274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1275</v>
      </c>
      <c r="O17" t="s">
        <v>1151</v>
      </c>
      <c r="P17" t="s">
        <v>1276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1277</v>
      </c>
      <c r="O18" t="s">
        <v>1151</v>
      </c>
      <c r="P18" t="s">
        <v>1278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1279</v>
      </c>
      <c r="O19" t="s">
        <v>1151</v>
      </c>
      <c r="P19" t="s">
        <v>1280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1281</v>
      </c>
      <c r="O20" t="s">
        <v>1151</v>
      </c>
      <c r="P20" t="s">
        <v>1282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1283</v>
      </c>
      <c r="O21" t="s">
        <v>1151</v>
      </c>
      <c r="P21" t="s">
        <v>1284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1285</v>
      </c>
      <c r="O22" t="s">
        <v>1151</v>
      </c>
      <c r="P22" t="s">
        <v>1286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1287</v>
      </c>
      <c r="O23" t="s">
        <v>1151</v>
      </c>
      <c r="P23" t="s">
        <v>1288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1289</v>
      </c>
      <c r="O24" t="s">
        <v>1151</v>
      </c>
      <c r="P24" t="s">
        <v>1290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1291</v>
      </c>
      <c r="O25" t="s">
        <v>1151</v>
      </c>
      <c r="P25" t="s">
        <v>1292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1293</v>
      </c>
      <c r="O26" t="s">
        <v>1151</v>
      </c>
      <c r="P26" t="s">
        <v>1294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1295</v>
      </c>
      <c r="O27" t="s">
        <v>1151</v>
      </c>
      <c r="P27" t="s">
        <v>1296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1297</v>
      </c>
      <c r="O28" t="s">
        <v>1151</v>
      </c>
      <c r="P28" t="s">
        <v>1298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1299</v>
      </c>
      <c r="O29" t="s">
        <v>1151</v>
      </c>
      <c r="P29" t="s">
        <v>1300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  <c r="M30" t="s">
        <v>9</v>
      </c>
      <c r="N30" t="s">
        <v>1301</v>
      </c>
      <c r="O30" t="s">
        <v>1151</v>
      </c>
      <c r="P30" t="s">
        <v>1302</v>
      </c>
      <c r="Q30" t="s">
        <v>85</v>
      </c>
      <c r="R30" t="s">
        <v>86</v>
      </c>
      <c r="S30" t="s">
        <v>16</v>
      </c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  <c r="M31" t="s">
        <v>9</v>
      </c>
      <c r="N31" t="s">
        <v>1303</v>
      </c>
      <c r="O31" t="s">
        <v>1151</v>
      </c>
      <c r="P31" t="s">
        <v>1304</v>
      </c>
      <c r="Q31" t="s">
        <v>85</v>
      </c>
      <c r="R31" t="s">
        <v>86</v>
      </c>
      <c r="S31" t="s">
        <v>16</v>
      </c>
    </row>
    <row r="32" spans="2:19" x14ac:dyDescent="0.45">
      <c r="B32" t="s">
        <v>253</v>
      </c>
      <c r="C32" t="s">
        <v>254</v>
      </c>
      <c r="D32" t="s">
        <v>255</v>
      </c>
      <c r="M32" t="s">
        <v>9</v>
      </c>
      <c r="N32" t="s">
        <v>1305</v>
      </c>
      <c r="O32" t="s">
        <v>1151</v>
      </c>
      <c r="P32" t="s">
        <v>1306</v>
      </c>
      <c r="Q32" t="s">
        <v>85</v>
      </c>
      <c r="R32" t="s">
        <v>86</v>
      </c>
      <c r="S32" t="s">
        <v>16</v>
      </c>
    </row>
    <row r="33" spans="2:19" x14ac:dyDescent="0.45">
      <c r="M33" t="s">
        <v>9</v>
      </c>
      <c r="N33" t="s">
        <v>1307</v>
      </c>
      <c r="O33" t="s">
        <v>1151</v>
      </c>
      <c r="P33" t="s">
        <v>1308</v>
      </c>
      <c r="Q33" t="s">
        <v>85</v>
      </c>
      <c r="R33" t="s">
        <v>86</v>
      </c>
      <c r="S33" t="s">
        <v>16</v>
      </c>
    </row>
    <row r="34" spans="2:19" x14ac:dyDescent="0.45">
      <c r="M34" t="s">
        <v>9</v>
      </c>
      <c r="N34" t="s">
        <v>1309</v>
      </c>
      <c r="O34" t="s">
        <v>1151</v>
      </c>
      <c r="P34" t="s">
        <v>1310</v>
      </c>
      <c r="Q34" t="s">
        <v>85</v>
      </c>
      <c r="R34" t="s">
        <v>86</v>
      </c>
      <c r="S34" t="s">
        <v>16</v>
      </c>
    </row>
    <row r="35" spans="2:19" x14ac:dyDescent="0.45">
      <c r="M35" t="s">
        <v>9</v>
      </c>
      <c r="N35" t="s">
        <v>1311</v>
      </c>
      <c r="O35" t="s">
        <v>1151</v>
      </c>
      <c r="P35" t="s">
        <v>1312</v>
      </c>
      <c r="Q35" t="s">
        <v>85</v>
      </c>
      <c r="R35" t="s">
        <v>86</v>
      </c>
      <c r="S35" t="s">
        <v>16</v>
      </c>
    </row>
    <row r="36" spans="2:19" x14ac:dyDescent="0.45">
      <c r="M36" t="s">
        <v>9</v>
      </c>
      <c r="N36" t="s">
        <v>1313</v>
      </c>
      <c r="O36" t="s">
        <v>1151</v>
      </c>
      <c r="P36" t="s">
        <v>1314</v>
      </c>
      <c r="Q36" t="s">
        <v>85</v>
      </c>
      <c r="R36" t="s">
        <v>86</v>
      </c>
      <c r="S36" t="s">
        <v>16</v>
      </c>
    </row>
    <row r="37" spans="2:19" x14ac:dyDescent="0.45">
      <c r="M37" t="s">
        <v>9</v>
      </c>
      <c r="N37" t="s">
        <v>1315</v>
      </c>
      <c r="O37" t="s">
        <v>1151</v>
      </c>
      <c r="P37" t="s">
        <v>1316</v>
      </c>
      <c r="Q37" t="s">
        <v>85</v>
      </c>
      <c r="R37" t="s">
        <v>86</v>
      </c>
      <c r="S37" t="s">
        <v>16</v>
      </c>
    </row>
    <row r="38" spans="2:19" ht="17.25" thickBot="1" x14ac:dyDescent="0.55000000000000004">
      <c r="B38" s="1" t="s">
        <v>153</v>
      </c>
      <c r="C38" s="2"/>
      <c r="D38" s="2"/>
      <c r="M38" t="s">
        <v>9</v>
      </c>
      <c r="N38" t="s">
        <v>1317</v>
      </c>
      <c r="O38" t="s">
        <v>1151</v>
      </c>
      <c r="P38" t="s">
        <v>1318</v>
      </c>
      <c r="Q38" t="s">
        <v>85</v>
      </c>
      <c r="R38" t="s">
        <v>86</v>
      </c>
      <c r="S38" t="s">
        <v>16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  <c r="M39" t="s">
        <v>9</v>
      </c>
      <c r="N39" t="s">
        <v>1319</v>
      </c>
      <c r="O39" t="s">
        <v>1151</v>
      </c>
      <c r="P39" t="s">
        <v>1320</v>
      </c>
      <c r="Q39" t="s">
        <v>85</v>
      </c>
      <c r="R39" t="s">
        <v>86</v>
      </c>
      <c r="S39" t="s">
        <v>16</v>
      </c>
    </row>
    <row r="40" spans="2:19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  <c r="M40" t="s">
        <v>9</v>
      </c>
      <c r="N40" t="s">
        <v>1321</v>
      </c>
      <c r="O40" t="s">
        <v>1151</v>
      </c>
      <c r="P40" t="s">
        <v>1322</v>
      </c>
      <c r="Q40" t="s">
        <v>85</v>
      </c>
      <c r="R40" t="s">
        <v>86</v>
      </c>
      <c r="S40" t="s">
        <v>16</v>
      </c>
    </row>
    <row r="41" spans="2:19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  <c r="M41" t="s">
        <v>9</v>
      </c>
      <c r="N41" t="s">
        <v>1323</v>
      </c>
      <c r="O41" t="s">
        <v>1151</v>
      </c>
      <c r="P41" t="s">
        <v>1324</v>
      </c>
      <c r="Q41" t="s">
        <v>85</v>
      </c>
      <c r="R41" t="s">
        <v>86</v>
      </c>
      <c r="S41" t="s">
        <v>16</v>
      </c>
    </row>
    <row r="42" spans="2:19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  <c r="M42" t="s">
        <v>9</v>
      </c>
      <c r="N42" t="s">
        <v>1325</v>
      </c>
      <c r="O42" t="s">
        <v>1151</v>
      </c>
      <c r="P42" t="s">
        <v>1326</v>
      </c>
      <c r="Q42" t="s">
        <v>85</v>
      </c>
      <c r="R42" t="s">
        <v>86</v>
      </c>
      <c r="S42" t="s">
        <v>16</v>
      </c>
    </row>
    <row r="43" spans="2:19" x14ac:dyDescent="0.45">
      <c r="C43" t="s">
        <v>287</v>
      </c>
      <c r="D43" t="s">
        <v>288</v>
      </c>
      <c r="E43" t="s">
        <v>289</v>
      </c>
      <c r="F43" t="s">
        <v>290</v>
      </c>
      <c r="M43" t="s">
        <v>9</v>
      </c>
      <c r="N43" t="s">
        <v>1327</v>
      </c>
      <c r="O43" t="s">
        <v>1151</v>
      </c>
      <c r="P43" t="s">
        <v>1328</v>
      </c>
      <c r="Q43" t="s">
        <v>85</v>
      </c>
      <c r="R43" t="s">
        <v>86</v>
      </c>
      <c r="S43" t="s">
        <v>16</v>
      </c>
    </row>
    <row r="44" spans="2:19" x14ac:dyDescent="0.45">
      <c r="M44" t="s">
        <v>9</v>
      </c>
      <c r="N44" t="s">
        <v>1329</v>
      </c>
      <c r="O44" t="s">
        <v>1151</v>
      </c>
      <c r="P44" t="s">
        <v>1330</v>
      </c>
      <c r="Q44" t="s">
        <v>85</v>
      </c>
      <c r="R44" t="s">
        <v>86</v>
      </c>
      <c r="S44" t="s">
        <v>16</v>
      </c>
    </row>
    <row r="45" spans="2:19" x14ac:dyDescent="0.45">
      <c r="M45" t="s">
        <v>9</v>
      </c>
      <c r="N45" t="s">
        <v>1331</v>
      </c>
      <c r="O45" t="s">
        <v>1151</v>
      </c>
      <c r="P45" t="s">
        <v>1332</v>
      </c>
      <c r="Q45" t="s">
        <v>85</v>
      </c>
      <c r="R45" t="s">
        <v>86</v>
      </c>
      <c r="S45" t="s">
        <v>16</v>
      </c>
    </row>
    <row r="46" spans="2:19" x14ac:dyDescent="0.45">
      <c r="M46" t="s">
        <v>9</v>
      </c>
      <c r="N46" t="s">
        <v>1333</v>
      </c>
      <c r="O46" t="s">
        <v>1151</v>
      </c>
      <c r="P46" t="s">
        <v>1334</v>
      </c>
      <c r="Q46" t="s">
        <v>85</v>
      </c>
      <c r="R46" t="s">
        <v>86</v>
      </c>
      <c r="S46" t="s">
        <v>16</v>
      </c>
    </row>
    <row r="47" spans="2:19" x14ac:dyDescent="0.45">
      <c r="M47" t="s">
        <v>9</v>
      </c>
      <c r="N47" t="s">
        <v>1335</v>
      </c>
      <c r="O47" t="s">
        <v>1151</v>
      </c>
      <c r="P47" t="s">
        <v>1336</v>
      </c>
      <c r="Q47" t="s">
        <v>85</v>
      </c>
      <c r="R47" t="s">
        <v>86</v>
      </c>
      <c r="S47" t="s">
        <v>16</v>
      </c>
    </row>
    <row r="48" spans="2:19" x14ac:dyDescent="0.45">
      <c r="M48" t="s">
        <v>9</v>
      </c>
      <c r="N48" t="s">
        <v>1337</v>
      </c>
      <c r="O48" t="s">
        <v>1151</v>
      </c>
      <c r="P48" t="s">
        <v>1338</v>
      </c>
      <c r="Q48" t="s">
        <v>85</v>
      </c>
      <c r="R48" t="s">
        <v>86</v>
      </c>
      <c r="S48" t="s">
        <v>16</v>
      </c>
    </row>
    <row r="49" spans="13:19" x14ac:dyDescent="0.45">
      <c r="M49" t="s">
        <v>9</v>
      </c>
      <c r="N49" t="s">
        <v>1339</v>
      </c>
      <c r="O49" t="s">
        <v>1151</v>
      </c>
      <c r="P49" t="s">
        <v>1340</v>
      </c>
      <c r="Q49" t="s">
        <v>85</v>
      </c>
      <c r="R49" t="s">
        <v>86</v>
      </c>
      <c r="S49" t="s">
        <v>16</v>
      </c>
    </row>
    <row r="50" spans="13:19" x14ac:dyDescent="0.45">
      <c r="M50" t="s">
        <v>9</v>
      </c>
      <c r="N50" t="s">
        <v>1341</v>
      </c>
      <c r="O50" t="s">
        <v>1151</v>
      </c>
      <c r="P50" t="s">
        <v>1342</v>
      </c>
      <c r="Q50" t="s">
        <v>85</v>
      </c>
      <c r="R50" t="s">
        <v>86</v>
      </c>
      <c r="S50" t="s">
        <v>16</v>
      </c>
    </row>
    <row r="51" spans="13:19" x14ac:dyDescent="0.45">
      <c r="M51" t="s">
        <v>9</v>
      </c>
      <c r="N51" t="s">
        <v>1343</v>
      </c>
      <c r="O51" t="s">
        <v>1151</v>
      </c>
      <c r="P51" t="s">
        <v>1344</v>
      </c>
      <c r="Q51" t="s">
        <v>85</v>
      </c>
      <c r="R51" t="s">
        <v>86</v>
      </c>
      <c r="S51" t="s">
        <v>16</v>
      </c>
    </row>
    <row r="52" spans="13:19" x14ac:dyDescent="0.45">
      <c r="M52" t="s">
        <v>9</v>
      </c>
      <c r="N52" t="s">
        <v>1345</v>
      </c>
      <c r="O52" t="s">
        <v>1151</v>
      </c>
      <c r="P52" t="s">
        <v>1346</v>
      </c>
      <c r="Q52" t="s">
        <v>85</v>
      </c>
      <c r="R52" t="s">
        <v>86</v>
      </c>
      <c r="S52" t="s">
        <v>16</v>
      </c>
    </row>
    <row r="53" spans="13:19" x14ac:dyDescent="0.45">
      <c r="M53" t="s">
        <v>9</v>
      </c>
      <c r="N53" t="s">
        <v>1347</v>
      </c>
      <c r="O53" t="s">
        <v>1151</v>
      </c>
      <c r="P53" t="s">
        <v>1348</v>
      </c>
      <c r="Q53" t="s">
        <v>85</v>
      </c>
      <c r="R53" t="s">
        <v>86</v>
      </c>
      <c r="S53" t="s">
        <v>16</v>
      </c>
    </row>
    <row r="54" spans="13:19" x14ac:dyDescent="0.45">
      <c r="M54" t="s">
        <v>9</v>
      </c>
      <c r="N54" t="s">
        <v>1349</v>
      </c>
      <c r="O54" t="s">
        <v>1151</v>
      </c>
      <c r="P54" t="s">
        <v>1350</v>
      </c>
      <c r="Q54" t="s">
        <v>85</v>
      </c>
      <c r="R54" t="s">
        <v>86</v>
      </c>
      <c r="S54" t="s">
        <v>16</v>
      </c>
    </row>
    <row r="55" spans="13:19" x14ac:dyDescent="0.45">
      <c r="M55" t="s">
        <v>9</v>
      </c>
      <c r="N55" t="s">
        <v>1351</v>
      </c>
      <c r="O55" t="s">
        <v>1151</v>
      </c>
      <c r="P55" t="s">
        <v>1352</v>
      </c>
      <c r="Q55" t="s">
        <v>85</v>
      </c>
      <c r="R55" t="s">
        <v>86</v>
      </c>
      <c r="S55" t="s">
        <v>16</v>
      </c>
    </row>
    <row r="56" spans="13:19" x14ac:dyDescent="0.45">
      <c r="M56" t="s">
        <v>9</v>
      </c>
      <c r="N56" t="s">
        <v>1353</v>
      </c>
      <c r="O56" t="s">
        <v>1151</v>
      </c>
      <c r="P56" t="s">
        <v>1354</v>
      </c>
      <c r="Q56" t="s">
        <v>85</v>
      </c>
      <c r="R56" t="s">
        <v>86</v>
      </c>
      <c r="S56" t="s">
        <v>16</v>
      </c>
    </row>
    <row r="57" spans="13:19" x14ac:dyDescent="0.45">
      <c r="M57" t="s">
        <v>9</v>
      </c>
      <c r="N57" t="s">
        <v>1355</v>
      </c>
      <c r="O57" t="s">
        <v>1151</v>
      </c>
      <c r="P57" t="s">
        <v>1356</v>
      </c>
      <c r="Q57" t="s">
        <v>85</v>
      </c>
      <c r="R57" t="s">
        <v>86</v>
      </c>
      <c r="S57" t="s">
        <v>16</v>
      </c>
    </row>
    <row r="58" spans="13:19" x14ac:dyDescent="0.45">
      <c r="M58" t="s">
        <v>9</v>
      </c>
      <c r="N58" t="s">
        <v>1357</v>
      </c>
      <c r="O58" t="s">
        <v>1151</v>
      </c>
      <c r="P58" t="s">
        <v>1358</v>
      </c>
      <c r="Q58" t="s">
        <v>85</v>
      </c>
      <c r="R58" t="s">
        <v>86</v>
      </c>
      <c r="S58" t="s">
        <v>16</v>
      </c>
    </row>
    <row r="59" spans="13:19" x14ac:dyDescent="0.45">
      <c r="M59" t="s">
        <v>9</v>
      </c>
      <c r="N59" t="s">
        <v>1359</v>
      </c>
      <c r="O59" t="s">
        <v>1151</v>
      </c>
      <c r="P59" t="s">
        <v>1360</v>
      </c>
      <c r="Q59" t="s">
        <v>85</v>
      </c>
      <c r="R59" t="s">
        <v>86</v>
      </c>
      <c r="S59" t="s">
        <v>16</v>
      </c>
    </row>
    <row r="60" spans="13:19" x14ac:dyDescent="0.45">
      <c r="M60" t="s">
        <v>9</v>
      </c>
      <c r="N60" t="s">
        <v>1361</v>
      </c>
      <c r="O60" t="s">
        <v>1151</v>
      </c>
      <c r="P60" t="s">
        <v>1362</v>
      </c>
      <c r="Q60" t="s">
        <v>85</v>
      </c>
      <c r="R60" t="s">
        <v>86</v>
      </c>
      <c r="S60" t="s">
        <v>16</v>
      </c>
    </row>
    <row r="61" spans="13:19" x14ac:dyDescent="0.45">
      <c r="M61" t="s">
        <v>9</v>
      </c>
      <c r="N61" t="s">
        <v>1363</v>
      </c>
      <c r="O61" t="s">
        <v>1151</v>
      </c>
      <c r="P61" t="s">
        <v>1364</v>
      </c>
      <c r="Q61" t="s">
        <v>85</v>
      </c>
      <c r="R61" t="s">
        <v>86</v>
      </c>
      <c r="S61" t="s">
        <v>16</v>
      </c>
    </row>
    <row r="62" spans="13:19" x14ac:dyDescent="0.45">
      <c r="M62" t="s">
        <v>9</v>
      </c>
      <c r="N62" t="s">
        <v>1365</v>
      </c>
      <c r="O62" t="s">
        <v>1151</v>
      </c>
      <c r="P62" t="s">
        <v>1366</v>
      </c>
      <c r="Q62" t="s">
        <v>85</v>
      </c>
      <c r="R62" t="s">
        <v>86</v>
      </c>
      <c r="S62" t="s">
        <v>16</v>
      </c>
    </row>
    <row r="63" spans="13:19" x14ac:dyDescent="0.45">
      <c r="M63" t="s">
        <v>9</v>
      </c>
      <c r="N63" t="s">
        <v>1367</v>
      </c>
      <c r="O63" t="s">
        <v>1151</v>
      </c>
      <c r="P63" t="s">
        <v>1368</v>
      </c>
      <c r="Q63" t="s">
        <v>85</v>
      </c>
      <c r="R63" t="s">
        <v>86</v>
      </c>
      <c r="S63" t="s">
        <v>16</v>
      </c>
    </row>
    <row r="64" spans="13:19" x14ac:dyDescent="0.45">
      <c r="M64" t="s">
        <v>9</v>
      </c>
      <c r="N64" t="s">
        <v>1369</v>
      </c>
      <c r="O64" t="s">
        <v>1151</v>
      </c>
      <c r="P64" t="s">
        <v>1370</v>
      </c>
      <c r="Q64" t="s">
        <v>85</v>
      </c>
      <c r="R64" t="s">
        <v>86</v>
      </c>
      <c r="S64" t="s">
        <v>16</v>
      </c>
    </row>
    <row r="65" spans="13:19" x14ac:dyDescent="0.45">
      <c r="M65" t="s">
        <v>9</v>
      </c>
      <c r="N65" t="s">
        <v>1371</v>
      </c>
      <c r="O65" t="s">
        <v>1151</v>
      </c>
      <c r="P65" t="s">
        <v>1372</v>
      </c>
      <c r="Q65" t="s">
        <v>85</v>
      </c>
      <c r="R65" t="s">
        <v>86</v>
      </c>
      <c r="S65" t="s">
        <v>16</v>
      </c>
    </row>
    <row r="66" spans="13:19" x14ac:dyDescent="0.45">
      <c r="M66" t="s">
        <v>9</v>
      </c>
      <c r="N66" t="s">
        <v>1373</v>
      </c>
      <c r="O66" t="s">
        <v>1151</v>
      </c>
      <c r="P66" t="s">
        <v>1374</v>
      </c>
      <c r="Q66" t="s">
        <v>85</v>
      </c>
      <c r="R66" t="s">
        <v>86</v>
      </c>
      <c r="S66" t="s">
        <v>16</v>
      </c>
    </row>
    <row r="67" spans="13:19" x14ac:dyDescent="0.45">
      <c r="M67" t="s">
        <v>9</v>
      </c>
      <c r="N67" t="s">
        <v>1375</v>
      </c>
      <c r="O67" t="s">
        <v>1151</v>
      </c>
      <c r="P67" t="s">
        <v>1376</v>
      </c>
      <c r="Q67" t="s">
        <v>85</v>
      </c>
      <c r="R67" t="s">
        <v>86</v>
      </c>
      <c r="S67" t="s">
        <v>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446CD-7223-42FF-983B-D0095DDDC516}">
  <dimension ref="B3:I21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1377</v>
      </c>
      <c r="D5" t="s">
        <v>1378</v>
      </c>
      <c r="E5" t="s">
        <v>1379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1380</v>
      </c>
      <c r="D6" t="s">
        <v>1378</v>
      </c>
      <c r="E6" t="s">
        <v>1381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1382</v>
      </c>
      <c r="D7" t="s">
        <v>1378</v>
      </c>
      <c r="E7" t="s">
        <v>1383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1384</v>
      </c>
      <c r="D8" t="s">
        <v>1378</v>
      </c>
      <c r="E8" t="s">
        <v>1385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1386</v>
      </c>
      <c r="D9" t="s">
        <v>1378</v>
      </c>
      <c r="E9" t="s">
        <v>1387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1388</v>
      </c>
      <c r="D10" t="s">
        <v>1378</v>
      </c>
      <c r="E10" t="s">
        <v>1389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1390</v>
      </c>
      <c r="D11" t="s">
        <v>1378</v>
      </c>
      <c r="E11" t="s">
        <v>1391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1392</v>
      </c>
      <c r="D12" t="s">
        <v>1378</v>
      </c>
      <c r="E12" t="s">
        <v>1393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1394</v>
      </c>
      <c r="D13" t="s">
        <v>1378</v>
      </c>
      <c r="E13" t="s">
        <v>1395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1396</v>
      </c>
      <c r="D14" t="s">
        <v>1378</v>
      </c>
      <c r="E14" t="s">
        <v>1397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1398</v>
      </c>
      <c r="D15" t="s">
        <v>1378</v>
      </c>
      <c r="E15" t="s">
        <v>1399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1400</v>
      </c>
      <c r="D16" t="s">
        <v>1378</v>
      </c>
      <c r="E16" t="s">
        <v>1401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1402</v>
      </c>
      <c r="D17" t="s">
        <v>1378</v>
      </c>
      <c r="E17" t="s">
        <v>1403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1404</v>
      </c>
      <c r="D18" t="s">
        <v>1378</v>
      </c>
      <c r="E18" t="s">
        <v>1405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1406</v>
      </c>
      <c r="D19" t="s">
        <v>1378</v>
      </c>
      <c r="E19" t="s">
        <v>1407</v>
      </c>
      <c r="F19" t="s">
        <v>13</v>
      </c>
      <c r="G19" t="s">
        <v>14</v>
      </c>
      <c r="H19" t="s">
        <v>15</v>
      </c>
      <c r="I19" t="s">
        <v>16</v>
      </c>
    </row>
    <row r="20" spans="2:9" x14ac:dyDescent="0.45">
      <c r="B20" t="s">
        <v>9</v>
      </c>
      <c r="C20" t="s">
        <v>1408</v>
      </c>
      <c r="D20" t="s">
        <v>1378</v>
      </c>
      <c r="E20" t="s">
        <v>1409</v>
      </c>
      <c r="F20" t="s">
        <v>13</v>
      </c>
      <c r="G20" t="s">
        <v>14</v>
      </c>
      <c r="H20" t="s">
        <v>15</v>
      </c>
      <c r="I20" t="s">
        <v>16</v>
      </c>
    </row>
    <row r="21" spans="2:9" x14ac:dyDescent="0.45">
      <c r="B21" t="s">
        <v>9</v>
      </c>
      <c r="C21" t="s">
        <v>1410</v>
      </c>
      <c r="D21" t="s">
        <v>1378</v>
      </c>
      <c r="E21" t="s">
        <v>1411</v>
      </c>
      <c r="F21" t="s">
        <v>13</v>
      </c>
      <c r="G21" t="s">
        <v>14</v>
      </c>
      <c r="H21" t="s">
        <v>15</v>
      </c>
      <c r="I21" t="s">
        <v>16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750F9-3AC3-4DDA-8E65-267D157F71D1}">
  <dimension ref="B3:I21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1412</v>
      </c>
      <c r="D5" t="s">
        <v>1378</v>
      </c>
      <c r="E5" t="s">
        <v>1413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1414</v>
      </c>
      <c r="D6" t="s">
        <v>1378</v>
      </c>
      <c r="E6" t="s">
        <v>1415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1416</v>
      </c>
      <c r="D7" t="s">
        <v>1378</v>
      </c>
      <c r="E7" t="s">
        <v>1417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1418</v>
      </c>
      <c r="D8" t="s">
        <v>1378</v>
      </c>
      <c r="E8" t="s">
        <v>1419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1420</v>
      </c>
      <c r="D9" t="s">
        <v>1378</v>
      </c>
      <c r="E9" t="s">
        <v>1421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1422</v>
      </c>
      <c r="D10" t="s">
        <v>1378</v>
      </c>
      <c r="E10" t="s">
        <v>1423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1424</v>
      </c>
      <c r="D11" t="s">
        <v>1378</v>
      </c>
      <c r="E11" t="s">
        <v>1425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1426</v>
      </c>
      <c r="D12" t="s">
        <v>1378</v>
      </c>
      <c r="E12" t="s">
        <v>1427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1428</v>
      </c>
      <c r="D13" t="s">
        <v>1378</v>
      </c>
      <c r="E13" t="s">
        <v>1429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1430</v>
      </c>
      <c r="D14" t="s">
        <v>1378</v>
      </c>
      <c r="E14" t="s">
        <v>1431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1432</v>
      </c>
      <c r="D15" t="s">
        <v>1378</v>
      </c>
      <c r="E15" t="s">
        <v>1433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1434</v>
      </c>
      <c r="D16" t="s">
        <v>1378</v>
      </c>
      <c r="E16" t="s">
        <v>1435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1436</v>
      </c>
      <c r="D17" t="s">
        <v>1378</v>
      </c>
      <c r="E17" t="s">
        <v>1437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1438</v>
      </c>
      <c r="D18" t="s">
        <v>1378</v>
      </c>
      <c r="E18" t="s">
        <v>1439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1440</v>
      </c>
      <c r="D19" t="s">
        <v>1378</v>
      </c>
      <c r="E19" t="s">
        <v>1441</v>
      </c>
      <c r="F19" t="s">
        <v>85</v>
      </c>
      <c r="G19" t="s">
        <v>86</v>
      </c>
      <c r="H19" t="s">
        <v>15</v>
      </c>
      <c r="I19" t="s">
        <v>16</v>
      </c>
    </row>
    <row r="20" spans="2:9" x14ac:dyDescent="0.45">
      <c r="B20" t="s">
        <v>9</v>
      </c>
      <c r="C20" t="s">
        <v>1442</v>
      </c>
      <c r="D20" t="s">
        <v>1378</v>
      </c>
      <c r="E20" t="s">
        <v>1443</v>
      </c>
      <c r="F20" t="s">
        <v>85</v>
      </c>
      <c r="G20" t="s">
        <v>86</v>
      </c>
      <c r="H20" t="s">
        <v>15</v>
      </c>
      <c r="I20" t="s">
        <v>16</v>
      </c>
    </row>
    <row r="21" spans="2:9" x14ac:dyDescent="0.45">
      <c r="B21" t="s">
        <v>9</v>
      </c>
      <c r="C21" t="s">
        <v>1444</v>
      </c>
      <c r="D21" t="s">
        <v>1378</v>
      </c>
      <c r="E21" t="s">
        <v>1445</v>
      </c>
      <c r="F21" t="s">
        <v>85</v>
      </c>
      <c r="G21" t="s">
        <v>86</v>
      </c>
      <c r="H21" t="s">
        <v>15</v>
      </c>
      <c r="I21" t="s">
        <v>16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396AB-93FD-4689-883E-10F17D807250}">
  <dimension ref="B3:S74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1446</v>
      </c>
      <c r="O5" t="s">
        <v>1378</v>
      </c>
      <c r="P5" t="s">
        <v>1447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1448</v>
      </c>
      <c r="O6" t="s">
        <v>1378</v>
      </c>
      <c r="P6" t="s">
        <v>1449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1450</v>
      </c>
      <c r="O7" t="s">
        <v>1378</v>
      </c>
      <c r="P7" t="s">
        <v>1451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1452</v>
      </c>
      <c r="O8" t="s">
        <v>1378</v>
      </c>
      <c r="P8" t="s">
        <v>1453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1454</v>
      </c>
      <c r="O9" t="s">
        <v>1378</v>
      </c>
      <c r="P9" t="s">
        <v>1455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1456</v>
      </c>
      <c r="O10" t="s">
        <v>1378</v>
      </c>
      <c r="P10" t="s">
        <v>1457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1458</v>
      </c>
      <c r="O11" t="s">
        <v>1378</v>
      </c>
      <c r="P11" t="s">
        <v>1459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1460</v>
      </c>
      <c r="O12" t="s">
        <v>1378</v>
      </c>
      <c r="P12" t="s">
        <v>1461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1462</v>
      </c>
      <c r="O13" t="s">
        <v>1378</v>
      </c>
      <c r="P13" t="s">
        <v>1463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1464</v>
      </c>
      <c r="O14" t="s">
        <v>1378</v>
      </c>
      <c r="P14" t="s">
        <v>1465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1466</v>
      </c>
      <c r="O15" t="s">
        <v>1378</v>
      </c>
      <c r="P15" t="s">
        <v>1467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1468</v>
      </c>
      <c r="O16" t="s">
        <v>1378</v>
      </c>
      <c r="P16" t="s">
        <v>1469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1470</v>
      </c>
      <c r="O17" t="s">
        <v>1378</v>
      </c>
      <c r="P17" t="s">
        <v>1471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1472</v>
      </c>
      <c r="O18" t="s">
        <v>1378</v>
      </c>
      <c r="P18" t="s">
        <v>1473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1474</v>
      </c>
      <c r="O19" t="s">
        <v>1378</v>
      </c>
      <c r="P19" t="s">
        <v>1475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1476</v>
      </c>
      <c r="O20" t="s">
        <v>1378</v>
      </c>
      <c r="P20" t="s">
        <v>1477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1478</v>
      </c>
      <c r="O21" t="s">
        <v>1378</v>
      </c>
      <c r="P21" t="s">
        <v>1479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1480</v>
      </c>
      <c r="O22" t="s">
        <v>1378</v>
      </c>
      <c r="P22" t="s">
        <v>1481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1482</v>
      </c>
      <c r="O23" t="s">
        <v>1378</v>
      </c>
      <c r="P23" t="s">
        <v>1483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1484</v>
      </c>
      <c r="O24" t="s">
        <v>1378</v>
      </c>
      <c r="P24" t="s">
        <v>1485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1486</v>
      </c>
      <c r="O25" t="s">
        <v>1378</v>
      </c>
      <c r="P25" t="s">
        <v>1487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1488</v>
      </c>
      <c r="O26" t="s">
        <v>1378</v>
      </c>
      <c r="P26" t="s">
        <v>1489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1490</v>
      </c>
      <c r="O27" t="s">
        <v>1378</v>
      </c>
      <c r="P27" t="s">
        <v>1491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1492</v>
      </c>
      <c r="O28" t="s">
        <v>1378</v>
      </c>
      <c r="P28" t="s">
        <v>1493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1494</v>
      </c>
      <c r="O29" t="s">
        <v>1378</v>
      </c>
      <c r="P29" t="s">
        <v>1495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  <c r="M30" t="s">
        <v>9</v>
      </c>
      <c r="N30" t="s">
        <v>1496</v>
      </c>
      <c r="O30" t="s">
        <v>1378</v>
      </c>
      <c r="P30" t="s">
        <v>1497</v>
      </c>
      <c r="Q30" t="s">
        <v>85</v>
      </c>
      <c r="R30" t="s">
        <v>86</v>
      </c>
      <c r="S30" t="s">
        <v>16</v>
      </c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  <c r="M31" t="s">
        <v>9</v>
      </c>
      <c r="N31" t="s">
        <v>1498</v>
      </c>
      <c r="O31" t="s">
        <v>1378</v>
      </c>
      <c r="P31" t="s">
        <v>1499</v>
      </c>
      <c r="Q31" t="s">
        <v>85</v>
      </c>
      <c r="R31" t="s">
        <v>86</v>
      </c>
      <c r="S31" t="s">
        <v>16</v>
      </c>
    </row>
    <row r="32" spans="2:19" x14ac:dyDescent="0.45">
      <c r="B32" t="s">
        <v>253</v>
      </c>
      <c r="C32" t="s">
        <v>254</v>
      </c>
      <c r="D32" t="s">
        <v>255</v>
      </c>
      <c r="M32" t="s">
        <v>9</v>
      </c>
      <c r="N32" t="s">
        <v>1500</v>
      </c>
      <c r="O32" t="s">
        <v>1378</v>
      </c>
      <c r="P32" t="s">
        <v>1501</v>
      </c>
      <c r="Q32" t="s">
        <v>85</v>
      </c>
      <c r="R32" t="s">
        <v>86</v>
      </c>
      <c r="S32" t="s">
        <v>16</v>
      </c>
    </row>
    <row r="33" spans="2:19" x14ac:dyDescent="0.45">
      <c r="M33" t="s">
        <v>9</v>
      </c>
      <c r="N33" t="s">
        <v>1502</v>
      </c>
      <c r="O33" t="s">
        <v>1378</v>
      </c>
      <c r="P33" t="s">
        <v>1503</v>
      </c>
      <c r="Q33" t="s">
        <v>85</v>
      </c>
      <c r="R33" t="s">
        <v>86</v>
      </c>
      <c r="S33" t="s">
        <v>16</v>
      </c>
    </row>
    <row r="34" spans="2:19" x14ac:dyDescent="0.45">
      <c r="M34" t="s">
        <v>9</v>
      </c>
      <c r="N34" t="s">
        <v>1504</v>
      </c>
      <c r="O34" t="s">
        <v>1378</v>
      </c>
      <c r="P34" t="s">
        <v>1505</v>
      </c>
      <c r="Q34" t="s">
        <v>85</v>
      </c>
      <c r="R34" t="s">
        <v>86</v>
      </c>
      <c r="S34" t="s">
        <v>16</v>
      </c>
    </row>
    <row r="35" spans="2:19" x14ac:dyDescent="0.45">
      <c r="M35" t="s">
        <v>9</v>
      </c>
      <c r="N35" t="s">
        <v>1506</v>
      </c>
      <c r="O35" t="s">
        <v>1378</v>
      </c>
      <c r="P35" t="s">
        <v>1507</v>
      </c>
      <c r="Q35" t="s">
        <v>85</v>
      </c>
      <c r="R35" t="s">
        <v>86</v>
      </c>
      <c r="S35" t="s">
        <v>16</v>
      </c>
    </row>
    <row r="36" spans="2:19" x14ac:dyDescent="0.45">
      <c r="M36" t="s">
        <v>9</v>
      </c>
      <c r="N36" t="s">
        <v>1508</v>
      </c>
      <c r="O36" t="s">
        <v>1378</v>
      </c>
      <c r="P36" t="s">
        <v>1509</v>
      </c>
      <c r="Q36" t="s">
        <v>85</v>
      </c>
      <c r="R36" t="s">
        <v>86</v>
      </c>
      <c r="S36" t="s">
        <v>16</v>
      </c>
    </row>
    <row r="37" spans="2:19" x14ac:dyDescent="0.45">
      <c r="M37" t="s">
        <v>9</v>
      </c>
      <c r="N37" t="s">
        <v>1510</v>
      </c>
      <c r="O37" t="s">
        <v>1378</v>
      </c>
      <c r="P37" t="s">
        <v>1511</v>
      </c>
      <c r="Q37" t="s">
        <v>85</v>
      </c>
      <c r="R37" t="s">
        <v>86</v>
      </c>
      <c r="S37" t="s">
        <v>16</v>
      </c>
    </row>
    <row r="38" spans="2:19" ht="17.25" thickBot="1" x14ac:dyDescent="0.55000000000000004">
      <c r="B38" s="1" t="s">
        <v>153</v>
      </c>
      <c r="C38" s="2"/>
      <c r="D38" s="2"/>
      <c r="M38" t="s">
        <v>9</v>
      </c>
      <c r="N38" t="s">
        <v>1512</v>
      </c>
      <c r="O38" t="s">
        <v>1378</v>
      </c>
      <c r="P38" t="s">
        <v>1513</v>
      </c>
      <c r="Q38" t="s">
        <v>85</v>
      </c>
      <c r="R38" t="s">
        <v>86</v>
      </c>
      <c r="S38" t="s">
        <v>16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  <c r="M39" t="s">
        <v>9</v>
      </c>
      <c r="N39" t="s">
        <v>1514</v>
      </c>
      <c r="O39" t="s">
        <v>1378</v>
      </c>
      <c r="P39" t="s">
        <v>1515</v>
      </c>
      <c r="Q39" t="s">
        <v>85</v>
      </c>
      <c r="R39" t="s">
        <v>86</v>
      </c>
      <c r="S39" t="s">
        <v>16</v>
      </c>
    </row>
    <row r="40" spans="2:19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  <c r="M40" t="s">
        <v>9</v>
      </c>
      <c r="N40" t="s">
        <v>1516</v>
      </c>
      <c r="O40" t="s">
        <v>1378</v>
      </c>
      <c r="P40" t="s">
        <v>1517</v>
      </c>
      <c r="Q40" t="s">
        <v>85</v>
      </c>
      <c r="R40" t="s">
        <v>86</v>
      </c>
      <c r="S40" t="s">
        <v>16</v>
      </c>
    </row>
    <row r="41" spans="2:19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  <c r="M41" t="s">
        <v>9</v>
      </c>
      <c r="N41" t="s">
        <v>1518</v>
      </c>
      <c r="O41" t="s">
        <v>1378</v>
      </c>
      <c r="P41" t="s">
        <v>1519</v>
      </c>
      <c r="Q41" t="s">
        <v>85</v>
      </c>
      <c r="R41" t="s">
        <v>86</v>
      </c>
      <c r="S41" t="s">
        <v>16</v>
      </c>
    </row>
    <row r="42" spans="2:19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  <c r="M42" t="s">
        <v>9</v>
      </c>
      <c r="N42" t="s">
        <v>1520</v>
      </c>
      <c r="O42" t="s">
        <v>1378</v>
      </c>
      <c r="P42" t="s">
        <v>1521</v>
      </c>
      <c r="Q42" t="s">
        <v>85</v>
      </c>
      <c r="R42" t="s">
        <v>86</v>
      </c>
      <c r="S42" t="s">
        <v>16</v>
      </c>
    </row>
    <row r="43" spans="2:19" x14ac:dyDescent="0.45">
      <c r="C43" t="s">
        <v>287</v>
      </c>
      <c r="D43" t="s">
        <v>288</v>
      </c>
      <c r="E43" t="s">
        <v>289</v>
      </c>
      <c r="F43" t="s">
        <v>290</v>
      </c>
      <c r="M43" t="s">
        <v>9</v>
      </c>
      <c r="N43" t="s">
        <v>1522</v>
      </c>
      <c r="O43" t="s">
        <v>1378</v>
      </c>
      <c r="P43" t="s">
        <v>1523</v>
      </c>
      <c r="Q43" t="s">
        <v>85</v>
      </c>
      <c r="R43" t="s">
        <v>86</v>
      </c>
      <c r="S43" t="s">
        <v>16</v>
      </c>
    </row>
    <row r="44" spans="2:19" x14ac:dyDescent="0.45">
      <c r="M44" t="s">
        <v>9</v>
      </c>
      <c r="N44" t="s">
        <v>1524</v>
      </c>
      <c r="O44" t="s">
        <v>1378</v>
      </c>
      <c r="P44" t="s">
        <v>1525</v>
      </c>
      <c r="Q44" t="s">
        <v>85</v>
      </c>
      <c r="R44" t="s">
        <v>86</v>
      </c>
      <c r="S44" t="s">
        <v>16</v>
      </c>
    </row>
    <row r="45" spans="2:19" x14ac:dyDescent="0.45">
      <c r="M45" t="s">
        <v>9</v>
      </c>
      <c r="N45" t="s">
        <v>1526</v>
      </c>
      <c r="O45" t="s">
        <v>1378</v>
      </c>
      <c r="P45" t="s">
        <v>1527</v>
      </c>
      <c r="Q45" t="s">
        <v>85</v>
      </c>
      <c r="R45" t="s">
        <v>86</v>
      </c>
      <c r="S45" t="s">
        <v>16</v>
      </c>
    </row>
    <row r="46" spans="2:19" x14ac:dyDescent="0.45">
      <c r="M46" t="s">
        <v>9</v>
      </c>
      <c r="N46" t="s">
        <v>1528</v>
      </c>
      <c r="O46" t="s">
        <v>1378</v>
      </c>
      <c r="P46" t="s">
        <v>1529</v>
      </c>
      <c r="Q46" t="s">
        <v>85</v>
      </c>
      <c r="R46" t="s">
        <v>86</v>
      </c>
      <c r="S46" t="s">
        <v>16</v>
      </c>
    </row>
    <row r="47" spans="2:19" x14ac:dyDescent="0.45">
      <c r="M47" t="s">
        <v>9</v>
      </c>
      <c r="N47" t="s">
        <v>1530</v>
      </c>
      <c r="O47" t="s">
        <v>1378</v>
      </c>
      <c r="P47" t="s">
        <v>1531</v>
      </c>
      <c r="Q47" t="s">
        <v>85</v>
      </c>
      <c r="R47" t="s">
        <v>86</v>
      </c>
      <c r="S47" t="s">
        <v>16</v>
      </c>
    </row>
    <row r="48" spans="2:19" x14ac:dyDescent="0.45">
      <c r="M48" t="s">
        <v>9</v>
      </c>
      <c r="N48" t="s">
        <v>1532</v>
      </c>
      <c r="O48" t="s">
        <v>1378</v>
      </c>
      <c r="P48" t="s">
        <v>1533</v>
      </c>
      <c r="Q48" t="s">
        <v>85</v>
      </c>
      <c r="R48" t="s">
        <v>86</v>
      </c>
      <c r="S48" t="s">
        <v>16</v>
      </c>
    </row>
    <row r="49" spans="13:19" x14ac:dyDescent="0.45">
      <c r="M49" t="s">
        <v>9</v>
      </c>
      <c r="N49" t="s">
        <v>1534</v>
      </c>
      <c r="O49" t="s">
        <v>1378</v>
      </c>
      <c r="P49" t="s">
        <v>1535</v>
      </c>
      <c r="Q49" t="s">
        <v>85</v>
      </c>
      <c r="R49" t="s">
        <v>86</v>
      </c>
      <c r="S49" t="s">
        <v>16</v>
      </c>
    </row>
    <row r="50" spans="13:19" x14ac:dyDescent="0.45">
      <c r="M50" t="s">
        <v>9</v>
      </c>
      <c r="N50" t="s">
        <v>1536</v>
      </c>
      <c r="O50" t="s">
        <v>1378</v>
      </c>
      <c r="P50" t="s">
        <v>1537</v>
      </c>
      <c r="Q50" t="s">
        <v>85</v>
      </c>
      <c r="R50" t="s">
        <v>86</v>
      </c>
      <c r="S50" t="s">
        <v>16</v>
      </c>
    </row>
    <row r="51" spans="13:19" x14ac:dyDescent="0.45">
      <c r="M51" t="s">
        <v>9</v>
      </c>
      <c r="N51" t="s">
        <v>1538</v>
      </c>
      <c r="O51" t="s">
        <v>1378</v>
      </c>
      <c r="P51" t="s">
        <v>1539</v>
      </c>
      <c r="Q51" t="s">
        <v>85</v>
      </c>
      <c r="R51" t="s">
        <v>86</v>
      </c>
      <c r="S51" t="s">
        <v>16</v>
      </c>
    </row>
    <row r="52" spans="13:19" x14ac:dyDescent="0.45">
      <c r="M52" t="s">
        <v>9</v>
      </c>
      <c r="N52" t="s">
        <v>1540</v>
      </c>
      <c r="O52" t="s">
        <v>1378</v>
      </c>
      <c r="P52" t="s">
        <v>1541</v>
      </c>
      <c r="Q52" t="s">
        <v>85</v>
      </c>
      <c r="R52" t="s">
        <v>86</v>
      </c>
      <c r="S52" t="s">
        <v>16</v>
      </c>
    </row>
    <row r="53" spans="13:19" x14ac:dyDescent="0.45">
      <c r="M53" t="s">
        <v>9</v>
      </c>
      <c r="N53" t="s">
        <v>1542</v>
      </c>
      <c r="O53" t="s">
        <v>1378</v>
      </c>
      <c r="P53" t="s">
        <v>1543</v>
      </c>
      <c r="Q53" t="s">
        <v>85</v>
      </c>
      <c r="R53" t="s">
        <v>86</v>
      </c>
      <c r="S53" t="s">
        <v>16</v>
      </c>
    </row>
    <row r="54" spans="13:19" x14ac:dyDescent="0.45">
      <c r="M54" t="s">
        <v>9</v>
      </c>
      <c r="N54" t="s">
        <v>1544</v>
      </c>
      <c r="O54" t="s">
        <v>1378</v>
      </c>
      <c r="P54" t="s">
        <v>1545</v>
      </c>
      <c r="Q54" t="s">
        <v>85</v>
      </c>
      <c r="R54" t="s">
        <v>86</v>
      </c>
      <c r="S54" t="s">
        <v>16</v>
      </c>
    </row>
    <row r="55" spans="13:19" x14ac:dyDescent="0.45">
      <c r="M55" t="s">
        <v>9</v>
      </c>
      <c r="N55" t="s">
        <v>1546</v>
      </c>
      <c r="O55" t="s">
        <v>1378</v>
      </c>
      <c r="P55" t="s">
        <v>1547</v>
      </c>
      <c r="Q55" t="s">
        <v>85</v>
      </c>
      <c r="R55" t="s">
        <v>86</v>
      </c>
      <c r="S55" t="s">
        <v>16</v>
      </c>
    </row>
    <row r="56" spans="13:19" x14ac:dyDescent="0.45">
      <c r="M56" t="s">
        <v>9</v>
      </c>
      <c r="N56" t="s">
        <v>1548</v>
      </c>
      <c r="O56" t="s">
        <v>1378</v>
      </c>
      <c r="P56" t="s">
        <v>1549</v>
      </c>
      <c r="Q56" t="s">
        <v>85</v>
      </c>
      <c r="R56" t="s">
        <v>86</v>
      </c>
      <c r="S56" t="s">
        <v>16</v>
      </c>
    </row>
    <row r="57" spans="13:19" x14ac:dyDescent="0.45">
      <c r="M57" t="s">
        <v>9</v>
      </c>
      <c r="N57" t="s">
        <v>1550</v>
      </c>
      <c r="O57" t="s">
        <v>1378</v>
      </c>
      <c r="P57" t="s">
        <v>1551</v>
      </c>
      <c r="Q57" t="s">
        <v>85</v>
      </c>
      <c r="R57" t="s">
        <v>86</v>
      </c>
      <c r="S57" t="s">
        <v>16</v>
      </c>
    </row>
    <row r="58" spans="13:19" x14ac:dyDescent="0.45">
      <c r="M58" t="s">
        <v>9</v>
      </c>
      <c r="N58" t="s">
        <v>1552</v>
      </c>
      <c r="O58" t="s">
        <v>1378</v>
      </c>
      <c r="P58" t="s">
        <v>1553</v>
      </c>
      <c r="Q58" t="s">
        <v>85</v>
      </c>
      <c r="R58" t="s">
        <v>86</v>
      </c>
      <c r="S58" t="s">
        <v>16</v>
      </c>
    </row>
    <row r="59" spans="13:19" x14ac:dyDescent="0.45">
      <c r="M59" t="s">
        <v>9</v>
      </c>
      <c r="N59" t="s">
        <v>1554</v>
      </c>
      <c r="O59" t="s">
        <v>1378</v>
      </c>
      <c r="P59" t="s">
        <v>1555</v>
      </c>
      <c r="Q59" t="s">
        <v>85</v>
      </c>
      <c r="R59" t="s">
        <v>86</v>
      </c>
      <c r="S59" t="s">
        <v>16</v>
      </c>
    </row>
    <row r="60" spans="13:19" x14ac:dyDescent="0.45">
      <c r="M60" t="s">
        <v>9</v>
      </c>
      <c r="N60" t="s">
        <v>1556</v>
      </c>
      <c r="O60" t="s">
        <v>1378</v>
      </c>
      <c r="P60" t="s">
        <v>1557</v>
      </c>
      <c r="Q60" t="s">
        <v>85</v>
      </c>
      <c r="R60" t="s">
        <v>86</v>
      </c>
      <c r="S60" t="s">
        <v>16</v>
      </c>
    </row>
    <row r="61" spans="13:19" x14ac:dyDescent="0.45">
      <c r="M61" t="s">
        <v>9</v>
      </c>
      <c r="N61" t="s">
        <v>1558</v>
      </c>
      <c r="O61" t="s">
        <v>1378</v>
      </c>
      <c r="P61" t="s">
        <v>1559</v>
      </c>
      <c r="Q61" t="s">
        <v>85</v>
      </c>
      <c r="R61" t="s">
        <v>86</v>
      </c>
      <c r="S61" t="s">
        <v>16</v>
      </c>
    </row>
    <row r="62" spans="13:19" x14ac:dyDescent="0.45">
      <c r="M62" t="s">
        <v>9</v>
      </c>
      <c r="N62" t="s">
        <v>1560</v>
      </c>
      <c r="O62" t="s">
        <v>1378</v>
      </c>
      <c r="P62" t="s">
        <v>1561</v>
      </c>
      <c r="Q62" t="s">
        <v>85</v>
      </c>
      <c r="R62" t="s">
        <v>86</v>
      </c>
      <c r="S62" t="s">
        <v>16</v>
      </c>
    </row>
    <row r="63" spans="13:19" x14ac:dyDescent="0.45">
      <c r="M63" t="s">
        <v>9</v>
      </c>
      <c r="N63" t="s">
        <v>1562</v>
      </c>
      <c r="O63" t="s">
        <v>1378</v>
      </c>
      <c r="P63" t="s">
        <v>1563</v>
      </c>
      <c r="Q63" t="s">
        <v>85</v>
      </c>
      <c r="R63" t="s">
        <v>86</v>
      </c>
      <c r="S63" t="s">
        <v>16</v>
      </c>
    </row>
    <row r="64" spans="13:19" x14ac:dyDescent="0.45">
      <c r="M64" t="s">
        <v>9</v>
      </c>
      <c r="N64" t="s">
        <v>1564</v>
      </c>
      <c r="O64" t="s">
        <v>1378</v>
      </c>
      <c r="P64" t="s">
        <v>1565</v>
      </c>
      <c r="Q64" t="s">
        <v>85</v>
      </c>
      <c r="R64" t="s">
        <v>86</v>
      </c>
      <c r="S64" t="s">
        <v>16</v>
      </c>
    </row>
    <row r="65" spans="13:19" x14ac:dyDescent="0.45">
      <c r="M65" t="s">
        <v>9</v>
      </c>
      <c r="N65" t="s">
        <v>1566</v>
      </c>
      <c r="O65" t="s">
        <v>1378</v>
      </c>
      <c r="P65" t="s">
        <v>1567</v>
      </c>
      <c r="Q65" t="s">
        <v>85</v>
      </c>
      <c r="R65" t="s">
        <v>86</v>
      </c>
      <c r="S65" t="s">
        <v>16</v>
      </c>
    </row>
    <row r="66" spans="13:19" x14ac:dyDescent="0.45">
      <c r="M66" t="s">
        <v>9</v>
      </c>
      <c r="N66" t="s">
        <v>1568</v>
      </c>
      <c r="O66" t="s">
        <v>1378</v>
      </c>
      <c r="P66" t="s">
        <v>1569</v>
      </c>
      <c r="Q66" t="s">
        <v>85</v>
      </c>
      <c r="R66" t="s">
        <v>86</v>
      </c>
      <c r="S66" t="s">
        <v>16</v>
      </c>
    </row>
    <row r="67" spans="13:19" x14ac:dyDescent="0.45">
      <c r="M67" t="s">
        <v>9</v>
      </c>
      <c r="N67" t="s">
        <v>1570</v>
      </c>
      <c r="O67" t="s">
        <v>1378</v>
      </c>
      <c r="P67" t="s">
        <v>1571</v>
      </c>
      <c r="Q67" t="s">
        <v>85</v>
      </c>
      <c r="R67" t="s">
        <v>86</v>
      </c>
      <c r="S67" t="s">
        <v>16</v>
      </c>
    </row>
    <row r="68" spans="13:19" x14ac:dyDescent="0.45">
      <c r="M68" t="s">
        <v>9</v>
      </c>
      <c r="N68" t="s">
        <v>1572</v>
      </c>
      <c r="O68" t="s">
        <v>1378</v>
      </c>
      <c r="P68" t="s">
        <v>1573</v>
      </c>
      <c r="Q68" t="s">
        <v>85</v>
      </c>
      <c r="R68" t="s">
        <v>86</v>
      </c>
      <c r="S68" t="s">
        <v>16</v>
      </c>
    </row>
    <row r="69" spans="13:19" x14ac:dyDescent="0.45">
      <c r="M69" t="s">
        <v>9</v>
      </c>
      <c r="N69" t="s">
        <v>1574</v>
      </c>
      <c r="O69" t="s">
        <v>1378</v>
      </c>
      <c r="P69" t="s">
        <v>1575</v>
      </c>
      <c r="Q69" t="s">
        <v>85</v>
      </c>
      <c r="R69" t="s">
        <v>86</v>
      </c>
      <c r="S69" t="s">
        <v>16</v>
      </c>
    </row>
    <row r="70" spans="13:19" x14ac:dyDescent="0.45">
      <c r="M70" t="s">
        <v>9</v>
      </c>
      <c r="N70" t="s">
        <v>1576</v>
      </c>
      <c r="O70" t="s">
        <v>1378</v>
      </c>
      <c r="P70" t="s">
        <v>1577</v>
      </c>
      <c r="Q70" t="s">
        <v>85</v>
      </c>
      <c r="R70" t="s">
        <v>86</v>
      </c>
      <c r="S70" t="s">
        <v>16</v>
      </c>
    </row>
    <row r="71" spans="13:19" x14ac:dyDescent="0.45">
      <c r="M71" t="s">
        <v>9</v>
      </c>
      <c r="N71" t="s">
        <v>1578</v>
      </c>
      <c r="O71" t="s">
        <v>1378</v>
      </c>
      <c r="P71" t="s">
        <v>1579</v>
      </c>
      <c r="Q71" t="s">
        <v>85</v>
      </c>
      <c r="R71" t="s">
        <v>86</v>
      </c>
      <c r="S71" t="s">
        <v>16</v>
      </c>
    </row>
    <row r="72" spans="13:19" x14ac:dyDescent="0.45">
      <c r="M72" t="s">
        <v>9</v>
      </c>
      <c r="N72" t="s">
        <v>1580</v>
      </c>
      <c r="O72" t="s">
        <v>1378</v>
      </c>
      <c r="P72" t="s">
        <v>1581</v>
      </c>
      <c r="Q72" t="s">
        <v>85</v>
      </c>
      <c r="R72" t="s">
        <v>86</v>
      </c>
      <c r="S72" t="s">
        <v>16</v>
      </c>
    </row>
    <row r="73" spans="13:19" x14ac:dyDescent="0.45">
      <c r="M73" t="s">
        <v>9</v>
      </c>
      <c r="N73" t="s">
        <v>1582</v>
      </c>
      <c r="O73" t="s">
        <v>1378</v>
      </c>
      <c r="P73" t="s">
        <v>1583</v>
      </c>
      <c r="Q73" t="s">
        <v>85</v>
      </c>
      <c r="R73" t="s">
        <v>86</v>
      </c>
      <c r="S73" t="s">
        <v>16</v>
      </c>
    </row>
    <row r="74" spans="13:19" x14ac:dyDescent="0.45">
      <c r="M74" t="s">
        <v>9</v>
      </c>
      <c r="N74" t="s">
        <v>1584</v>
      </c>
      <c r="O74" t="s">
        <v>1378</v>
      </c>
      <c r="P74" t="s">
        <v>1585</v>
      </c>
      <c r="Q74" t="s">
        <v>85</v>
      </c>
      <c r="R74" t="s">
        <v>86</v>
      </c>
      <c r="S74" t="s">
        <v>16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580D4-1303-4EBB-8B73-8261EA13AC9D}">
  <dimension ref="B2:H11"/>
  <sheetViews>
    <sheetView workbookViewId="0"/>
  </sheetViews>
  <sheetFormatPr defaultRowHeight="14.25" x14ac:dyDescent="0.4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 x14ac:dyDescent="0.45">
      <c r="B2" t="s">
        <v>1586</v>
      </c>
      <c r="F2" t="s">
        <v>1587</v>
      </c>
    </row>
    <row r="3" spans="2:8" x14ac:dyDescent="0.45">
      <c r="B3" t="s">
        <v>1588</v>
      </c>
      <c r="C3" t="s">
        <v>1589</v>
      </c>
      <c r="F3" t="s">
        <v>1590</v>
      </c>
      <c r="G3" t="s">
        <v>1591</v>
      </c>
      <c r="H3" t="s">
        <v>1592</v>
      </c>
    </row>
    <row r="4" spans="2:8" x14ac:dyDescent="0.45">
      <c r="B4" t="s">
        <v>1752</v>
      </c>
      <c r="C4" t="s">
        <v>11</v>
      </c>
      <c r="F4" t="s">
        <v>1593</v>
      </c>
      <c r="H4" t="s">
        <v>1594</v>
      </c>
    </row>
    <row r="5" spans="2:8" x14ac:dyDescent="0.45">
      <c r="C5" t="s">
        <v>366</v>
      </c>
      <c r="F5" t="s">
        <v>1595</v>
      </c>
      <c r="H5" t="s">
        <v>1596</v>
      </c>
    </row>
    <row r="6" spans="2:8" x14ac:dyDescent="0.45">
      <c r="C6" t="s">
        <v>579</v>
      </c>
    </row>
    <row r="7" spans="2:8" x14ac:dyDescent="0.45">
      <c r="C7" t="s">
        <v>682</v>
      </c>
    </row>
    <row r="8" spans="2:8" x14ac:dyDescent="0.45">
      <c r="C8" t="s">
        <v>767</v>
      </c>
    </row>
    <row r="9" spans="2:8" x14ac:dyDescent="0.45">
      <c r="C9" t="s">
        <v>1026</v>
      </c>
    </row>
    <row r="10" spans="2:8" x14ac:dyDescent="0.45">
      <c r="C10" t="s">
        <v>1151</v>
      </c>
    </row>
    <row r="11" spans="2:8" x14ac:dyDescent="0.45">
      <c r="C11" t="s">
        <v>1378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A23E6-A8A6-4576-BA2D-215EBBF681E4}">
  <dimension ref="B3:G33"/>
  <sheetViews>
    <sheetView workbookViewId="0"/>
  </sheetViews>
  <sheetFormatPr defaultColWidth="11.3984375" defaultRowHeight="12.75" x14ac:dyDescent="0.3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 x14ac:dyDescent="0.35">
      <c r="B3" s="6" t="s">
        <v>1597</v>
      </c>
    </row>
    <row r="4" spans="2:7" x14ac:dyDescent="0.35">
      <c r="B4" s="6">
        <v>2022</v>
      </c>
    </row>
    <row r="7" spans="2:7" x14ac:dyDescent="0.35">
      <c r="B7" s="6" t="s">
        <v>1598</v>
      </c>
    </row>
    <row r="8" spans="2:7" x14ac:dyDescent="0.35">
      <c r="B8" s="6" t="s">
        <v>1599</v>
      </c>
    </row>
    <row r="11" spans="2:7" x14ac:dyDescent="0.35">
      <c r="B11" s="6" t="s">
        <v>1600</v>
      </c>
      <c r="D11" s="6" t="s">
        <v>1601</v>
      </c>
    </row>
    <row r="12" spans="2:7" ht="14.25" x14ac:dyDescent="0.45">
      <c r="B12" s="7" t="s">
        <v>1599</v>
      </c>
      <c r="D12" s="8" t="s">
        <v>1602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 x14ac:dyDescent="0.45">
      <c r="B13" s="9">
        <v>1</v>
      </c>
      <c r="D13" s="6" t="s">
        <v>1603</v>
      </c>
    </row>
    <row r="14" spans="2:7" ht="14.25" x14ac:dyDescent="0.45">
      <c r="B14" s="9">
        <v>5</v>
      </c>
      <c r="D14" s="6" t="s">
        <v>1604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 x14ac:dyDescent="0.45">
      <c r="B15" s="9">
        <v>5</v>
      </c>
      <c r="D15" s="6" t="s">
        <v>1604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 x14ac:dyDescent="0.45">
      <c r="B16" s="9">
        <v>10</v>
      </c>
      <c r="D16" s="6" t="s">
        <v>1604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 x14ac:dyDescent="0.45">
      <c r="B17" s="9">
        <v>10</v>
      </c>
      <c r="D17" s="6" t="s">
        <v>1604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 x14ac:dyDescent="0.45">
      <c r="B18" s="9">
        <v>10</v>
      </c>
      <c r="D18" s="6" t="s">
        <v>1604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 x14ac:dyDescent="0.45">
      <c r="B19" s="9">
        <v>10</v>
      </c>
      <c r="D19" s="6" t="s">
        <v>1604</v>
      </c>
      <c r="E19" s="6">
        <f t="shared" si="2"/>
        <v>2045</v>
      </c>
      <c r="F19" s="6">
        <f>F18+10</f>
        <v>2050</v>
      </c>
    </row>
    <row r="20" spans="2:7" ht="14.25" x14ac:dyDescent="0.45">
      <c r="B20" s="9">
        <v>10</v>
      </c>
      <c r="D20" s="6" t="s">
        <v>1604</v>
      </c>
      <c r="E20" s="6">
        <f t="shared" si="2"/>
        <v>2050</v>
      </c>
    </row>
    <row r="21" spans="2:7" ht="14.25" x14ac:dyDescent="0.45">
      <c r="B21" s="9">
        <v>10</v>
      </c>
      <c r="D21" s="6" t="s">
        <v>1604</v>
      </c>
    </row>
    <row r="22" spans="2:7" ht="14.25" x14ac:dyDescent="0.45">
      <c r="B22" s="9">
        <v>10</v>
      </c>
      <c r="D22" s="6" t="s">
        <v>1604</v>
      </c>
    </row>
    <row r="23" spans="2:7" ht="14.25" x14ac:dyDescent="0.45">
      <c r="B23" s="9">
        <v>10</v>
      </c>
      <c r="D23" s="6" t="s">
        <v>1604</v>
      </c>
    </row>
    <row r="24" spans="2:7" ht="14.25" x14ac:dyDescent="0.45">
      <c r="B24" s="9">
        <v>10</v>
      </c>
      <c r="D24" s="6" t="s">
        <v>1604</v>
      </c>
    </row>
    <row r="25" spans="2:7" ht="14.25" x14ac:dyDescent="0.45">
      <c r="B25" s="9"/>
      <c r="D25" s="6" t="s">
        <v>1604</v>
      </c>
    </row>
    <row r="26" spans="2:7" ht="14.25" x14ac:dyDescent="0.45">
      <c r="B26" s="9"/>
      <c r="D26" s="6" t="s">
        <v>1604</v>
      </c>
    </row>
    <row r="27" spans="2:7" ht="14.25" x14ac:dyDescent="0.45">
      <c r="B27" s="9"/>
      <c r="D27" s="6" t="s">
        <v>1604</v>
      </c>
    </row>
    <row r="28" spans="2:7" ht="14.25" x14ac:dyDescent="0.45">
      <c r="B28" s="9"/>
      <c r="D28" s="6" t="s">
        <v>1604</v>
      </c>
    </row>
    <row r="29" spans="2:7" ht="14.25" x14ac:dyDescent="0.45">
      <c r="B29" s="9"/>
      <c r="D29" s="6" t="s">
        <v>1604</v>
      </c>
    </row>
    <row r="30" spans="2:7" ht="14.25" x14ac:dyDescent="0.45">
      <c r="B30" s="9"/>
    </row>
    <row r="31" spans="2:7" ht="14.25" x14ac:dyDescent="0.45">
      <c r="B31" s="9"/>
    </row>
    <row r="32" spans="2:7" ht="14.25" x14ac:dyDescent="0.45">
      <c r="B32" s="9"/>
    </row>
    <row r="33" spans="2:2" ht="14.25" x14ac:dyDescent="0.45">
      <c r="B33" s="9"/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7B74D-02B7-4D4F-B5DD-28037EB7B9B6}">
  <dimension ref="B1:N42"/>
  <sheetViews>
    <sheetView zoomScaleNormal="100" workbookViewId="0"/>
  </sheetViews>
  <sheetFormatPr defaultColWidth="11.3984375" defaultRowHeight="11.65" x14ac:dyDescent="0.3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 x14ac:dyDescent="0.35">
      <c r="B1" s="6"/>
      <c r="C1" s="10"/>
    </row>
    <row r="2" spans="2:12" ht="12.75" x14ac:dyDescent="0.35">
      <c r="B2" s="12"/>
      <c r="C2" s="13"/>
      <c r="D2" s="13"/>
      <c r="E2" s="13"/>
      <c r="F2" s="13"/>
      <c r="G2" s="13"/>
      <c r="H2" s="13"/>
      <c r="I2" s="13"/>
      <c r="J2" s="13"/>
    </row>
    <row r="3" spans="2:12" ht="12.75" x14ac:dyDescent="0.35">
      <c r="B3" s="13"/>
      <c r="C3" s="13"/>
      <c r="D3" s="13"/>
      <c r="E3" s="6"/>
      <c r="F3" s="6"/>
      <c r="G3" s="6"/>
      <c r="H3" s="13"/>
      <c r="I3" s="13"/>
      <c r="J3" s="13"/>
    </row>
    <row r="4" spans="2:12" x14ac:dyDescent="0.35">
      <c r="B4" s="14" t="s">
        <v>1605</v>
      </c>
      <c r="G4" s="14"/>
      <c r="H4" s="14"/>
      <c r="I4" s="14"/>
    </row>
    <row r="5" spans="2:12" x14ac:dyDescent="0.35">
      <c r="B5" s="15" t="s">
        <v>1606</v>
      </c>
      <c r="C5" s="15" t="s">
        <v>1607</v>
      </c>
      <c r="D5" s="15" t="s">
        <v>1608</v>
      </c>
      <c r="E5" s="15" t="s">
        <v>1609</v>
      </c>
      <c r="F5" s="15" t="s">
        <v>1610</v>
      </c>
      <c r="G5" s="15" t="s">
        <v>1611</v>
      </c>
      <c r="H5" s="15" t="s">
        <v>1612</v>
      </c>
      <c r="I5" s="15" t="s">
        <v>1613</v>
      </c>
      <c r="J5" s="15" t="s">
        <v>1614</v>
      </c>
      <c r="K5" s="15" t="s">
        <v>1615</v>
      </c>
      <c r="L5" s="15" t="s">
        <v>1616</v>
      </c>
    </row>
    <row r="6" spans="2:12" x14ac:dyDescent="0.35">
      <c r="D6" s="11" t="s">
        <v>1617</v>
      </c>
      <c r="E6" s="11">
        <v>0</v>
      </c>
      <c r="F6" s="11">
        <v>3</v>
      </c>
    </row>
    <row r="7" spans="2:12" x14ac:dyDescent="0.35">
      <c r="D7" s="11" t="s">
        <v>1618</v>
      </c>
      <c r="E7" s="11">
        <v>0</v>
      </c>
      <c r="F7" s="11">
        <v>3</v>
      </c>
    </row>
    <row r="8" spans="2:12" x14ac:dyDescent="0.35">
      <c r="D8" s="11" t="s">
        <v>1619</v>
      </c>
      <c r="E8" s="11">
        <v>0</v>
      </c>
      <c r="F8" s="11">
        <v>3</v>
      </c>
    </row>
    <row r="9" spans="2:12" x14ac:dyDescent="0.35">
      <c r="D9" s="11" t="s">
        <v>1620</v>
      </c>
      <c r="E9" s="11">
        <v>0</v>
      </c>
      <c r="F9" s="11">
        <v>3</v>
      </c>
    </row>
    <row r="10" spans="2:12" x14ac:dyDescent="0.35">
      <c r="D10" s="11" t="s">
        <v>1621</v>
      </c>
      <c r="E10" s="11">
        <v>0</v>
      </c>
      <c r="F10" s="11">
        <v>5</v>
      </c>
    </row>
    <row r="11" spans="2:12" x14ac:dyDescent="0.35">
      <c r="D11" s="11" t="s">
        <v>1622</v>
      </c>
      <c r="E11" s="11">
        <v>0</v>
      </c>
      <c r="F11" s="11">
        <v>3</v>
      </c>
    </row>
    <row r="14" spans="2:12" x14ac:dyDescent="0.35">
      <c r="B14" s="14" t="s">
        <v>1623</v>
      </c>
      <c r="G14" s="14"/>
      <c r="H14" s="14"/>
      <c r="I14" s="14"/>
    </row>
    <row r="15" spans="2:12" x14ac:dyDescent="0.35">
      <c r="B15" s="15" t="s">
        <v>1606</v>
      </c>
      <c r="C15" s="15" t="s">
        <v>1607</v>
      </c>
      <c r="D15" s="15" t="s">
        <v>1608</v>
      </c>
      <c r="E15" s="15" t="s">
        <v>1624</v>
      </c>
      <c r="F15" s="15" t="s">
        <v>1610</v>
      </c>
      <c r="G15" s="15" t="s">
        <v>1625</v>
      </c>
      <c r="H15" s="15" t="s">
        <v>1612</v>
      </c>
      <c r="I15" s="15" t="s">
        <v>1613</v>
      </c>
    </row>
    <row r="16" spans="2:12" x14ac:dyDescent="0.35">
      <c r="D16" s="11" t="s">
        <v>1626</v>
      </c>
      <c r="F16" s="11">
        <v>2222</v>
      </c>
      <c r="G16" s="11" t="s">
        <v>1627</v>
      </c>
    </row>
    <row r="17" spans="2:14" x14ac:dyDescent="0.35">
      <c r="D17" s="11" t="s">
        <v>1626</v>
      </c>
      <c r="F17" s="11">
        <v>8888</v>
      </c>
      <c r="G17" s="11" t="s">
        <v>1628</v>
      </c>
    </row>
    <row r="18" spans="2:14" ht="12.75" x14ac:dyDescent="0.35">
      <c r="B18" s="13"/>
      <c r="C18" s="13"/>
      <c r="D18" s="11" t="s">
        <v>1629</v>
      </c>
      <c r="F18" s="11">
        <v>8888</v>
      </c>
      <c r="G18" s="11" t="s">
        <v>1630</v>
      </c>
      <c r="H18" s="13"/>
      <c r="I18" s="13"/>
      <c r="J18" s="13"/>
    </row>
    <row r="19" spans="2:14" ht="12.75" x14ac:dyDescent="0.3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 x14ac:dyDescent="0.3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 x14ac:dyDescent="0.4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 x14ac:dyDescent="0.4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 x14ac:dyDescent="0.4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 x14ac:dyDescent="0.4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 x14ac:dyDescent="0.4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 x14ac:dyDescent="0.4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 x14ac:dyDescent="0.4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 x14ac:dyDescent="0.4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 x14ac:dyDescent="0.4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 x14ac:dyDescent="0.4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 x14ac:dyDescent="0.4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 x14ac:dyDescent="0.4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 x14ac:dyDescent="0.4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 x14ac:dyDescent="0.4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 x14ac:dyDescent="0.4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 x14ac:dyDescent="0.4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 x14ac:dyDescent="0.4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 x14ac:dyDescent="0.4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 x14ac:dyDescent="0.4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 x14ac:dyDescent="0.4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 x14ac:dyDescent="0.4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 x14ac:dyDescent="0.4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CF8DB-AF78-4473-98A9-8E6541498934}">
  <dimension ref="A2:N102"/>
  <sheetViews>
    <sheetView workbookViewId="0"/>
  </sheetViews>
  <sheetFormatPr defaultColWidth="11.3984375" defaultRowHeight="11.65" x14ac:dyDescent="0.3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 x14ac:dyDescent="0.55000000000000004">
      <c r="A2" s="13"/>
      <c r="B2" s="16" t="s">
        <v>1631</v>
      </c>
      <c r="E2" s="16" t="s">
        <v>1632</v>
      </c>
      <c r="L2" s="16" t="s">
        <v>1633</v>
      </c>
      <c r="M2" s="6"/>
      <c r="N2" s="6"/>
    </row>
    <row r="3" spans="1:14" ht="15" thickTop="1" thickBot="1" x14ac:dyDescent="0.5">
      <c r="A3" s="13"/>
      <c r="B3" s="5" t="s">
        <v>1634</v>
      </c>
      <c r="E3" s="5" t="s">
        <v>1606</v>
      </c>
      <c r="F3" s="5" t="s">
        <v>1608</v>
      </c>
      <c r="G3" s="5" t="s">
        <v>1635</v>
      </c>
      <c r="H3" s="5" t="s">
        <v>1636</v>
      </c>
      <c r="I3" s="5">
        <v>2022</v>
      </c>
      <c r="J3" s="5" t="s">
        <v>1613</v>
      </c>
      <c r="L3" s="5" t="s">
        <v>1637</v>
      </c>
      <c r="M3" s="5" t="s">
        <v>1638</v>
      </c>
      <c r="N3" s="5" t="s">
        <v>1639</v>
      </c>
    </row>
    <row r="4" spans="1:14" ht="13.15" x14ac:dyDescent="0.4">
      <c r="A4" s="13"/>
      <c r="B4" s="17" t="s">
        <v>1640</v>
      </c>
      <c r="C4" s="6"/>
      <c r="F4" s="11" t="s">
        <v>1641</v>
      </c>
      <c r="I4" s="11">
        <v>0.05</v>
      </c>
      <c r="J4" s="11" t="s">
        <v>85</v>
      </c>
      <c r="L4" s="6" t="s">
        <v>1642</v>
      </c>
      <c r="M4" s="6" t="s">
        <v>275</v>
      </c>
      <c r="N4" s="6">
        <v>1055.55</v>
      </c>
    </row>
    <row r="5" spans="1:14" ht="13.15" x14ac:dyDescent="0.4">
      <c r="A5" s="13"/>
      <c r="B5" s="17" t="s">
        <v>1643</v>
      </c>
      <c r="E5" s="11" t="s">
        <v>290</v>
      </c>
      <c r="F5" s="11" t="s">
        <v>1644</v>
      </c>
      <c r="I5" s="11">
        <v>1</v>
      </c>
      <c r="J5" s="11" t="s">
        <v>85</v>
      </c>
      <c r="L5" s="6" t="s">
        <v>1645</v>
      </c>
      <c r="M5" s="6" t="s">
        <v>275</v>
      </c>
      <c r="N5" s="6">
        <v>3.6</v>
      </c>
    </row>
    <row r="6" spans="1:14" ht="13.15" x14ac:dyDescent="0.4">
      <c r="A6" s="13"/>
      <c r="B6" s="17" t="s">
        <v>1646</v>
      </c>
      <c r="F6" s="11" t="s">
        <v>1647</v>
      </c>
      <c r="I6" s="11">
        <v>2025</v>
      </c>
      <c r="L6" s="6" t="s">
        <v>1648</v>
      </c>
      <c r="M6" s="6" t="s">
        <v>1649</v>
      </c>
      <c r="N6" s="6">
        <v>1000</v>
      </c>
    </row>
    <row r="7" spans="1:14" ht="13.15" x14ac:dyDescent="0.4">
      <c r="A7" s="13"/>
      <c r="B7" s="17" t="s">
        <v>1650</v>
      </c>
      <c r="F7" s="11" t="s">
        <v>1651</v>
      </c>
      <c r="I7" s="11">
        <v>1</v>
      </c>
      <c r="L7" s="6" t="s">
        <v>1652</v>
      </c>
      <c r="M7" s="6" t="s">
        <v>1653</v>
      </c>
      <c r="N7" s="6">
        <v>1000</v>
      </c>
    </row>
    <row r="8" spans="1:14" ht="13.15" x14ac:dyDescent="0.4">
      <c r="A8" s="13"/>
      <c r="B8" s="17" t="s">
        <v>1654</v>
      </c>
      <c r="F8" s="11" t="s">
        <v>1655</v>
      </c>
      <c r="G8" s="11" t="s">
        <v>1656</v>
      </c>
      <c r="H8" s="11" t="s">
        <v>1657</v>
      </c>
      <c r="I8" s="11">
        <v>2.2201</v>
      </c>
      <c r="L8" s="6" t="s">
        <v>1658</v>
      </c>
      <c r="M8" s="6" t="s">
        <v>275</v>
      </c>
      <c r="N8" s="6">
        <v>1.05555</v>
      </c>
    </row>
    <row r="9" spans="1:14" ht="13.15" x14ac:dyDescent="0.4">
      <c r="A9" s="13"/>
      <c r="B9" s="17" t="s">
        <v>1659</v>
      </c>
      <c r="F9" s="11" t="s">
        <v>1655</v>
      </c>
      <c r="G9" s="11" t="s">
        <v>1656</v>
      </c>
      <c r="H9" s="11" t="s">
        <v>1660</v>
      </c>
      <c r="I9" s="11">
        <v>2.1427</v>
      </c>
      <c r="L9" s="6" t="s">
        <v>1661</v>
      </c>
      <c r="M9" s="6" t="s">
        <v>275</v>
      </c>
      <c r="N9" s="6">
        <v>4.1868000000000002E-2</v>
      </c>
    </row>
    <row r="10" spans="1:14" ht="13.15" x14ac:dyDescent="0.4">
      <c r="A10" s="13"/>
      <c r="B10" s="17" t="s">
        <v>1662</v>
      </c>
      <c r="F10" s="11" t="s">
        <v>1655</v>
      </c>
      <c r="G10" s="11" t="s">
        <v>1656</v>
      </c>
      <c r="H10" s="11" t="s">
        <v>1663</v>
      </c>
      <c r="I10" s="11">
        <v>2.077</v>
      </c>
      <c r="L10" s="6" t="s">
        <v>1664</v>
      </c>
      <c r="M10" s="6" t="s">
        <v>275</v>
      </c>
      <c r="N10" s="6">
        <v>41.868000000000002</v>
      </c>
    </row>
    <row r="11" spans="1:14" ht="13.15" x14ac:dyDescent="0.4">
      <c r="A11" s="13"/>
      <c r="B11" s="17" t="s">
        <v>1665</v>
      </c>
      <c r="F11" s="11" t="s">
        <v>1655</v>
      </c>
      <c r="G11" s="11" t="s">
        <v>1656</v>
      </c>
      <c r="H11" s="11" t="s">
        <v>1666</v>
      </c>
      <c r="I11" s="11">
        <v>2.0358000000000001</v>
      </c>
      <c r="L11" s="6" t="s">
        <v>1667</v>
      </c>
      <c r="M11" s="6" t="s">
        <v>275</v>
      </c>
      <c r="N11" s="6">
        <v>3.5999999999999999E-3</v>
      </c>
    </row>
    <row r="12" spans="1:14" ht="13.15" x14ac:dyDescent="0.4">
      <c r="A12" s="13"/>
      <c r="B12" s="17" t="s">
        <v>1668</v>
      </c>
      <c r="F12" s="11" t="s">
        <v>1655</v>
      </c>
      <c r="G12" s="11" t="s">
        <v>1656</v>
      </c>
      <c r="H12" s="11" t="s">
        <v>1669</v>
      </c>
      <c r="I12" s="11">
        <v>1.9870000000000001</v>
      </c>
      <c r="L12" s="6" t="s">
        <v>1670</v>
      </c>
      <c r="M12" s="6" t="s">
        <v>1649</v>
      </c>
      <c r="N12" s="6">
        <v>1000000</v>
      </c>
    </row>
    <row r="13" spans="1:14" ht="13.15" x14ac:dyDescent="0.4">
      <c r="A13" s="13"/>
      <c r="B13" s="17" t="s">
        <v>1671</v>
      </c>
      <c r="F13" s="11" t="s">
        <v>1655</v>
      </c>
      <c r="G13" s="11" t="s">
        <v>1656</v>
      </c>
      <c r="H13" s="11" t="s">
        <v>1672</v>
      </c>
      <c r="I13" s="11">
        <v>1.9192</v>
      </c>
      <c r="L13" s="6" t="s">
        <v>1673</v>
      </c>
      <c r="M13" s="6" t="s">
        <v>1674</v>
      </c>
      <c r="N13" s="6">
        <v>1000</v>
      </c>
    </row>
    <row r="14" spans="1:14" ht="13.15" x14ac:dyDescent="0.4">
      <c r="A14" s="13"/>
      <c r="B14" s="17" t="s">
        <v>1675</v>
      </c>
      <c r="F14" s="11" t="s">
        <v>1655</v>
      </c>
      <c r="G14" s="11" t="s">
        <v>1656</v>
      </c>
      <c r="H14" s="11" t="s">
        <v>1676</v>
      </c>
      <c r="I14" s="11">
        <v>1.8468</v>
      </c>
      <c r="L14" s="6" t="s">
        <v>1677</v>
      </c>
      <c r="M14" s="6" t="s">
        <v>1678</v>
      </c>
      <c r="N14" s="6">
        <v>5.8615199999999996</v>
      </c>
    </row>
    <row r="15" spans="1:14" ht="13.15" x14ac:dyDescent="0.4">
      <c r="A15" s="13"/>
      <c r="B15" s="17" t="s">
        <v>1679</v>
      </c>
      <c r="F15" s="11" t="s">
        <v>1655</v>
      </c>
      <c r="G15" s="11" t="s">
        <v>1656</v>
      </c>
      <c r="H15" s="11" t="s">
        <v>1680</v>
      </c>
      <c r="I15" s="11">
        <v>1.7799</v>
      </c>
      <c r="L15" s="6" t="s">
        <v>1681</v>
      </c>
      <c r="M15" s="6" t="s">
        <v>1682</v>
      </c>
      <c r="N15" s="6">
        <v>1E-3</v>
      </c>
    </row>
    <row r="16" spans="1:14" ht="13.15" x14ac:dyDescent="0.4">
      <c r="A16" s="13"/>
      <c r="B16" s="17" t="s">
        <v>1683</v>
      </c>
      <c r="F16" s="11" t="s">
        <v>1655</v>
      </c>
      <c r="G16" s="11" t="s">
        <v>1656</v>
      </c>
      <c r="H16" s="11" t="s">
        <v>1684</v>
      </c>
      <c r="I16" s="11">
        <v>1.722</v>
      </c>
      <c r="L16" s="6" t="s">
        <v>1685</v>
      </c>
      <c r="M16" s="6" t="s">
        <v>275</v>
      </c>
      <c r="N16" s="6">
        <v>1000</v>
      </c>
    </row>
    <row r="17" spans="1:14" ht="13.15" x14ac:dyDescent="0.4">
      <c r="A17" s="13"/>
      <c r="B17" s="17" t="s">
        <v>1686</v>
      </c>
      <c r="F17" s="11" t="s">
        <v>1655</v>
      </c>
      <c r="G17" s="11" t="s">
        <v>1656</v>
      </c>
      <c r="H17" s="11" t="s">
        <v>1687</v>
      </c>
      <c r="I17" s="11">
        <v>1.6836</v>
      </c>
      <c r="L17" s="6" t="s">
        <v>1688</v>
      </c>
      <c r="M17" s="6" t="s">
        <v>275</v>
      </c>
      <c r="N17" s="6">
        <v>37.68</v>
      </c>
    </row>
    <row r="18" spans="1:14" ht="13.15" x14ac:dyDescent="0.4">
      <c r="B18" s="17" t="s">
        <v>1689</v>
      </c>
      <c r="F18" s="11" t="s">
        <v>1655</v>
      </c>
      <c r="G18" s="11" t="s">
        <v>1656</v>
      </c>
      <c r="H18" s="11" t="s">
        <v>1690</v>
      </c>
      <c r="I18" s="11">
        <v>1.6446000000000001</v>
      </c>
      <c r="L18" s="6" t="s">
        <v>1691</v>
      </c>
      <c r="M18" s="6" t="s">
        <v>275</v>
      </c>
      <c r="N18" s="6">
        <v>2139.4548</v>
      </c>
    </row>
    <row r="19" spans="1:14" ht="13.15" x14ac:dyDescent="0.4">
      <c r="B19" s="17" t="s">
        <v>1692</v>
      </c>
      <c r="F19" s="11" t="s">
        <v>1655</v>
      </c>
      <c r="G19" s="11" t="s">
        <v>1656</v>
      </c>
      <c r="H19" s="11" t="s">
        <v>1693</v>
      </c>
      <c r="I19" s="11">
        <v>1.6102000000000001</v>
      </c>
      <c r="L19" s="6" t="s">
        <v>1694</v>
      </c>
      <c r="M19" s="6" t="s">
        <v>1695</v>
      </c>
      <c r="N19" s="6">
        <v>2.78</v>
      </c>
    </row>
    <row r="20" spans="1:14" ht="13.15" x14ac:dyDescent="0.4">
      <c r="B20" s="17" t="s">
        <v>1696</v>
      </c>
      <c r="F20" s="11" t="s">
        <v>1655</v>
      </c>
      <c r="G20" s="11" t="s">
        <v>1656</v>
      </c>
      <c r="H20" s="11" t="s">
        <v>1697</v>
      </c>
      <c r="I20" s="11">
        <v>1.5770999999999999</v>
      </c>
      <c r="L20" s="6" t="s">
        <v>1698</v>
      </c>
      <c r="M20" s="6" t="s">
        <v>275</v>
      </c>
      <c r="N20" s="6">
        <v>3.6</v>
      </c>
    </row>
    <row r="21" spans="1:14" ht="13.15" x14ac:dyDescent="0.4">
      <c r="B21" s="17" t="s">
        <v>1699</v>
      </c>
      <c r="F21" s="11" t="s">
        <v>1655</v>
      </c>
      <c r="G21" s="11" t="s">
        <v>1656</v>
      </c>
      <c r="H21" s="11" t="s">
        <v>1700</v>
      </c>
      <c r="I21" s="11">
        <v>1.5488</v>
      </c>
      <c r="L21" s="6" t="s">
        <v>275</v>
      </c>
      <c r="M21" s="6" t="s">
        <v>275</v>
      </c>
      <c r="N21" s="6">
        <v>1</v>
      </c>
    </row>
    <row r="22" spans="1:14" ht="13.15" x14ac:dyDescent="0.4">
      <c r="B22" s="17" t="s">
        <v>1701</v>
      </c>
      <c r="F22" s="11" t="s">
        <v>1655</v>
      </c>
      <c r="G22" s="11" t="s">
        <v>1656</v>
      </c>
      <c r="H22" s="11" t="s">
        <v>1702</v>
      </c>
      <c r="I22" s="11">
        <v>1.5224</v>
      </c>
      <c r="L22" s="6" t="s">
        <v>1703</v>
      </c>
      <c r="M22" s="6" t="s">
        <v>275</v>
      </c>
      <c r="N22" s="6">
        <v>31.536000000000001</v>
      </c>
    </row>
    <row r="23" spans="1:14" ht="13.15" x14ac:dyDescent="0.4">
      <c r="B23" s="17" t="s">
        <v>1704</v>
      </c>
      <c r="F23" s="11" t="s">
        <v>1655</v>
      </c>
      <c r="G23" s="11" t="s">
        <v>1656</v>
      </c>
      <c r="H23" s="11" t="s">
        <v>1705</v>
      </c>
      <c r="I23" s="11">
        <v>1.5058</v>
      </c>
      <c r="L23" s="6" t="s">
        <v>1706</v>
      </c>
      <c r="M23" s="6" t="s">
        <v>275</v>
      </c>
      <c r="N23" s="6">
        <v>120</v>
      </c>
    </row>
    <row r="24" spans="1:14" ht="13.15" x14ac:dyDescent="0.4">
      <c r="B24" s="17" t="s">
        <v>1707</v>
      </c>
      <c r="F24" s="11" t="s">
        <v>1655</v>
      </c>
      <c r="G24" s="11" t="s">
        <v>1656</v>
      </c>
      <c r="H24" s="11" t="s">
        <v>1708</v>
      </c>
      <c r="I24" s="11">
        <v>1.4844999999999999</v>
      </c>
      <c r="L24" s="11" t="s">
        <v>1709</v>
      </c>
      <c r="M24" s="11" t="s">
        <v>275</v>
      </c>
      <c r="N24" s="11">
        <v>5.8615199999999996</v>
      </c>
    </row>
    <row r="25" spans="1:14" ht="13.15" x14ac:dyDescent="0.4">
      <c r="B25" s="17" t="s">
        <v>1710</v>
      </c>
      <c r="F25" s="11" t="s">
        <v>1655</v>
      </c>
      <c r="G25" s="11" t="s">
        <v>1656</v>
      </c>
      <c r="H25" s="11" t="s">
        <v>1665</v>
      </c>
      <c r="I25" s="11">
        <v>1.4518</v>
      </c>
      <c r="L25" s="11" t="s">
        <v>1711</v>
      </c>
      <c r="M25" s="11" t="s">
        <v>275</v>
      </c>
      <c r="N25" s="11">
        <v>54</v>
      </c>
    </row>
    <row r="26" spans="1:14" ht="13.15" x14ac:dyDescent="0.4">
      <c r="B26" s="17" t="s">
        <v>1712</v>
      </c>
      <c r="F26" s="11" t="s">
        <v>1655</v>
      </c>
      <c r="G26" s="11" t="s">
        <v>1656</v>
      </c>
      <c r="H26" s="11" t="s">
        <v>1668</v>
      </c>
      <c r="I26" s="11">
        <v>1.4198999999999999</v>
      </c>
    </row>
    <row r="27" spans="1:14" ht="13.15" x14ac:dyDescent="0.4">
      <c r="B27" s="17" t="s">
        <v>1713</v>
      </c>
      <c r="F27" s="11" t="s">
        <v>1655</v>
      </c>
      <c r="G27" s="11" t="s">
        <v>1656</v>
      </c>
      <c r="H27" s="11" t="s">
        <v>1671</v>
      </c>
      <c r="I27" s="11">
        <v>1.3986000000000001</v>
      </c>
    </row>
    <row r="28" spans="1:14" ht="13.15" x14ac:dyDescent="0.4">
      <c r="B28" s="17" t="s">
        <v>1714</v>
      </c>
      <c r="F28" s="11" t="s">
        <v>1655</v>
      </c>
      <c r="G28" s="11" t="s">
        <v>1656</v>
      </c>
      <c r="H28" s="11" t="s">
        <v>1675</v>
      </c>
      <c r="I28" s="11">
        <v>1.3727</v>
      </c>
    </row>
    <row r="29" spans="1:14" ht="13.15" x14ac:dyDescent="0.4">
      <c r="B29" s="17" t="s">
        <v>1715</v>
      </c>
      <c r="F29" s="11" t="s">
        <v>1655</v>
      </c>
      <c r="G29" s="11" t="s">
        <v>1656</v>
      </c>
      <c r="H29" s="11" t="s">
        <v>1679</v>
      </c>
      <c r="I29" s="11">
        <v>1.3369</v>
      </c>
    </row>
    <row r="30" spans="1:14" ht="13.15" x14ac:dyDescent="0.4">
      <c r="B30" s="17" t="s">
        <v>1716</v>
      </c>
      <c r="F30" s="11" t="s">
        <v>1655</v>
      </c>
      <c r="G30" s="11" t="s">
        <v>1656</v>
      </c>
      <c r="H30" s="11" t="s">
        <v>1683</v>
      </c>
      <c r="I30" s="11">
        <v>1.2967</v>
      </c>
    </row>
    <row r="31" spans="1:14" ht="13.15" x14ac:dyDescent="0.4">
      <c r="B31" s="17" t="s">
        <v>1656</v>
      </c>
      <c r="F31" s="11" t="s">
        <v>1655</v>
      </c>
      <c r="G31" s="11" t="s">
        <v>1656</v>
      </c>
      <c r="H31" s="11" t="s">
        <v>1686</v>
      </c>
      <c r="I31" s="11">
        <v>1.2583</v>
      </c>
    </row>
    <row r="32" spans="1:14" ht="13.15" x14ac:dyDescent="0.4">
      <c r="B32" s="17" t="s">
        <v>1717</v>
      </c>
      <c r="F32" s="11" t="s">
        <v>1655</v>
      </c>
      <c r="G32" s="11" t="s">
        <v>1656</v>
      </c>
      <c r="H32" s="11" t="s">
        <v>1689</v>
      </c>
      <c r="I32" s="11">
        <v>1.2253000000000001</v>
      </c>
    </row>
    <row r="33" spans="2:9" ht="13.15" x14ac:dyDescent="0.4">
      <c r="B33" s="17" t="s">
        <v>1718</v>
      </c>
      <c r="F33" s="11" t="s">
        <v>1655</v>
      </c>
      <c r="G33" s="11" t="s">
        <v>1656</v>
      </c>
      <c r="H33" s="11" t="s">
        <v>1692</v>
      </c>
      <c r="I33" s="11">
        <v>1.2023999999999999</v>
      </c>
    </row>
    <row r="34" spans="2:9" ht="13.15" x14ac:dyDescent="0.4">
      <c r="B34" s="17" t="s">
        <v>1719</v>
      </c>
      <c r="F34" s="11" t="s">
        <v>1655</v>
      </c>
      <c r="G34" s="11" t="s">
        <v>1656</v>
      </c>
      <c r="H34" s="11" t="s">
        <v>1696</v>
      </c>
      <c r="I34" s="11">
        <v>1.1931</v>
      </c>
    </row>
    <row r="35" spans="2:9" ht="13.15" x14ac:dyDescent="0.4">
      <c r="B35" s="17" t="s">
        <v>1720</v>
      </c>
      <c r="F35" s="11" t="s">
        <v>1655</v>
      </c>
      <c r="G35" s="11" t="s">
        <v>1656</v>
      </c>
      <c r="H35" s="11" t="s">
        <v>1699</v>
      </c>
      <c r="I35" s="11">
        <v>1.1793</v>
      </c>
    </row>
    <row r="36" spans="2:9" ht="13.15" x14ac:dyDescent="0.4">
      <c r="B36" s="17" t="s">
        <v>1640</v>
      </c>
      <c r="F36" s="11" t="s">
        <v>1655</v>
      </c>
      <c r="G36" s="11" t="s">
        <v>1656</v>
      </c>
      <c r="H36" s="11" t="s">
        <v>1701</v>
      </c>
      <c r="I36" s="11">
        <v>1.1552</v>
      </c>
    </row>
    <row r="37" spans="2:9" ht="13.15" x14ac:dyDescent="0.4">
      <c r="B37" s="17" t="s">
        <v>1657</v>
      </c>
      <c r="F37" s="11" t="s">
        <v>1655</v>
      </c>
      <c r="G37" s="11" t="s">
        <v>1656</v>
      </c>
      <c r="H37" s="11" t="s">
        <v>1704</v>
      </c>
      <c r="I37" s="11">
        <v>1.1334</v>
      </c>
    </row>
    <row r="38" spans="2:9" ht="13.15" x14ac:dyDescent="0.4">
      <c r="B38" s="17" t="s">
        <v>1660</v>
      </c>
      <c r="F38" s="11" t="s">
        <v>1655</v>
      </c>
      <c r="G38" s="11" t="s">
        <v>1656</v>
      </c>
      <c r="H38" s="11" t="s">
        <v>1707</v>
      </c>
      <c r="I38" s="11">
        <v>1.1136999999999999</v>
      </c>
    </row>
    <row r="39" spans="2:9" ht="13.15" x14ac:dyDescent="0.4">
      <c r="B39" s="17" t="s">
        <v>1663</v>
      </c>
      <c r="F39" s="11" t="s">
        <v>1655</v>
      </c>
      <c r="G39" s="11" t="s">
        <v>1656</v>
      </c>
      <c r="H39" s="11" t="s">
        <v>1710</v>
      </c>
      <c r="I39" s="11">
        <v>1.0934999999999999</v>
      </c>
    </row>
    <row r="40" spans="2:9" ht="13.15" x14ac:dyDescent="0.4">
      <c r="B40" s="17" t="s">
        <v>1666</v>
      </c>
      <c r="F40" s="11" t="s">
        <v>1655</v>
      </c>
      <c r="G40" s="11" t="s">
        <v>1656</v>
      </c>
      <c r="H40" s="11" t="s">
        <v>1712</v>
      </c>
      <c r="I40" s="11">
        <v>1.0831</v>
      </c>
    </row>
    <row r="41" spans="2:9" ht="13.15" x14ac:dyDescent="0.4">
      <c r="B41" s="17" t="s">
        <v>1669</v>
      </c>
      <c r="F41" s="11" t="s">
        <v>1655</v>
      </c>
      <c r="G41" s="11" t="s">
        <v>1656</v>
      </c>
      <c r="H41" s="11" t="s">
        <v>1713</v>
      </c>
      <c r="I41" s="11">
        <v>1.0719000000000001</v>
      </c>
    </row>
    <row r="42" spans="2:9" ht="13.15" x14ac:dyDescent="0.4">
      <c r="B42" s="17" t="s">
        <v>1672</v>
      </c>
      <c r="F42" s="11" t="s">
        <v>1655</v>
      </c>
      <c r="G42" s="11" t="s">
        <v>1656</v>
      </c>
      <c r="H42" s="11" t="s">
        <v>1714</v>
      </c>
      <c r="I42" s="11">
        <v>1.0519000000000001</v>
      </c>
    </row>
    <row r="43" spans="2:9" ht="13.15" x14ac:dyDescent="0.4">
      <c r="B43" s="17" t="s">
        <v>1676</v>
      </c>
      <c r="F43" s="11" t="s">
        <v>1655</v>
      </c>
      <c r="G43" s="11" t="s">
        <v>1656</v>
      </c>
      <c r="H43" s="11" t="s">
        <v>1715</v>
      </c>
      <c r="I43" s="11">
        <v>1.0274000000000001</v>
      </c>
    </row>
    <row r="44" spans="2:9" ht="13.15" x14ac:dyDescent="0.4">
      <c r="B44" s="17" t="s">
        <v>1680</v>
      </c>
      <c r="F44" s="11" t="s">
        <v>1655</v>
      </c>
      <c r="G44" s="11" t="s">
        <v>1656</v>
      </c>
      <c r="H44" s="11" t="s">
        <v>1716</v>
      </c>
      <c r="I44" s="11">
        <v>1.0091000000000001</v>
      </c>
    </row>
    <row r="45" spans="2:9" ht="13.15" x14ac:dyDescent="0.4">
      <c r="B45" s="17" t="s">
        <v>1684</v>
      </c>
      <c r="F45" s="11" t="s">
        <v>1721</v>
      </c>
      <c r="G45" s="11" t="s">
        <v>1656</v>
      </c>
      <c r="H45" s="11" t="s">
        <v>1656</v>
      </c>
      <c r="I45" s="11">
        <v>1</v>
      </c>
    </row>
    <row r="46" spans="2:9" ht="13.15" x14ac:dyDescent="0.4">
      <c r="B46" s="17" t="s">
        <v>1687</v>
      </c>
      <c r="F46" s="11" t="s">
        <v>1655</v>
      </c>
      <c r="G46" s="11" t="s">
        <v>1656</v>
      </c>
      <c r="H46" s="11" t="s">
        <v>1717</v>
      </c>
      <c r="I46" s="11">
        <v>0.98960000000000004</v>
      </c>
    </row>
    <row r="47" spans="2:9" ht="13.15" x14ac:dyDescent="0.4">
      <c r="B47" s="17" t="s">
        <v>1690</v>
      </c>
      <c r="F47" s="11" t="s">
        <v>1655</v>
      </c>
      <c r="G47" s="11" t="s">
        <v>1656</v>
      </c>
      <c r="H47" s="11" t="s">
        <v>1718</v>
      </c>
      <c r="I47" s="11">
        <v>0.97809999999999997</v>
      </c>
    </row>
    <row r="48" spans="2:9" ht="13.15" x14ac:dyDescent="0.4">
      <c r="B48" s="17" t="s">
        <v>1693</v>
      </c>
      <c r="F48" s="11" t="s">
        <v>1655</v>
      </c>
      <c r="G48" s="11" t="s">
        <v>1656</v>
      </c>
      <c r="H48" s="11" t="s">
        <v>1719</v>
      </c>
      <c r="I48" s="11">
        <v>0.96499999999999997</v>
      </c>
    </row>
    <row r="49" spans="2:9" ht="13.15" x14ac:dyDescent="0.4">
      <c r="B49" s="17" t="s">
        <v>1697</v>
      </c>
      <c r="F49" s="11" t="s">
        <v>1655</v>
      </c>
      <c r="G49" s="11" t="s">
        <v>1656</v>
      </c>
      <c r="H49" s="11" t="s">
        <v>1720</v>
      </c>
      <c r="I49" s="11">
        <v>0.94910000000000005</v>
      </c>
    </row>
    <row r="50" spans="2:9" ht="13.15" x14ac:dyDescent="0.4">
      <c r="B50" s="17" t="s">
        <v>1700</v>
      </c>
      <c r="F50" s="11" t="s">
        <v>1655</v>
      </c>
      <c r="G50" s="11" t="s">
        <v>1656</v>
      </c>
      <c r="H50" s="11" t="s">
        <v>1640</v>
      </c>
      <c r="I50" s="11">
        <v>0.92969999999999997</v>
      </c>
    </row>
    <row r="51" spans="2:9" ht="13.15" x14ac:dyDescent="0.4">
      <c r="B51" s="17" t="s">
        <v>1702</v>
      </c>
      <c r="F51" s="11" t="str">
        <f>F46</f>
        <v>G_CUREX</v>
      </c>
      <c r="G51" s="11" t="str">
        <f t="shared" ref="G51:I51" si="0">G46</f>
        <v>USD20</v>
      </c>
      <c r="H51" s="11" t="s">
        <v>1722</v>
      </c>
      <c r="I51" s="11">
        <f t="shared" si="0"/>
        <v>0.98960000000000004</v>
      </c>
    </row>
    <row r="52" spans="2:9" ht="13.15" x14ac:dyDescent="0.4">
      <c r="B52" s="17" t="s">
        <v>1705</v>
      </c>
      <c r="F52" s="11" t="s">
        <v>1723</v>
      </c>
      <c r="H52" s="11" t="s">
        <v>1657</v>
      </c>
      <c r="I52" s="11">
        <v>7.0000000000000007E-2</v>
      </c>
    </row>
    <row r="53" spans="2:9" ht="13.15" x14ac:dyDescent="0.4">
      <c r="B53" s="17" t="s">
        <v>1708</v>
      </c>
      <c r="F53" s="11" t="s">
        <v>1723</v>
      </c>
      <c r="H53" s="11" t="s">
        <v>1660</v>
      </c>
      <c r="I53" s="11">
        <v>7.0000000000000007E-2</v>
      </c>
    </row>
    <row r="54" spans="2:9" ht="13.15" x14ac:dyDescent="0.4">
      <c r="B54" s="17" t="s">
        <v>1722</v>
      </c>
      <c r="F54" s="11" t="s">
        <v>1723</v>
      </c>
      <c r="H54" s="11" t="s">
        <v>1663</v>
      </c>
      <c r="I54" s="11">
        <v>7.0000000000000007E-2</v>
      </c>
    </row>
    <row r="55" spans="2:9" x14ac:dyDescent="0.35">
      <c r="F55" s="11" t="s">
        <v>1723</v>
      </c>
      <c r="H55" s="11" t="s">
        <v>1666</v>
      </c>
      <c r="I55" s="11">
        <v>7.0000000000000007E-2</v>
      </c>
    </row>
    <row r="56" spans="2:9" x14ac:dyDescent="0.35">
      <c r="F56" s="11" t="s">
        <v>1723</v>
      </c>
      <c r="H56" s="11" t="s">
        <v>1669</v>
      </c>
      <c r="I56" s="11">
        <v>7.0000000000000007E-2</v>
      </c>
    </row>
    <row r="57" spans="2:9" x14ac:dyDescent="0.35">
      <c r="F57" s="11" t="s">
        <v>1723</v>
      </c>
      <c r="H57" s="11" t="s">
        <v>1672</v>
      </c>
      <c r="I57" s="11">
        <v>7.0000000000000007E-2</v>
      </c>
    </row>
    <row r="58" spans="2:9" x14ac:dyDescent="0.35">
      <c r="F58" s="11" t="s">
        <v>1723</v>
      </c>
      <c r="H58" s="11" t="s">
        <v>1676</v>
      </c>
      <c r="I58" s="11">
        <v>7.0000000000000007E-2</v>
      </c>
    </row>
    <row r="59" spans="2:9" x14ac:dyDescent="0.35">
      <c r="F59" s="11" t="s">
        <v>1723</v>
      </c>
      <c r="H59" s="11" t="s">
        <v>1680</v>
      </c>
      <c r="I59" s="11">
        <v>7.0000000000000007E-2</v>
      </c>
    </row>
    <row r="60" spans="2:9" x14ac:dyDescent="0.35">
      <c r="F60" s="11" t="s">
        <v>1723</v>
      </c>
      <c r="H60" s="11" t="s">
        <v>1684</v>
      </c>
      <c r="I60" s="11">
        <v>7.0000000000000007E-2</v>
      </c>
    </row>
    <row r="61" spans="2:9" x14ac:dyDescent="0.35">
      <c r="F61" s="11" t="s">
        <v>1723</v>
      </c>
      <c r="H61" s="11" t="s">
        <v>1687</v>
      </c>
      <c r="I61" s="11">
        <v>7.0000000000000007E-2</v>
      </c>
    </row>
    <row r="62" spans="2:9" x14ac:dyDescent="0.35">
      <c r="F62" s="11" t="s">
        <v>1723</v>
      </c>
      <c r="H62" s="11" t="s">
        <v>1690</v>
      </c>
      <c r="I62" s="11">
        <v>7.0000000000000007E-2</v>
      </c>
    </row>
    <row r="63" spans="2:9" x14ac:dyDescent="0.35">
      <c r="F63" s="11" t="s">
        <v>1723</v>
      </c>
      <c r="H63" s="11" t="s">
        <v>1693</v>
      </c>
      <c r="I63" s="11">
        <v>7.0000000000000007E-2</v>
      </c>
    </row>
    <row r="64" spans="2:9" x14ac:dyDescent="0.35">
      <c r="F64" s="11" t="s">
        <v>1723</v>
      </c>
      <c r="H64" s="11" t="s">
        <v>1697</v>
      </c>
      <c r="I64" s="11">
        <v>7.0000000000000007E-2</v>
      </c>
    </row>
    <row r="65" spans="6:9" x14ac:dyDescent="0.35">
      <c r="F65" s="11" t="s">
        <v>1723</v>
      </c>
      <c r="H65" s="11" t="s">
        <v>1700</v>
      </c>
      <c r="I65" s="11">
        <v>7.0000000000000007E-2</v>
      </c>
    </row>
    <row r="66" spans="6:9" x14ac:dyDescent="0.35">
      <c r="F66" s="11" t="s">
        <v>1723</v>
      </c>
      <c r="H66" s="11" t="s">
        <v>1702</v>
      </c>
      <c r="I66" s="11">
        <v>7.0000000000000007E-2</v>
      </c>
    </row>
    <row r="67" spans="6:9" x14ac:dyDescent="0.35">
      <c r="F67" s="11" t="s">
        <v>1723</v>
      </c>
      <c r="H67" s="11" t="s">
        <v>1705</v>
      </c>
      <c r="I67" s="11">
        <v>7.0000000000000007E-2</v>
      </c>
    </row>
    <row r="68" spans="6:9" x14ac:dyDescent="0.35">
      <c r="F68" s="11" t="s">
        <v>1723</v>
      </c>
      <c r="H68" s="11" t="s">
        <v>1708</v>
      </c>
      <c r="I68" s="11">
        <v>7.0000000000000007E-2</v>
      </c>
    </row>
    <row r="69" spans="6:9" x14ac:dyDescent="0.35">
      <c r="F69" s="11" t="s">
        <v>1723</v>
      </c>
      <c r="H69" s="11" t="s">
        <v>1665</v>
      </c>
      <c r="I69" s="11">
        <v>7.0000000000000007E-2</v>
      </c>
    </row>
    <row r="70" spans="6:9" x14ac:dyDescent="0.35">
      <c r="F70" s="11" t="s">
        <v>1723</v>
      </c>
      <c r="H70" s="11" t="s">
        <v>1668</v>
      </c>
      <c r="I70" s="11">
        <v>7.0000000000000007E-2</v>
      </c>
    </row>
    <row r="71" spans="6:9" x14ac:dyDescent="0.35">
      <c r="F71" s="11" t="s">
        <v>1723</v>
      </c>
      <c r="H71" s="11" t="s">
        <v>1671</v>
      </c>
      <c r="I71" s="11">
        <v>7.0000000000000007E-2</v>
      </c>
    </row>
    <row r="72" spans="6:9" x14ac:dyDescent="0.35">
      <c r="F72" s="11" t="s">
        <v>1723</v>
      </c>
      <c r="H72" s="11" t="s">
        <v>1675</v>
      </c>
      <c r="I72" s="11">
        <v>7.0000000000000007E-2</v>
      </c>
    </row>
    <row r="73" spans="6:9" x14ac:dyDescent="0.35">
      <c r="F73" s="11" t="s">
        <v>1723</v>
      </c>
      <c r="H73" s="11" t="s">
        <v>1679</v>
      </c>
      <c r="I73" s="11">
        <v>7.0000000000000007E-2</v>
      </c>
    </row>
    <row r="74" spans="6:9" x14ac:dyDescent="0.35">
      <c r="F74" s="11" t="s">
        <v>1723</v>
      </c>
      <c r="H74" s="11" t="s">
        <v>1683</v>
      </c>
      <c r="I74" s="11">
        <v>7.0000000000000007E-2</v>
      </c>
    </row>
    <row r="75" spans="6:9" x14ac:dyDescent="0.35">
      <c r="F75" s="11" t="s">
        <v>1723</v>
      </c>
      <c r="H75" s="11" t="s">
        <v>1686</v>
      </c>
      <c r="I75" s="11">
        <v>7.0000000000000007E-2</v>
      </c>
    </row>
    <row r="76" spans="6:9" x14ac:dyDescent="0.35">
      <c r="F76" s="11" t="s">
        <v>1723</v>
      </c>
      <c r="H76" s="11" t="s">
        <v>1689</v>
      </c>
      <c r="I76" s="11">
        <v>7.0000000000000007E-2</v>
      </c>
    </row>
    <row r="77" spans="6:9" x14ac:dyDescent="0.35">
      <c r="F77" s="11" t="s">
        <v>1723</v>
      </c>
      <c r="H77" s="11" t="s">
        <v>1692</v>
      </c>
      <c r="I77" s="11">
        <v>7.0000000000000007E-2</v>
      </c>
    </row>
    <row r="78" spans="6:9" x14ac:dyDescent="0.35">
      <c r="F78" s="11" t="s">
        <v>1723</v>
      </c>
      <c r="H78" s="11" t="s">
        <v>1696</v>
      </c>
      <c r="I78" s="11">
        <v>7.0000000000000007E-2</v>
      </c>
    </row>
    <row r="79" spans="6:9" x14ac:dyDescent="0.35">
      <c r="F79" s="11" t="s">
        <v>1723</v>
      </c>
      <c r="H79" s="11" t="s">
        <v>1699</v>
      </c>
      <c r="I79" s="11">
        <v>7.0000000000000007E-2</v>
      </c>
    </row>
    <row r="80" spans="6:9" x14ac:dyDescent="0.35">
      <c r="F80" s="11" t="s">
        <v>1723</v>
      </c>
      <c r="H80" s="11" t="s">
        <v>1701</v>
      </c>
      <c r="I80" s="11">
        <v>7.0000000000000007E-2</v>
      </c>
    </row>
    <row r="81" spans="6:9" x14ac:dyDescent="0.35">
      <c r="F81" s="11" t="s">
        <v>1723</v>
      </c>
      <c r="H81" s="11" t="s">
        <v>1704</v>
      </c>
      <c r="I81" s="11">
        <v>7.0000000000000007E-2</v>
      </c>
    </row>
    <row r="82" spans="6:9" x14ac:dyDescent="0.35">
      <c r="F82" s="11" t="s">
        <v>1723</v>
      </c>
      <c r="H82" s="11" t="s">
        <v>1707</v>
      </c>
      <c r="I82" s="11">
        <v>7.0000000000000007E-2</v>
      </c>
    </row>
    <row r="83" spans="6:9" x14ac:dyDescent="0.35">
      <c r="F83" s="11" t="s">
        <v>1723</v>
      </c>
      <c r="H83" s="11" t="s">
        <v>1710</v>
      </c>
      <c r="I83" s="11">
        <v>7.0000000000000007E-2</v>
      </c>
    </row>
    <row r="84" spans="6:9" x14ac:dyDescent="0.35">
      <c r="F84" s="11" t="s">
        <v>1723</v>
      </c>
      <c r="H84" s="11" t="s">
        <v>1712</v>
      </c>
      <c r="I84" s="11">
        <v>7.0000000000000007E-2</v>
      </c>
    </row>
    <row r="85" spans="6:9" x14ac:dyDescent="0.35">
      <c r="F85" s="11" t="s">
        <v>1723</v>
      </c>
      <c r="H85" s="11" t="s">
        <v>1713</v>
      </c>
      <c r="I85" s="11">
        <v>7.0000000000000007E-2</v>
      </c>
    </row>
    <row r="86" spans="6:9" x14ac:dyDescent="0.35">
      <c r="F86" s="11" t="s">
        <v>1723</v>
      </c>
      <c r="H86" s="11" t="s">
        <v>1714</v>
      </c>
      <c r="I86" s="11">
        <v>7.0000000000000007E-2</v>
      </c>
    </row>
    <row r="87" spans="6:9" x14ac:dyDescent="0.35">
      <c r="F87" s="11" t="s">
        <v>1723</v>
      </c>
      <c r="H87" s="11" t="s">
        <v>1715</v>
      </c>
      <c r="I87" s="11">
        <v>7.0000000000000007E-2</v>
      </c>
    </row>
    <row r="88" spans="6:9" x14ac:dyDescent="0.35">
      <c r="F88" s="11" t="s">
        <v>1723</v>
      </c>
      <c r="H88" s="11" t="s">
        <v>1716</v>
      </c>
      <c r="I88" s="11">
        <v>7.0000000000000007E-2</v>
      </c>
    </row>
    <row r="89" spans="6:9" x14ac:dyDescent="0.35">
      <c r="F89" s="11" t="s">
        <v>1723</v>
      </c>
      <c r="H89" s="11" t="s">
        <v>1656</v>
      </c>
      <c r="I89" s="11">
        <v>7.0000000000000007E-2</v>
      </c>
    </row>
    <row r="90" spans="6:9" x14ac:dyDescent="0.35">
      <c r="F90" s="11" t="s">
        <v>1723</v>
      </c>
      <c r="H90" s="11" t="s">
        <v>1717</v>
      </c>
      <c r="I90" s="11">
        <v>7.0000000000000007E-2</v>
      </c>
    </row>
    <row r="91" spans="6:9" x14ac:dyDescent="0.35">
      <c r="F91" s="11" t="s">
        <v>1723</v>
      </c>
      <c r="H91" s="11" t="s">
        <v>1718</v>
      </c>
      <c r="I91" s="11">
        <v>7.0000000000000007E-2</v>
      </c>
    </row>
    <row r="92" spans="6:9" x14ac:dyDescent="0.35">
      <c r="F92" s="11" t="s">
        <v>1723</v>
      </c>
      <c r="H92" s="11" t="s">
        <v>1719</v>
      </c>
      <c r="I92" s="11">
        <v>7.0000000000000007E-2</v>
      </c>
    </row>
    <row r="93" spans="6:9" x14ac:dyDescent="0.35">
      <c r="F93" s="11" t="s">
        <v>1723</v>
      </c>
      <c r="H93" s="11" t="s">
        <v>1720</v>
      </c>
      <c r="I93" s="11">
        <v>7.0000000000000007E-2</v>
      </c>
    </row>
    <row r="94" spans="6:9" x14ac:dyDescent="0.35">
      <c r="F94" s="11" t="s">
        <v>1723</v>
      </c>
      <c r="H94" s="11" t="s">
        <v>1640</v>
      </c>
      <c r="I94" s="11">
        <v>7.0000000000000007E-2</v>
      </c>
    </row>
    <row r="95" spans="6:9" x14ac:dyDescent="0.35">
      <c r="F95" s="11" t="s">
        <v>1723</v>
      </c>
      <c r="H95" s="11" t="str">
        <f>H51</f>
        <v>USD21_alt</v>
      </c>
      <c r="I95" s="11">
        <v>7.0000000000000007E-2</v>
      </c>
    </row>
    <row r="99" spans="5:10" ht="17.25" thickBot="1" x14ac:dyDescent="0.55000000000000004">
      <c r="E99" s="16" t="s">
        <v>1632</v>
      </c>
    </row>
    <row r="100" spans="5:10" ht="15" thickTop="1" thickBot="1" x14ac:dyDescent="0.5">
      <c r="E100" s="5" t="s">
        <v>1606</v>
      </c>
      <c r="F100" s="5" t="s">
        <v>1608</v>
      </c>
      <c r="G100" s="5" t="s">
        <v>1635</v>
      </c>
      <c r="H100" s="5" t="s">
        <v>1636</v>
      </c>
      <c r="I100" s="5">
        <v>2022</v>
      </c>
      <c r="J100" s="5" t="s">
        <v>1613</v>
      </c>
    </row>
    <row r="101" spans="5:10" ht="14.25" x14ac:dyDescent="0.45">
      <c r="E101"/>
      <c r="F101" s="18" t="s">
        <v>1655</v>
      </c>
      <c r="G101" s="18" t="s">
        <v>1656</v>
      </c>
      <c r="H101" s="18" t="s">
        <v>1646</v>
      </c>
      <c r="I101" s="19">
        <f>1.10926234054354*I40</f>
        <v>1.201442041042708</v>
      </c>
    </row>
    <row r="102" spans="5:10" ht="14.25" x14ac:dyDescent="0.45">
      <c r="E102"/>
      <c r="F102" s="18" t="s">
        <v>1723</v>
      </c>
      <c r="G102"/>
      <c r="H102" s="18" t="s">
        <v>1646</v>
      </c>
      <c r="I102" s="19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A42E-E4F8-4674-9918-A24AF5FCC935}">
  <dimension ref="B3:D33"/>
  <sheetViews>
    <sheetView tabSelected="1" workbookViewId="0"/>
  </sheetViews>
  <sheetFormatPr defaultColWidth="8.86328125" defaultRowHeight="12.75" x14ac:dyDescent="0.3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 x14ac:dyDescent="0.55000000000000004">
      <c r="B3" s="16" t="s">
        <v>1623</v>
      </c>
    </row>
    <row r="4" spans="2:4" ht="15" thickTop="1" thickBot="1" x14ac:dyDescent="0.5">
      <c r="B4" s="5" t="s">
        <v>1608</v>
      </c>
      <c r="C4" s="5" t="s">
        <v>1635</v>
      </c>
      <c r="D4" s="5" t="s">
        <v>1610</v>
      </c>
    </row>
    <row r="5" spans="2:4" x14ac:dyDescent="0.35">
      <c r="B5" s="6" t="s">
        <v>1724</v>
      </c>
      <c r="C5" s="6" t="s">
        <v>1725</v>
      </c>
      <c r="D5" s="6">
        <v>-1</v>
      </c>
    </row>
    <row r="6" spans="2:4" x14ac:dyDescent="0.35">
      <c r="B6" s="6" t="s">
        <v>1724</v>
      </c>
      <c r="C6" s="6" t="s">
        <v>1726</v>
      </c>
      <c r="D6" s="6">
        <v>1</v>
      </c>
    </row>
    <row r="7" spans="2:4" x14ac:dyDescent="0.35">
      <c r="B7" s="6" t="s">
        <v>1724</v>
      </c>
      <c r="C7" s="6" t="s">
        <v>1727</v>
      </c>
      <c r="D7" s="6">
        <v>1</v>
      </c>
    </row>
    <row r="8" spans="2:4" x14ac:dyDescent="0.35">
      <c r="B8" s="6" t="s">
        <v>1724</v>
      </c>
      <c r="C8" s="6" t="s">
        <v>1728</v>
      </c>
      <c r="D8" s="6">
        <v>1</v>
      </c>
    </row>
    <row r="9" spans="2:4" x14ac:dyDescent="0.35">
      <c r="B9" s="6" t="s">
        <v>1724</v>
      </c>
      <c r="C9" s="6" t="s">
        <v>1729</v>
      </c>
      <c r="D9" s="6">
        <v>1</v>
      </c>
    </row>
    <row r="10" spans="2:4" x14ac:dyDescent="0.35">
      <c r="B10" s="6" t="s">
        <v>1724</v>
      </c>
      <c r="C10" s="6" t="s">
        <v>1730</v>
      </c>
      <c r="D10" s="6">
        <v>1</v>
      </c>
    </row>
    <row r="11" spans="2:4" x14ac:dyDescent="0.35">
      <c r="B11" s="6" t="s">
        <v>1724</v>
      </c>
      <c r="C11" s="6" t="s">
        <v>1731</v>
      </c>
      <c r="D11" s="6">
        <v>1</v>
      </c>
    </row>
    <row r="12" spans="2:4" x14ac:dyDescent="0.35">
      <c r="B12" s="6" t="s">
        <v>1724</v>
      </c>
      <c r="C12" s="6" t="s">
        <v>1726</v>
      </c>
      <c r="D12" s="6">
        <v>1</v>
      </c>
    </row>
    <row r="13" spans="2:4" x14ac:dyDescent="0.35">
      <c r="B13" s="6" t="s">
        <v>1724</v>
      </c>
      <c r="C13" s="6" t="s">
        <v>1732</v>
      </c>
      <c r="D13" s="6">
        <v>1</v>
      </c>
    </row>
    <row r="14" spans="2:4" x14ac:dyDescent="0.35">
      <c r="B14" s="6" t="s">
        <v>1724</v>
      </c>
      <c r="C14" s="6" t="s">
        <v>1733</v>
      </c>
      <c r="D14" s="6">
        <v>2</v>
      </c>
    </row>
    <row r="15" spans="2:4" x14ac:dyDescent="0.35">
      <c r="B15" s="6" t="s">
        <v>1724</v>
      </c>
      <c r="C15" s="6" t="s">
        <v>1734</v>
      </c>
      <c r="D15" s="6">
        <v>1</v>
      </c>
    </row>
    <row r="16" spans="2:4" x14ac:dyDescent="0.35">
      <c r="B16" s="6" t="s">
        <v>1724</v>
      </c>
      <c r="C16" s="6" t="s">
        <v>1735</v>
      </c>
      <c r="D16" s="20">
        <v>1.0000000000000001E-5</v>
      </c>
    </row>
    <row r="17" spans="2:4" x14ac:dyDescent="0.35">
      <c r="B17" s="6" t="s">
        <v>1724</v>
      </c>
      <c r="C17" s="6" t="s">
        <v>1736</v>
      </c>
      <c r="D17" s="20">
        <v>1.0000000000000001E-5</v>
      </c>
    </row>
    <row r="18" spans="2:4" x14ac:dyDescent="0.35">
      <c r="B18" s="6" t="s">
        <v>1724</v>
      </c>
      <c r="C18" s="6" t="s">
        <v>1737</v>
      </c>
      <c r="D18" s="20">
        <v>1.0000000000000001E-5</v>
      </c>
    </row>
    <row r="19" spans="2:4" x14ac:dyDescent="0.35">
      <c r="B19" s="6" t="s">
        <v>1724</v>
      </c>
      <c r="C19" s="6" t="s">
        <v>1738</v>
      </c>
      <c r="D19" s="20">
        <v>1.0000000000000001E-5</v>
      </c>
    </row>
    <row r="20" spans="2:4" x14ac:dyDescent="0.35">
      <c r="B20" s="6" t="s">
        <v>1739</v>
      </c>
      <c r="C20" s="6" t="s">
        <v>1740</v>
      </c>
      <c r="D20" s="21">
        <v>1</v>
      </c>
    </row>
    <row r="23" spans="2:4" x14ac:dyDescent="0.35">
      <c r="B23" s="22" t="s">
        <v>1741</v>
      </c>
    </row>
    <row r="25" spans="2:4" ht="17.25" thickBot="1" x14ac:dyDescent="0.55000000000000004">
      <c r="B25" s="16" t="s">
        <v>1742</v>
      </c>
    </row>
    <row r="26" spans="2:4" ht="15" thickTop="1" thickBot="1" x14ac:dyDescent="0.5">
      <c r="B26" s="5" t="s">
        <v>248</v>
      </c>
      <c r="C26" s="5" t="s">
        <v>1743</v>
      </c>
    </row>
    <row r="27" spans="2:4" x14ac:dyDescent="0.35">
      <c r="B27" s="6" t="s">
        <v>1744</v>
      </c>
      <c r="C27" s="6" t="s">
        <v>1745</v>
      </c>
    </row>
    <row r="28" spans="2:4" x14ac:dyDescent="0.35">
      <c r="B28" s="6" t="s">
        <v>1746</v>
      </c>
      <c r="C28" s="6" t="s">
        <v>1745</v>
      </c>
    </row>
    <row r="29" spans="2:4" x14ac:dyDescent="0.35">
      <c r="B29" s="6" t="s">
        <v>1747</v>
      </c>
      <c r="C29" s="6" t="s">
        <v>1745</v>
      </c>
    </row>
    <row r="30" spans="2:4" x14ac:dyDescent="0.35">
      <c r="B30" s="6" t="s">
        <v>1748</v>
      </c>
      <c r="C30" s="6" t="s">
        <v>1745</v>
      </c>
    </row>
    <row r="31" spans="2:4" x14ac:dyDescent="0.35">
      <c r="B31" s="6" t="s">
        <v>1749</v>
      </c>
      <c r="C31" s="6" t="s">
        <v>1745</v>
      </c>
    </row>
    <row r="32" spans="2:4" x14ac:dyDescent="0.35">
      <c r="B32" s="6" t="s">
        <v>1750</v>
      </c>
    </row>
    <row r="33" spans="2:3" x14ac:dyDescent="0.35">
      <c r="B33" s="6" t="s">
        <v>1751</v>
      </c>
      <c r="C33" s="6" t="s">
        <v>1745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heat_FRA</vt:lpstr>
      <vt:lpstr>grids_FRA</vt:lpstr>
      <vt:lpstr>fuels_FRA</vt:lpstr>
      <vt:lpstr>heat_GBR</vt:lpstr>
      <vt:lpstr>grids_GBR</vt:lpstr>
      <vt:lpstr>fuels_GBR</vt:lpstr>
      <vt:lpstr>heat_NLD</vt:lpstr>
      <vt:lpstr>grids_NLD</vt:lpstr>
      <vt:lpstr>fuels_NLD</vt:lpstr>
      <vt:lpstr>heat_BEL</vt:lpstr>
      <vt:lpstr>grids_BEL</vt:lpstr>
      <vt:lpstr>fuels_BEL</vt:lpstr>
      <vt:lpstr>heat_DEU</vt:lpstr>
      <vt:lpstr>grids_DEU</vt:lpstr>
      <vt:lpstr>fuels_DEU</vt:lpstr>
      <vt:lpstr>heat_CHE</vt:lpstr>
      <vt:lpstr>grids_CHE</vt:lpstr>
      <vt:lpstr>fuels_CHE</vt:lpstr>
      <vt:lpstr>heat_ITA</vt:lpstr>
      <vt:lpstr>grids_ITA</vt:lpstr>
      <vt:lpstr>fuels_ITA</vt:lpstr>
      <vt:lpstr>heat_ESP</vt:lpstr>
      <vt:lpstr>grids_ESP</vt:lpstr>
      <vt:lpstr>fuels_ESP</vt:lpstr>
      <vt:lpstr>system_settings</vt:lpstr>
      <vt:lpstr>TimePeriods</vt:lpstr>
      <vt:lpstr>System Settings</vt:lpstr>
      <vt:lpstr>Constants</vt:lpstr>
      <vt:lpstr>reporting 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2026-09-03T19:15:05Z</dcterms:created>
  <dcterms:modified xsi:type="dcterms:W3CDTF">2026-09-03T19:15:28Z</dcterms:modified>
</cp:coreProperties>
</file>