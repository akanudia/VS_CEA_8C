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"/>
    </mc:Choice>
  </mc:AlternateContent>
  <xr:revisionPtr revIDLastSave="0" documentId="13_ncr:1_{6003FC55-C02A-4524-9501-60F8F57311D4}" xr6:coauthVersionLast="47" xr6:coauthVersionMax="47" xr10:uidLastSave="{00000000-0000-0000-0000-000000000000}"/>
  <bookViews>
    <workbookView xWindow="1837" yWindow="1837" windowWidth="21600" windowHeight="12773" firstSheet="22" activeTab="28" xr2:uid="{0D8BD6A0-88C6-4920-BDDA-19ACAF08635D}"/>
  </bookViews>
  <sheets>
    <sheet name="heat_FRA" sheetId="2" r:id="rId1"/>
    <sheet name="grids_FRA" sheetId="3" r:id="rId2"/>
    <sheet name="fuels_FRA" sheetId="4" r:id="rId3"/>
    <sheet name="heat_GBR" sheetId="5" r:id="rId4"/>
    <sheet name="grids_GBR" sheetId="6" r:id="rId5"/>
    <sheet name="fuels_GBR" sheetId="7" r:id="rId6"/>
    <sheet name="heat_BEL" sheetId="8" r:id="rId7"/>
    <sheet name="grids_BEL" sheetId="9" r:id="rId8"/>
    <sheet name="fuels_BEL" sheetId="10" r:id="rId9"/>
    <sheet name="heat_DEU" sheetId="11" r:id="rId10"/>
    <sheet name="grids_DEU" sheetId="12" r:id="rId11"/>
    <sheet name="fuels_DEU" sheetId="13" r:id="rId12"/>
    <sheet name="heat_CHE" sheetId="14" r:id="rId13"/>
    <sheet name="grids_CHE" sheetId="15" r:id="rId14"/>
    <sheet name="fuels_CHE" sheetId="16" r:id="rId15"/>
    <sheet name="heat_ITA" sheetId="17" r:id="rId16"/>
    <sheet name="grids_ITA" sheetId="18" r:id="rId17"/>
    <sheet name="fuels_ITA" sheetId="19" r:id="rId18"/>
    <sheet name="heat_ESP" sheetId="20" r:id="rId19"/>
    <sheet name="grids_ESP" sheetId="21" r:id="rId20"/>
    <sheet name="fuels_ESP" sheetId="22" r:id="rId21"/>
    <sheet name="heat_NLD" sheetId="23" r:id="rId22"/>
    <sheet name="grids_NLD" sheetId="24" r:id="rId23"/>
    <sheet name="fuels_NLD" sheetId="25" r:id="rId24"/>
    <sheet name="system_settings" sheetId="26" r:id="rId25"/>
    <sheet name="TimePeriods" sheetId="27" r:id="rId26"/>
    <sheet name="System Settings" sheetId="28" r:id="rId27"/>
    <sheet name="Constants" sheetId="29" r:id="rId28"/>
    <sheet name="reporting options" sheetId="30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29" l="1"/>
  <c r="I101" i="29"/>
  <c r="H95" i="29"/>
  <c r="I51" i="29"/>
  <c r="G51" i="29"/>
  <c r="F51" i="29"/>
  <c r="F15" i="27"/>
  <c r="G14" i="27"/>
  <c r="G15" i="27" s="1"/>
  <c r="F14" i="27"/>
  <c r="E14" i="27"/>
  <c r="E15" i="27" s="1"/>
  <c r="E16" i="27" l="1"/>
  <c r="E17" i="27" s="1"/>
  <c r="E18" i="27" s="1"/>
  <c r="E19" i="27" s="1"/>
  <c r="E20" i="27" s="1"/>
  <c r="E12" i="27"/>
  <c r="F12" i="27"/>
  <c r="G12" i="27"/>
  <c r="G16" i="27"/>
  <c r="G17" i="27" s="1"/>
  <c r="G18" i="27" s="1"/>
  <c r="F16" i="27"/>
  <c r="F17" i="27" s="1"/>
  <c r="F18" i="27" s="1"/>
  <c r="F19" i="27" s="1"/>
</calcChain>
</file>

<file path=xl/sharedStrings.xml><?xml version="1.0" encoding="utf-8"?>
<sst xmlns="http://schemas.openxmlformats.org/spreadsheetml/2006/main" count="7328" uniqueCount="1753">
  <si>
    <t>~fi_comm</t>
  </si>
  <si>
    <t>set</t>
  </si>
  <si>
    <t>commodity</t>
  </si>
  <si>
    <t>region</t>
  </si>
  <si>
    <t>description</t>
  </si>
  <si>
    <t>commoditytype</t>
  </si>
  <si>
    <t>timeslicelevel</t>
  </si>
  <si>
    <t>limtype</t>
  </si>
  <si>
    <t>unit</t>
  </si>
  <si>
    <t>NRG</t>
  </si>
  <si>
    <t>h_AixLesBains_FRA</t>
  </si>
  <si>
    <t>FRA</t>
  </si>
  <si>
    <t>heat at grid node -- way/56998024-400 (Annecy, 36 km)</t>
  </si>
  <si>
    <t>LTHEAT</t>
  </si>
  <si>
    <t>season</t>
  </si>
  <si>
    <t>lo</t>
  </si>
  <si>
    <t>TWh</t>
  </si>
  <si>
    <t>h_Annecy_FRA</t>
  </si>
  <si>
    <t>heat at grid node -- way/83293593-225 (Annecy, 30 km)</t>
  </si>
  <si>
    <t>h_Aurillac_FRA</t>
  </si>
  <si>
    <t>heat at grid node -- way/83726363-225 (Clermont-Ferrand, 116 km)</t>
  </si>
  <si>
    <t>h_Bastia_FRA</t>
  </si>
  <si>
    <t>heat at grid node -- way/136594238 (Ajaccio, 89 km)</t>
  </si>
  <si>
    <t>h_Bayonne_FRA</t>
  </si>
  <si>
    <t>heat at grid node -- way/111558550-400 (Bayonne, 9 km)</t>
  </si>
  <si>
    <t>h_Belfort_FRA</t>
  </si>
  <si>
    <t>heat at grid node -- way/39389229-400 (Besancon, 51 km)</t>
  </si>
  <si>
    <t>h_Bordeaux_FRA</t>
  </si>
  <si>
    <t>heat at grid node -- way/235370803-400 (Bordeaux, 28 km)</t>
  </si>
  <si>
    <t>h_Brest_FRA</t>
  </si>
  <si>
    <t>heat at grid node -- way/146695955-400 (Brest, 23 km)</t>
  </si>
  <si>
    <t>h_Briancon_FRA</t>
  </si>
  <si>
    <t>heat at grid node -- way/146449309-400 (Grenoble, 78 km)</t>
  </si>
  <si>
    <t>h_Caen_FRA</t>
  </si>
  <si>
    <t>heat at grid node -- way/753113423 (Caen, 11 km)</t>
  </si>
  <si>
    <t>h_Calais_FRA</t>
  </si>
  <si>
    <t>heat at grid node -- way/1271288346 (Calais, 7 km)</t>
  </si>
  <si>
    <t>h_CharlevilleMeziere_FRA</t>
  </si>
  <si>
    <t>heat at grid node -- way/82825438-400 (Reims, 74 km)</t>
  </si>
  <si>
    <t>h_Dijon_FRA</t>
  </si>
  <si>
    <t>heat at grid node -- way/179260933-400 (Dijon, 25 km)</t>
  </si>
  <si>
    <t>h_Dunkerque_FRA</t>
  </si>
  <si>
    <t>heat at grid node -- relation/13260224-225 (Dunkerque, 7 km)</t>
  </si>
  <si>
    <t>h_Forbach_FRA</t>
  </si>
  <si>
    <t>heat at grid node -- way/129378915-220 (Metz, 38 km)</t>
  </si>
  <si>
    <t>h_Goussainville_FRA</t>
  </si>
  <si>
    <t>heat at grid node -- way/82741307-225 (Paris, 21 km)</t>
  </si>
  <si>
    <t>h_Haguenau_FRA</t>
  </si>
  <si>
    <t>heat at grid node -- way/136015463-225 (Strasbourg, 43 km)</t>
  </si>
  <si>
    <t>h_Lille_FRA</t>
  </si>
  <si>
    <t>heat at grid node -- way/85605950-400 (Lille, 12 km)</t>
  </si>
  <si>
    <t>h_Lourdes_FRA</t>
  </si>
  <si>
    <t>heat at grid node -- way/207479669-225 (Pau, 62 km)</t>
  </si>
  <si>
    <t>h_Lyon_FRA</t>
  </si>
  <si>
    <t>heat at grid node -- way/24020601-400 (Lyon, 24 km)</t>
  </si>
  <si>
    <t>h_Metz_FRA</t>
  </si>
  <si>
    <t>heat at grid node -- way/81641090-380 (Metz, 11 km)</t>
  </si>
  <si>
    <t>h_Mohon_FRA</t>
  </si>
  <si>
    <t>heat at grid node -- way/118655802-225 (Reims, 107 km)</t>
  </si>
  <si>
    <t>h_Mulhouse_FRA</t>
  </si>
  <si>
    <t>heat at grid node -- way/81638061-220 (Mulhouse, 35 km)</t>
  </si>
  <si>
    <t>h_Nantes_FRA</t>
  </si>
  <si>
    <t>heat at grid node -- way/112342683-400 (Nantes, 25 km)</t>
  </si>
  <si>
    <t>h_Nice_FRA</t>
  </si>
  <si>
    <t>heat at grid node -- FR186-225 (Nice, 22 km)</t>
  </si>
  <si>
    <t>h_Nimes_FRA</t>
  </si>
  <si>
    <t>heat at grid node -- way/110086345-400 (Nimes, 30 km)</t>
  </si>
  <si>
    <t>h_Paris_FRA</t>
  </si>
  <si>
    <t>heat at grid node -- way/23287448-225 (Paris, 22 km)</t>
  </si>
  <si>
    <t>h_Perpignan_FRA</t>
  </si>
  <si>
    <t>heat at grid node -- way/312728271-400 (Perpignan, 8 km)</t>
  </si>
  <si>
    <t>h_Rouen_FRA</t>
  </si>
  <si>
    <t>heat at grid node -- way/85710783-400 (Rouen, 24 km)</t>
  </si>
  <si>
    <t>h_SaintLo_FRA</t>
  </si>
  <si>
    <t>heat at grid node -- way/222188543-400 (Caen, 73 km)</t>
  </si>
  <si>
    <t>h_Strasbourg_FRA</t>
  </si>
  <si>
    <t>heat at grid node -- way/146402374-225 (Strasbourg, 24 km)</t>
  </si>
  <si>
    <t>h_Thionville_FRA</t>
  </si>
  <si>
    <t>heat at grid node -- way/225210595-225 (Metz, 49 km)</t>
  </si>
  <si>
    <t>h_ThononLesBains_FRA</t>
  </si>
  <si>
    <t>heat at grid node -- way/147580985-225 (Annecy, 38 km)</t>
  </si>
  <si>
    <t>h_Toulouse_FRA</t>
  </si>
  <si>
    <t>heat at grid node -- way/109817708-400 (Toulouse, 19 km)</t>
  </si>
  <si>
    <t>e_AixLesBains_FRA</t>
  </si>
  <si>
    <t>grid node -- way/56998024-400 (Annecy, 36 km)</t>
  </si>
  <si>
    <t>ELC</t>
  </si>
  <si>
    <t>daynite</t>
  </si>
  <si>
    <t>e_Annecy_FRA</t>
  </si>
  <si>
    <t>grid node -- way/83293593-225 (Annecy, 30 km)</t>
  </si>
  <si>
    <t>e_Aurillac_FRA</t>
  </si>
  <si>
    <t>grid node -- way/83726363-225 (Clermont-Ferrand, 116 km)</t>
  </si>
  <si>
    <t>e_Bastia_FRA</t>
  </si>
  <si>
    <t>grid node -- way/136594238 (Ajaccio, 89 km)</t>
  </si>
  <si>
    <t>e_Bayonne_FRA</t>
  </si>
  <si>
    <t>grid node -- way/111558550-400 (Bayonne, 9 km)</t>
  </si>
  <si>
    <t>e_Belfort_FRA</t>
  </si>
  <si>
    <t>grid node -- way/39389229-400 (Besancon, 51 km)</t>
  </si>
  <si>
    <t>e_Bordeaux_FRA</t>
  </si>
  <si>
    <t>grid node -- way/235370803-400 (Bordeaux, 28 km)</t>
  </si>
  <si>
    <t>e_Brest_FRA</t>
  </si>
  <si>
    <t>grid node -- way/146695955-400 (Brest, 23 km)</t>
  </si>
  <si>
    <t>e_Briancon_FRA</t>
  </si>
  <si>
    <t>grid node -- way/146449309-400 (Grenoble, 78 km)</t>
  </si>
  <si>
    <t>e_Caen_FRA</t>
  </si>
  <si>
    <t>grid node -- way/753113423 (Caen, 11 km)</t>
  </si>
  <si>
    <t>e_Calais_FRA</t>
  </si>
  <si>
    <t>grid node -- way/1271288346 (Calais, 7 km)</t>
  </si>
  <si>
    <t>e_CharlevilleMeziere_FRA</t>
  </si>
  <si>
    <t>grid node -- way/82825438-400 (Reims, 74 km)</t>
  </si>
  <si>
    <t>e_Dijon_FRA</t>
  </si>
  <si>
    <t>grid node -- way/179260933-400 (Dijon, 25 km)</t>
  </si>
  <si>
    <t>e_Dunkerque_FRA</t>
  </si>
  <si>
    <t>grid node -- relation/13260224-225 (Dunkerque, 7 km)</t>
  </si>
  <si>
    <t>e_Forbach_FRA</t>
  </si>
  <si>
    <t>grid node -- way/129378915-220 (Metz, 38 km)</t>
  </si>
  <si>
    <t>e_Goussainville_FRA</t>
  </si>
  <si>
    <t>grid node -- way/82741307-225 (Paris, 21 km)</t>
  </si>
  <si>
    <t>e_Haguenau_FRA</t>
  </si>
  <si>
    <t>grid node -- way/136015463-225 (Strasbourg, 43 km)</t>
  </si>
  <si>
    <t>e_Lille_FRA</t>
  </si>
  <si>
    <t>grid node -- way/85605950-400 (Lille, 12 km)</t>
  </si>
  <si>
    <t>e_Lourdes_FRA</t>
  </si>
  <si>
    <t>grid node -- way/207479669-225 (Pau, 62 km)</t>
  </si>
  <si>
    <t>e_Lyon_FRA</t>
  </si>
  <si>
    <t>grid node -- way/24020601-400 (Lyon, 24 km)</t>
  </si>
  <si>
    <t>e_Metz_FRA</t>
  </si>
  <si>
    <t>grid node -- way/81641090-380 (Metz, 11 km)</t>
  </si>
  <si>
    <t>e_Mohon_FRA</t>
  </si>
  <si>
    <t>grid node -- way/118655802-225 (Reims, 107 km)</t>
  </si>
  <si>
    <t>e_Mulhouse_FRA</t>
  </si>
  <si>
    <t>grid node -- way/81638061-220 (Mulhouse, 35 km)</t>
  </si>
  <si>
    <t>e_Nantes_FRA</t>
  </si>
  <si>
    <t>grid node -- way/112342683-400 (Nantes, 25 km)</t>
  </si>
  <si>
    <t>e_Nice_FRA</t>
  </si>
  <si>
    <t>grid node -- FR186-225 (Nice, 22 km)</t>
  </si>
  <si>
    <t>e_Nimes_FRA</t>
  </si>
  <si>
    <t>grid node -- way/110086345-400 (Nimes, 30 km)</t>
  </si>
  <si>
    <t>e_Paris_FRA</t>
  </si>
  <si>
    <t>grid node -- way/23287448-225 (Paris, 22 km)</t>
  </si>
  <si>
    <t>e_Perpignan_FRA</t>
  </si>
  <si>
    <t>grid node -- way/312728271-400 (Perpignan, 8 km)</t>
  </si>
  <si>
    <t>e_Rouen_FRA</t>
  </si>
  <si>
    <t>grid node -- way/85710783-400 (Rouen, 24 km)</t>
  </si>
  <si>
    <t>e_SaintLo_FRA</t>
  </si>
  <si>
    <t>grid node -- way/222188543-400 (Caen, 73 km)</t>
  </si>
  <si>
    <t>e_Strasbourg_FRA</t>
  </si>
  <si>
    <t>grid node -- way/146402374-225 (Strasbourg, 24 km)</t>
  </si>
  <si>
    <t>e_Thionville_FRA</t>
  </si>
  <si>
    <t>grid node -- way/225210595-225 (Metz, 49 km)</t>
  </si>
  <si>
    <t>e_ThononLesBains_FRA</t>
  </si>
  <si>
    <t>grid node -- way/147580985-225 (Annecy, 38 km)</t>
  </si>
  <si>
    <t>e_Toulouse_FRA</t>
  </si>
  <si>
    <t>grid node -- way/109817708-400 (Toulouse, 19 km)</t>
  </si>
  <si>
    <t>~FI_Comm</t>
  </si>
  <si>
    <t>Set</t>
  </si>
  <si>
    <t>peaktimeslice</t>
  </si>
  <si>
    <t>bioenergy</t>
  </si>
  <si>
    <t>twh</t>
  </si>
  <si>
    <t>elc_spv_FRA_001</t>
  </si>
  <si>
    <t>solar electricity near Limoges (cluster 1)</t>
  </si>
  <si>
    <t>COAL</t>
  </si>
  <si>
    <t>elc_spv_FRA_002</t>
  </si>
  <si>
    <t>solar electricity near Bordeaux (cluster 2)</t>
  </si>
  <si>
    <t>GAS</t>
  </si>
  <si>
    <t>elc_spv_FRA_003</t>
  </si>
  <si>
    <t>solar electricity near Poitiers (cluster 3)</t>
  </si>
  <si>
    <t>geothermal</t>
  </si>
  <si>
    <t>elc_spv_FRA_004</t>
  </si>
  <si>
    <t>solar electricity near Angers (cluster 4)</t>
  </si>
  <si>
    <t>hydro</t>
  </si>
  <si>
    <t>elc_spv_FRA_005</t>
  </si>
  <si>
    <t>solar electricity near Orleans (cluster 5)</t>
  </si>
  <si>
    <t>hydrogen</t>
  </si>
  <si>
    <t>elc_spv_FRA_006</t>
  </si>
  <si>
    <t>solar electricity near Paris (cluster 6)</t>
  </si>
  <si>
    <t>nuclear</t>
  </si>
  <si>
    <t>elc_spv_FRA_007</t>
  </si>
  <si>
    <t>solar electricity near Lille (cluster 7)</t>
  </si>
  <si>
    <t>OIL</t>
  </si>
  <si>
    <t>elc_spv_FRA_008</t>
  </si>
  <si>
    <t>solar electricity near Amiens (cluster 8)</t>
  </si>
  <si>
    <t>solar</t>
  </si>
  <si>
    <t>elc_spv_FRA_009</t>
  </si>
  <si>
    <t>solar electricity near Rennes (cluster 9)</t>
  </si>
  <si>
    <t>windon</t>
  </si>
  <si>
    <t>wind onshore</t>
  </si>
  <si>
    <t>elc_spv_FRA_010</t>
  </si>
  <si>
    <t>solar electricity near Le Mans (cluster 10)</t>
  </si>
  <si>
    <t>windoff</t>
  </si>
  <si>
    <t>wind offshore</t>
  </si>
  <si>
    <t>elc_spv_FRA_011</t>
  </si>
  <si>
    <t>solar electricity near Le Havre (cluster 11)</t>
  </si>
  <si>
    <t>electricity - generated</t>
  </si>
  <si>
    <t>annual</t>
  </si>
  <si>
    <t>elc_spv_FRA_012</t>
  </si>
  <si>
    <t>solar electricity near Metz (cluster 12)</t>
  </si>
  <si>
    <t>HET</t>
  </si>
  <si>
    <t>low temperature heat</t>
  </si>
  <si>
    <t>elc_spv_FRA_013</t>
  </si>
  <si>
    <t>solar electricity near Colmar (cluster 13)</t>
  </si>
  <si>
    <t>DEM</t>
  </si>
  <si>
    <t>hydrogen_allsect</t>
  </si>
  <si>
    <t>Hydrogen demand - all sectors</t>
  </si>
  <si>
    <t>elc_spv_FRA_014</t>
  </si>
  <si>
    <t>solar electricity near Reims (cluster 14)</t>
  </si>
  <si>
    <t>elc_buildings</t>
  </si>
  <si>
    <t>electricity used in buildings</t>
  </si>
  <si>
    <t>elc_spv_FRA_015</t>
  </si>
  <si>
    <t>solar electricity near Reims (cluster 15)</t>
  </si>
  <si>
    <t>elc_industry</t>
  </si>
  <si>
    <t>electricity used in industry</t>
  </si>
  <si>
    <t>elc_spv_FRA_016</t>
  </si>
  <si>
    <t>solar electricity near Dijon (cluster 16)</t>
  </si>
  <si>
    <t>elc_transport</t>
  </si>
  <si>
    <t>electricity used in transport</t>
  </si>
  <si>
    <t>elc_spv_FRA_017</t>
  </si>
  <si>
    <t>solar electricity near Bourges (cluster 17)</t>
  </si>
  <si>
    <t>elc_roadtransport</t>
  </si>
  <si>
    <t>electricity used in road transport</t>
  </si>
  <si>
    <t>elc_spv_FRA_018</t>
  </si>
  <si>
    <t>solar electricity near Ajaccio (cluster 18)</t>
  </si>
  <si>
    <t>het_buildings</t>
  </si>
  <si>
    <t>heat used in buildings</t>
  </si>
  <si>
    <t>elc_spv_FRA_019</t>
  </si>
  <si>
    <t>solar electricity near Nice (cluster 19)</t>
  </si>
  <si>
    <t>het_industry</t>
  </si>
  <si>
    <t>heat used in industry</t>
  </si>
  <si>
    <t>elc_spv_FRA_020</t>
  </si>
  <si>
    <t>solar electricity near Perpignan (cluster 20)</t>
  </si>
  <si>
    <t>ENV</t>
  </si>
  <si>
    <t>co2</t>
  </si>
  <si>
    <t>co2 emissions from power generation</t>
  </si>
  <si>
    <t>kt</t>
  </si>
  <si>
    <t>elc_spv_FRA_021</t>
  </si>
  <si>
    <t>solar electricity near Montpellier (cluster 21)</t>
  </si>
  <si>
    <t>co2captured</t>
  </si>
  <si>
    <t>elc_spv_FRA_022</t>
  </si>
  <si>
    <t>solar electricity near Toulouse (cluster 22)</t>
  </si>
  <si>
    <t>co2net</t>
  </si>
  <si>
    <t>elc_spv_FRA_023</t>
  </si>
  <si>
    <t>solar electricity near Pau (cluster 23)</t>
  </si>
  <si>
    <t>elc_spv_FRA_024</t>
  </si>
  <si>
    <t>solar electricity near Bordeaux (cluster 24)</t>
  </si>
  <si>
    <t>elc_spv_FRA_025</t>
  </si>
  <si>
    <t>solar electricity near Montauban (cluster 25)</t>
  </si>
  <si>
    <t>~tfm_comgrp</t>
  </si>
  <si>
    <t>elc_spv_FRA_026</t>
  </si>
  <si>
    <t>solar electricity near Bordeaux (cluster 26)</t>
  </si>
  <si>
    <t>name</t>
  </si>
  <si>
    <t>allregions</t>
  </si>
  <si>
    <t>cset_cn</t>
  </si>
  <si>
    <t>elc_spv_FRA_027</t>
  </si>
  <si>
    <t>solar electricity near Grenoble (cluster 27)</t>
  </si>
  <si>
    <t>ELC_BatIn</t>
  </si>
  <si>
    <t>y</t>
  </si>
  <si>
    <t>ELC,e[_]*</t>
  </si>
  <si>
    <t>elc_spv_FRA_028</t>
  </si>
  <si>
    <t>solar electricity near Besancon (cluster 28)</t>
  </si>
  <si>
    <t>elc_spv_FRA_029</t>
  </si>
  <si>
    <t>solar electricity near Saint-Etienne (cluster 29)</t>
  </si>
  <si>
    <t>elc_spv_FRA_030</t>
  </si>
  <si>
    <t>solar electricity near Lyon (cluster 30)</t>
  </si>
  <si>
    <t>elc_wof_FRA_001</t>
  </si>
  <si>
    <t>wind offshore electricity near Montpellier (cluster 1)</t>
  </si>
  <si>
    <t>elc_wof_FRA_002</t>
  </si>
  <si>
    <t>wind offshore electricity near Nice (cluster 2)</t>
  </si>
  <si>
    <t>elc_wof_FRA_003</t>
  </si>
  <si>
    <t>wind offshore electricity near Ajaccio (cluster 3)</t>
  </si>
  <si>
    <t>elc_wof_FRA_004</t>
  </si>
  <si>
    <t>wind offshore electricity near Nice (cluster 4)</t>
  </si>
  <si>
    <t>ctype</t>
  </si>
  <si>
    <t>elc_wof_FRA_005</t>
  </si>
  <si>
    <t>wind offshore electricity near Toulon (cluster 5)</t>
  </si>
  <si>
    <t>ELC4H</t>
  </si>
  <si>
    <t>First 5 hours of surplus electricity from VRE generation</t>
  </si>
  <si>
    <t>PJ</t>
  </si>
  <si>
    <t>DAYNITE</t>
  </si>
  <si>
    <t>elc_wof_FRA_006</t>
  </si>
  <si>
    <t>wind offshore electricity near Marseille (cluster 6)</t>
  </si>
  <si>
    <t>ELC8H</t>
  </si>
  <si>
    <t>6-10 hours of surplus electricity from VRE generation</t>
  </si>
  <si>
    <t>elc_wof_FRA_007</t>
  </si>
  <si>
    <t>wind offshore electricity near Ajaccio (cluster 7)</t>
  </si>
  <si>
    <t>DEF_E</t>
  </si>
  <si>
    <t>Electricity that was missing at the hourly level</t>
  </si>
  <si>
    <t>elc_wof_FRA_008</t>
  </si>
  <si>
    <t>wind offshore electricity near Ajaccio (cluster 8)</t>
  </si>
  <si>
    <t>DEF_C</t>
  </si>
  <si>
    <t>VRE Capacity deficit to be covered by dispatchable techs</t>
  </si>
  <si>
    <t>GW</t>
  </si>
  <si>
    <t>ANNUAL</t>
  </si>
  <si>
    <t>elc_wof_FRA_009</t>
  </si>
  <si>
    <t>wind offshore electricity near Bordeaux (cluster 9)</t>
  </si>
  <si>
    <t>elc_wof_FRA_010</t>
  </si>
  <si>
    <t>wind offshore electricity near Bayonne (cluster 10)</t>
  </si>
  <si>
    <t>elc_wof_FRA_011</t>
  </si>
  <si>
    <t>wind offshore electricity near La Rochelle (cluster 11)</t>
  </si>
  <si>
    <t>elc_wof_FRA_012</t>
  </si>
  <si>
    <t>wind offshore electricity near La Rochelle (cluster 12)</t>
  </si>
  <si>
    <t>elc_wof_FRA_013</t>
  </si>
  <si>
    <t>wind offshore electricity near Brest (cluster 13)</t>
  </si>
  <si>
    <t>elc_wof_FRA_014</t>
  </si>
  <si>
    <t>wind offshore electricity near Le Havre (cluster 14)</t>
  </si>
  <si>
    <t>elc_wof_FRA_015</t>
  </si>
  <si>
    <t>wind offshore electricity near Brest (cluster 15)</t>
  </si>
  <si>
    <t>elc_wof_FRA_016</t>
  </si>
  <si>
    <t>wind offshore electricity near Brest (cluster 16)</t>
  </si>
  <si>
    <t>elc_wof_FRA_017</t>
  </si>
  <si>
    <t>wind offshore electricity near Saint-Nazaire (cluster 17)</t>
  </si>
  <si>
    <t>elc_won_FRA_001</t>
  </si>
  <si>
    <t>wind onshore electricity near Strasbourg (cluster 1)</t>
  </si>
  <si>
    <t>elc_won_FRA_002</t>
  </si>
  <si>
    <t>wind onshore electricity near Besancon (cluster 2)</t>
  </si>
  <si>
    <t>elc_won_FRA_003</t>
  </si>
  <si>
    <t>wind onshore electricity near Dijon (cluster 3)</t>
  </si>
  <si>
    <t>elc_won_FRA_004</t>
  </si>
  <si>
    <t>wind onshore electricity near Caen (cluster 4)</t>
  </si>
  <si>
    <t>elc_won_FRA_005</t>
  </si>
  <si>
    <t>wind onshore electricity near Rennes (cluster 5)</t>
  </si>
  <si>
    <t>elc_won_FRA_006</t>
  </si>
  <si>
    <t>wind onshore electricity near Tours (cluster 6)</t>
  </si>
  <si>
    <t>elc_won_FRA_007</t>
  </si>
  <si>
    <t>wind onshore electricity near Montreuil (cluster 7)</t>
  </si>
  <si>
    <t>elc_won_FRA_008</t>
  </si>
  <si>
    <t>wind onshore electricity near Amiens (cluster 8)</t>
  </si>
  <si>
    <t>elc_won_FRA_009</t>
  </si>
  <si>
    <t>wind onshore electricity near Reims (cluster 9)</t>
  </si>
  <si>
    <t>elc_won_FRA_010</t>
  </si>
  <si>
    <t>wind onshore electricity near Metz (cluster 10)</t>
  </si>
  <si>
    <t>elc_won_FRA_011</t>
  </si>
  <si>
    <t>wind onshore electricity near Ajaccio (cluster 11)</t>
  </si>
  <si>
    <t>elc_won_FRA_012</t>
  </si>
  <si>
    <t>wind onshore electricity near Toulon (cluster 12)</t>
  </si>
  <si>
    <t>elc_won_FRA_013</t>
  </si>
  <si>
    <t>wind onshore electricity near Antibes (cluster 13)</t>
  </si>
  <si>
    <t>elc_won_FRA_014</t>
  </si>
  <si>
    <t>wind onshore electricity near Nice (cluster 14)</t>
  </si>
  <si>
    <t>elc_won_FRA_015</t>
  </si>
  <si>
    <t>wind onshore electricity near Valence (cluster 15)</t>
  </si>
  <si>
    <t>elc_won_FRA_016</t>
  </si>
  <si>
    <t>wind onshore electricity near Marseille (cluster 16)</t>
  </si>
  <si>
    <t>elc_won_FRA_017</t>
  </si>
  <si>
    <t>wind onshore electricity near Montpellier (cluster 17)</t>
  </si>
  <si>
    <t>elc_won_FRA_018</t>
  </si>
  <si>
    <t>wind onshore electricity near Niort (cluster 18)</t>
  </si>
  <si>
    <t>elc_won_FRA_019</t>
  </si>
  <si>
    <t>wind onshore electricity near Bordeaux (cluster 19)</t>
  </si>
  <si>
    <t>elc_won_FRA_020</t>
  </si>
  <si>
    <t>wind onshore electricity near Pau (cluster 20)</t>
  </si>
  <si>
    <t>elc_won_FRA_021</t>
  </si>
  <si>
    <t>wind onshore electricity near Bordeaux (cluster 21)</t>
  </si>
  <si>
    <t>elc_won_FRA_022</t>
  </si>
  <si>
    <t>wind onshore electricity near Montauban (cluster 22)</t>
  </si>
  <si>
    <t>elc_won_FRA_023</t>
  </si>
  <si>
    <t>wind onshore electricity near Bayonne (cluster 23)</t>
  </si>
  <si>
    <t>elc_won_FRA_024</t>
  </si>
  <si>
    <t>wind onshore electricity near Toulouse (cluster 24)</t>
  </si>
  <si>
    <t>elc_won_FRA_025</t>
  </si>
  <si>
    <t>wind onshore electricity near Clermont-Ferrand (cluster 25)</t>
  </si>
  <si>
    <t>elc_won_FRA_026</t>
  </si>
  <si>
    <t>wind onshore electricity near Clermont-Ferrand (cluster 26)</t>
  </si>
  <si>
    <t>elc_won_FRA_027</t>
  </si>
  <si>
    <t>wind onshore electricity near Lyon (cluster 27)</t>
  </si>
  <si>
    <t>elc_won_FRA_028</t>
  </si>
  <si>
    <t>wind onshore electricity near Saint-Etienne (cluster 28)</t>
  </si>
  <si>
    <t>h_Aberdeen_GBR</t>
  </si>
  <si>
    <t>GBR</t>
  </si>
  <si>
    <t>heat at grid node -- way/118821349-275 (Aberdeen, 18 km)</t>
  </si>
  <si>
    <t>h_Ashford_GBR</t>
  </si>
  <si>
    <t>heat at grid node -- way/775577829 (Maidstone, 47 km)</t>
  </si>
  <si>
    <t>h_Basildon_GBR</t>
  </si>
  <si>
    <t>heat at grid node -- way/109189896 (Basildon, 22 km)</t>
  </si>
  <si>
    <t>h_Belfast_GBR</t>
  </si>
  <si>
    <t>heat at grid node -- way/137050527 (Belfast, 29 km)</t>
  </si>
  <si>
    <t>h_Elgin_GBR</t>
  </si>
  <si>
    <t>heat at grid node -- way/568527671 (Aberdeen, 65 km)</t>
  </si>
  <si>
    <t>h_Ipswich_GBR</t>
  </si>
  <si>
    <t>heat at grid node -- way/25422135-400 (Ipswich, 7 km)</t>
  </si>
  <si>
    <t>h_Lerwick_GBR</t>
  </si>
  <si>
    <t>heat at grid node -- way/975637991 (Aberdeen, 353 km)</t>
  </si>
  <si>
    <t>h_Lisburn_GBR</t>
  </si>
  <si>
    <t>heat at grid node -- way/227767019-275 (Belfast, 41 km)</t>
  </si>
  <si>
    <t>h_Liverpool_GBR</t>
  </si>
  <si>
    <t>heat at grid node -- way/375626500 (Liverpool, 20 km)</t>
  </si>
  <si>
    <t>h_Newcastle_GBR</t>
  </si>
  <si>
    <t>heat at grid node -- way/642490160 (Newcastle, 19 km)</t>
  </si>
  <si>
    <t>h_Paisley_GBR</t>
  </si>
  <si>
    <t>heat at grid node -- way/297840585 (Glasgow, 43 km)</t>
  </si>
  <si>
    <t>h_Peterborough_GBR</t>
  </si>
  <si>
    <t>heat at grid node -- way/1078532568 (Peterborough, 39 km)</t>
  </si>
  <si>
    <t>h_Portsmouth_GBR</t>
  </si>
  <si>
    <t>heat at grid node -- way/636630368 (Portsmouth, 8 km)</t>
  </si>
  <si>
    <t>h_Stranraer_GBR</t>
  </si>
  <si>
    <t>heat at grid node -- way/148382435 (Belfast, 80 km)</t>
  </si>
  <si>
    <t>h_Wick_GBR</t>
  </si>
  <si>
    <t>heat at grid node -- way/1262971878 (Aberdeen, 168 km)</t>
  </si>
  <si>
    <t>e_Aberdeen_GBR</t>
  </si>
  <si>
    <t>grid node -- way/118821349-275 (Aberdeen, 18 km)</t>
  </si>
  <si>
    <t>e_Ashford_GBR</t>
  </si>
  <si>
    <t>grid node -- way/775577829 (Maidstone, 47 km)</t>
  </si>
  <si>
    <t>e_Basildon_GBR</t>
  </si>
  <si>
    <t>grid node -- way/109189896 (Basildon, 22 km)</t>
  </si>
  <si>
    <t>e_Belfast_GBR</t>
  </si>
  <si>
    <t>grid node -- way/137050527 (Belfast, 29 km)</t>
  </si>
  <si>
    <t>e_Elgin_GBR</t>
  </si>
  <si>
    <t>grid node -- way/568527671 (Aberdeen, 65 km)</t>
  </si>
  <si>
    <t>e_Ipswich_GBR</t>
  </si>
  <si>
    <t>grid node -- way/25422135-400 (Ipswich, 7 km)</t>
  </si>
  <si>
    <t>e_Lerwick_GBR</t>
  </si>
  <si>
    <t>grid node -- way/975637991 (Aberdeen, 353 km)</t>
  </si>
  <si>
    <t>e_Lisburn_GBR</t>
  </si>
  <si>
    <t>grid node -- way/227767019-275 (Belfast, 41 km)</t>
  </si>
  <si>
    <t>e_Liverpool_GBR</t>
  </si>
  <si>
    <t>grid node -- way/375626500 (Liverpool, 20 km)</t>
  </si>
  <si>
    <t>e_Newcastle_GBR</t>
  </si>
  <si>
    <t>grid node -- way/642490160 (Newcastle, 19 km)</t>
  </si>
  <si>
    <t>e_Paisley_GBR</t>
  </si>
  <si>
    <t>grid node -- way/297840585 (Glasgow, 43 km)</t>
  </si>
  <si>
    <t>e_Peterborough_GBR</t>
  </si>
  <si>
    <t>grid node -- way/1078532568 (Peterborough, 39 km)</t>
  </si>
  <si>
    <t>e_Portsmouth_GBR</t>
  </si>
  <si>
    <t>grid node -- way/636630368 (Portsmouth, 8 km)</t>
  </si>
  <si>
    <t>e_Stranraer_GBR</t>
  </si>
  <si>
    <t>grid node -- way/148382435 (Belfast, 80 km)</t>
  </si>
  <si>
    <t>e_Wick_GBR</t>
  </si>
  <si>
    <t>grid node -- way/1262971878 (Aberdeen, 168 km)</t>
  </si>
  <si>
    <t>elc_spv_GBR_001</t>
  </si>
  <si>
    <t>solar electricity near Liverpool (cluster 1)</t>
  </si>
  <si>
    <t>elc_spv_GBR_002</t>
  </si>
  <si>
    <t>solar electricity near Plymouth (cluster 2)</t>
  </si>
  <si>
    <t>elc_spv_GBR_003</t>
  </si>
  <si>
    <t>solar electricity near Abertawe (cluster 3)</t>
  </si>
  <si>
    <t>elc_spv_GBR_004</t>
  </si>
  <si>
    <t>solar electricity near Leeds (cluster 4)</t>
  </si>
  <si>
    <t>elc_spv_GBR_005</t>
  </si>
  <si>
    <t>solar electricity near Norwich (cluster 5)</t>
  </si>
  <si>
    <t>elc_spv_GBR_006</t>
  </si>
  <si>
    <t>solar electricity near London (cluster 6)</t>
  </si>
  <si>
    <t>elc_spv_GBR_007</t>
  </si>
  <si>
    <t>solar electricity near Bristol (cluster 7)</t>
  </si>
  <si>
    <t>elc_spv_GBR_008</t>
  </si>
  <si>
    <t>solar electricity near Wolverhampton (cluster 8)</t>
  </si>
  <si>
    <t>elc_spv_GBR_009</t>
  </si>
  <si>
    <t>solar electricity near Leicester (cluster 9)</t>
  </si>
  <si>
    <t>elc_spv_GBR_010</t>
  </si>
  <si>
    <t>solar electricity near Glasgow (cluster 10)</t>
  </si>
  <si>
    <t>elc_spv_GBR_011</t>
  </si>
  <si>
    <t>solar electricity near Glasgow (cluster 11)</t>
  </si>
  <si>
    <t>elc_spv_GBR_012</t>
  </si>
  <si>
    <t>solar electricity near Aberdeen (cluster 12)</t>
  </si>
  <si>
    <t>elc_spv_GBR_013</t>
  </si>
  <si>
    <t>solar electricity near Aberdeen (cluster 13)</t>
  </si>
  <si>
    <t>elc_spv_GBR_014</t>
  </si>
  <si>
    <t>solar electricity near Aberdeen (cluster 14)</t>
  </si>
  <si>
    <t>elc_spv_GBR_015</t>
  </si>
  <si>
    <t>solar electricity near Aberdeen (cluster 15)</t>
  </si>
  <si>
    <t>elc_spv_GBR_016</t>
  </si>
  <si>
    <t>solar electricity near Glasgow (cluster 16)</t>
  </si>
  <si>
    <t>elc_spv_GBR_017</t>
  </si>
  <si>
    <t>solar electricity near Edinburgh (cluster 17)</t>
  </si>
  <si>
    <t>elc_spv_GBR_018</t>
  </si>
  <si>
    <t>solar electricity near Preston (cluster 18)</t>
  </si>
  <si>
    <t>elc_spv_GBR_019</t>
  </si>
  <si>
    <t>solar electricity near Belfast (cluster 19)</t>
  </si>
  <si>
    <t>elc_spv_GBR_020</t>
  </si>
  <si>
    <t>solar electricity near Glasgow (cluster 20)</t>
  </si>
  <si>
    <t>elc_spv_GBR_021</t>
  </si>
  <si>
    <t>solar electricity near Glasgow (cluster 21)</t>
  </si>
  <si>
    <t>elc_wof_GBR_001</t>
  </si>
  <si>
    <t>wind offshore electricity near Plymouth (cluster 1)</t>
  </si>
  <si>
    <t>elc_wof_GBR_002</t>
  </si>
  <si>
    <t>wind offshore electricity near Portsmouth (cluster 2)</t>
  </si>
  <si>
    <t>elc_wof_GBR_003</t>
  </si>
  <si>
    <t>wind offshore electricity near Ipswich (cluster 3)</t>
  </si>
  <si>
    <t>elc_wof_GBR_004</t>
  </si>
  <si>
    <t>wind offshore electricity near Plymouth (cluster 4)</t>
  </si>
  <si>
    <t>elc_wof_GBR_005</t>
  </si>
  <si>
    <t>wind offshore electricity near Plymouth (cluster 5)</t>
  </si>
  <si>
    <t>elc_wof_GBR_006</t>
  </si>
  <si>
    <t>wind offshore electricity near Plymouth (cluster 6)</t>
  </si>
  <si>
    <t>elc_wof_GBR_007</t>
  </si>
  <si>
    <t>wind offshore electricity near Abertawe (cluster 7)</t>
  </si>
  <si>
    <t>elc_wof_GBR_008</t>
  </si>
  <si>
    <t>wind offshore electricity near Plymouth (cluster 8)</t>
  </si>
  <si>
    <t>elc_wof_GBR_009</t>
  </si>
  <si>
    <t>wind offshore electricity near Glasgow (cluster 9)</t>
  </si>
  <si>
    <t>elc_wof_GBR_010</t>
  </si>
  <si>
    <t>wind offshore electricity near Aberdeen (cluster 10)</t>
  </si>
  <si>
    <t>elc_wof_GBR_011</t>
  </si>
  <si>
    <t>wind offshore electricity near Belfast (cluster 11)</t>
  </si>
  <si>
    <t>elc_wof_GBR_012</t>
  </si>
  <si>
    <t>wind offshore electricity near Glasgow (cluster 12)</t>
  </si>
  <si>
    <t>elc_wof_GBR_013</t>
  </si>
  <si>
    <t>wind offshore electricity near Derry (cluster 13)</t>
  </si>
  <si>
    <t>elc_wof_GBR_014</t>
  </si>
  <si>
    <t>wind offshore electricity near Derry (cluster 14)</t>
  </si>
  <si>
    <t>elc_wof_GBR_015</t>
  </si>
  <si>
    <t>wind offshore electricity near Derry (cluster 15)</t>
  </si>
  <si>
    <t>elc_wof_GBR_016</t>
  </si>
  <si>
    <t>wind offshore electricity near Aberdeen (cluster 16)</t>
  </si>
  <si>
    <t>elc_wof_GBR_017</t>
  </si>
  <si>
    <t>wind offshore electricity near Aberdeen (cluster 17)</t>
  </si>
  <si>
    <t>elc_wof_GBR_018</t>
  </si>
  <si>
    <t>wind offshore electricity near Glasgow (cluster 18)</t>
  </si>
  <si>
    <t>elc_wof_GBR_019</t>
  </si>
  <si>
    <t>wind offshore electricity near Aberdeen (cluster 19)</t>
  </si>
  <si>
    <t>elc_wof_GBR_020</t>
  </si>
  <si>
    <t>wind offshore electricity near Aberdeen (cluster 20)</t>
  </si>
  <si>
    <t>elc_wof_GBR_021</t>
  </si>
  <si>
    <t>wind offshore electricity near Aberdeen (cluster 21)</t>
  </si>
  <si>
    <t>elc_wof_GBR_022</t>
  </si>
  <si>
    <t>wind offshore electricity near Aberdeen (cluster 22)</t>
  </si>
  <si>
    <t>elc_wof_GBR_023</t>
  </si>
  <si>
    <t>wind offshore electricity near Aberdeen (cluster 23)</t>
  </si>
  <si>
    <t>elc_wof_GBR_024</t>
  </si>
  <si>
    <t>wind offshore electricity near Aberdeen (cluster 24)</t>
  </si>
  <si>
    <t>elc_wof_GBR_025</t>
  </si>
  <si>
    <t>wind offshore electricity near Aberdeen (cluster 25)</t>
  </si>
  <si>
    <t>elc_wof_GBR_026</t>
  </si>
  <si>
    <t>wind offshore electricity near Kingston upon Hull (cluster 26)</t>
  </si>
  <si>
    <t>elc_wof_GBR_027</t>
  </si>
  <si>
    <t>wind offshore electricity near Newcastle (cluster 27)</t>
  </si>
  <si>
    <t>elc_wof_GBR_028</t>
  </si>
  <si>
    <t>wind offshore electricity near Newcastle (cluster 28)</t>
  </si>
  <si>
    <t>elc_wof_GBR_029</t>
  </si>
  <si>
    <t>wind offshore electricity near Aberdeen (cluster 29)</t>
  </si>
  <si>
    <t>elc_wof_GBR_030</t>
  </si>
  <si>
    <t>wind offshore electricity near Aberdeen (cluster 30)</t>
  </si>
  <si>
    <t>elc_wof_GBR_031</t>
  </si>
  <si>
    <t>wind offshore electricity near Edinburgh (cluster 31)</t>
  </si>
  <si>
    <t>elc_wof_GBR_032</t>
  </si>
  <si>
    <t>wind offshore electricity near Aberdeen (cluster 32)</t>
  </si>
  <si>
    <t>elc_wof_GBR_033</t>
  </si>
  <si>
    <t>wind offshore electricity near Aberdeen (cluster 33)</t>
  </si>
  <si>
    <t>elc_wof_GBR_034</t>
  </si>
  <si>
    <t>wind offshore electricity near Aberdeen (cluster 34)</t>
  </si>
  <si>
    <t>elc_won_GBR_001</t>
  </si>
  <si>
    <t>wind onshore electricity near Liverpool (cluster 1)</t>
  </si>
  <si>
    <t>elc_won_GBR_002</t>
  </si>
  <si>
    <t>wind onshore electricity near Abertawe (cluster 2)</t>
  </si>
  <si>
    <t>elc_won_GBR_003</t>
  </si>
  <si>
    <t>wind onshore electricity near Leeds (cluster 3)</t>
  </si>
  <si>
    <t>elc_won_GBR_004</t>
  </si>
  <si>
    <t>wind onshore electricity near Manchester (cluster 4)</t>
  </si>
  <si>
    <t>elc_won_GBR_005</t>
  </si>
  <si>
    <t>wind onshore electricity near Telford (cluster 5)</t>
  </si>
  <si>
    <t>elc_won_GBR_006</t>
  </si>
  <si>
    <t>wind onshore electricity near Plymouth (cluster 6)</t>
  </si>
  <si>
    <t>elc_won_GBR_007</t>
  </si>
  <si>
    <t>wind onshore electricity near Bristol (cluster 7)</t>
  </si>
  <si>
    <t>elc_won_GBR_008</t>
  </si>
  <si>
    <t>wind onshore electricity near Brighton (cluster 8)</t>
  </si>
  <si>
    <t>elc_won_GBR_009</t>
  </si>
  <si>
    <t>wind onshore electricity near London (cluster 9)</t>
  </si>
  <si>
    <t>elc_won_GBR_010</t>
  </si>
  <si>
    <t>wind onshore electricity near Belfast (cluster 10)</t>
  </si>
  <si>
    <t>elc_won_GBR_011</t>
  </si>
  <si>
    <t>wind onshore electricity near Belfast (cluster 11)</t>
  </si>
  <si>
    <t>elc_won_GBR_012</t>
  </si>
  <si>
    <t>wind onshore electricity near Edinburgh (cluster 12)</t>
  </si>
  <si>
    <t>elc_won_GBR_013</t>
  </si>
  <si>
    <t>wind onshore electricity near Aberdeen (cluster 13)</t>
  </si>
  <si>
    <t>elc_won_GBR_014</t>
  </si>
  <si>
    <t>wind onshore electricity near Glasgow (cluster 14)</t>
  </si>
  <si>
    <t>elc_won_GBR_015</t>
  </si>
  <si>
    <t>wind onshore electricity near Newcastle (cluster 15)</t>
  </si>
  <si>
    <t>elc_won_GBR_016</t>
  </si>
  <si>
    <t>wind onshore electricity near Glasgow (cluster 16)</t>
  </si>
  <si>
    <t>elc_won_GBR_017</t>
  </si>
  <si>
    <t>wind onshore electricity near Glasgow (cluster 17)</t>
  </si>
  <si>
    <t>elc_won_GBR_018</t>
  </si>
  <si>
    <t>wind onshore electricity near Aberdeen (cluster 18)</t>
  </si>
  <si>
    <t>elc_won_GBR_019</t>
  </si>
  <si>
    <t>wind onshore electricity near Aberdeen (cluster 19)</t>
  </si>
  <si>
    <t>elc_won_GBR_020</t>
  </si>
  <si>
    <t>wind onshore electricity near Glasgow (cluster 20)</t>
  </si>
  <si>
    <t>elc_won_GBR_021</t>
  </si>
  <si>
    <t>wind onshore electricity near Glasgow (cluster 21)</t>
  </si>
  <si>
    <t>h_Arlon_BEL</t>
  </si>
  <si>
    <t>BEL</t>
  </si>
  <si>
    <t>heat at grid node -- way/121085952-225 (Charleroi, 135 km)</t>
  </si>
  <si>
    <t>h_Aubange_BEL</t>
  </si>
  <si>
    <t>heat at grid node -- way/121085952-220 (Charleroi, 135 km)</t>
  </si>
  <si>
    <t>h_Bruges_BEL</t>
  </si>
  <si>
    <t>heat at grid node -- way/500788534 (Bruges, 6 km)</t>
  </si>
  <si>
    <t>h_Brussels_BEL</t>
  </si>
  <si>
    <t>heat at grid node -- way/23151789-380 (Brussels, 35 km)</t>
  </si>
  <si>
    <t>h_Charleroi_BEL</t>
  </si>
  <si>
    <t>heat at grid node -- way/103455240-225 (Charleroi, 6 km)</t>
  </si>
  <si>
    <t>h_Gent_BEL</t>
  </si>
  <si>
    <t>heat at grid node -- way/495688597-380 (Gent, 11 km)</t>
  </si>
  <si>
    <t>h_Hasselt_BEL</t>
  </si>
  <si>
    <t>heat at grid node -- way/124703985-380 (Liege, 55 km)</t>
  </si>
  <si>
    <t>h_Kortrijk_BEL</t>
  </si>
  <si>
    <t>heat at grid node -- way/87529551-400 (Gent, 35 km)</t>
  </si>
  <si>
    <t>h_Liege_BEL</t>
  </si>
  <si>
    <t>heat at grid node -- way/87772591-380 (Liege, 25 km)</t>
  </si>
  <si>
    <t>h_Namur_BEL</t>
  </si>
  <si>
    <t>heat at grid node -- way/88373135-400 (Charleroi, 47 km)</t>
  </si>
  <si>
    <t>h_Seraing_BEL</t>
  </si>
  <si>
    <t>heat at grid node -- way/88799384-380 (Liege, 35 km)</t>
  </si>
  <si>
    <t>e_Arlon_BEL</t>
  </si>
  <si>
    <t>grid node -- way/121085952-225 (Charleroi, 135 km)</t>
  </si>
  <si>
    <t>e_Aubange_BEL</t>
  </si>
  <si>
    <t>grid node -- way/121085952-220 (Charleroi, 135 km)</t>
  </si>
  <si>
    <t>e_Bruges_BEL</t>
  </si>
  <si>
    <t>grid node -- way/500788534 (Bruges, 6 km)</t>
  </si>
  <si>
    <t>e_Brussels_BEL</t>
  </si>
  <si>
    <t>grid node -- way/23151789-380 (Brussels, 35 km)</t>
  </si>
  <si>
    <t>e_Charleroi_BEL</t>
  </si>
  <si>
    <t>grid node -- way/103455240-225 (Charleroi, 6 km)</t>
  </si>
  <si>
    <t>e_Gent_BEL</t>
  </si>
  <si>
    <t>grid node -- way/495688597-380 (Gent, 11 km)</t>
  </si>
  <si>
    <t>e_Hasselt_BEL</t>
  </si>
  <si>
    <t>grid node -- way/124703985-380 (Liege, 55 km)</t>
  </si>
  <si>
    <t>e_Kortrijk_BEL</t>
  </si>
  <si>
    <t>grid node -- way/87529551-400 (Gent, 35 km)</t>
  </si>
  <si>
    <t>e_Liege_BEL</t>
  </si>
  <si>
    <t>grid node -- way/87772591-380 (Liege, 25 km)</t>
  </si>
  <si>
    <t>e_Namur_BEL</t>
  </si>
  <si>
    <t>grid node -- way/88373135-400 (Charleroi, 47 km)</t>
  </si>
  <si>
    <t>e_Seraing_BEL</t>
  </si>
  <si>
    <t>grid node -- way/88799384-380 (Liege, 35 km)</t>
  </si>
  <si>
    <t>elc_spv_BEL_001</t>
  </si>
  <si>
    <t>solar electricity near Charleroi (cluster 1)</t>
  </si>
  <si>
    <t>elc_spv_BEL_002</t>
  </si>
  <si>
    <t>solar electricity near Mons (cluster 2)</t>
  </si>
  <si>
    <t>elc_spv_BEL_003</t>
  </si>
  <si>
    <t>solar electricity near Brussels (cluster 3)</t>
  </si>
  <si>
    <t>elc_spv_BEL_004</t>
  </si>
  <si>
    <t>solar electricity near Kortrijk (cluster 4)</t>
  </si>
  <si>
    <t>elc_spv_BEL_005</t>
  </si>
  <si>
    <t>solar electricity near Brussels (cluster 5)</t>
  </si>
  <si>
    <t>elc_spv_BEL_006</t>
  </si>
  <si>
    <t>solar electricity near Liege (cluster 6)</t>
  </si>
  <si>
    <t>elc_spv_BEL_007</t>
  </si>
  <si>
    <t>solar electricity near Charleroi (cluster 7)</t>
  </si>
  <si>
    <t>elc_spv_BEL_008</t>
  </si>
  <si>
    <t>solar electricity near Liege (cluster 8)</t>
  </si>
  <si>
    <t>elc_spv_BEL_009</t>
  </si>
  <si>
    <t>solar electricity near Antwerp (cluster 9)</t>
  </si>
  <si>
    <t>elc_spv_BEL_010</t>
  </si>
  <si>
    <t>solar electricity near Liege (cluster 10)</t>
  </si>
  <si>
    <t>elc_won_BEL_001</t>
  </si>
  <si>
    <t>wind onshore electricity near Gent (cluster 1)</t>
  </si>
  <si>
    <t>elc_won_BEL_002</t>
  </si>
  <si>
    <t>wind onshore electricity near Kortrijk (cluster 2)</t>
  </si>
  <si>
    <t>elc_won_BEL_003</t>
  </si>
  <si>
    <t>wind onshore electricity near Charleroi (cluster 3)</t>
  </si>
  <si>
    <t>elc_won_BEL_004</t>
  </si>
  <si>
    <t>wind onshore electricity near Liege (cluster 4)</t>
  </si>
  <si>
    <t>elc_won_BEL_005</t>
  </si>
  <si>
    <t>wind onshore electricity near Brussels (cluster 5)</t>
  </si>
  <si>
    <t>elc_won_BEL_006</t>
  </si>
  <si>
    <t>wind onshore electricity near Liege (cluster 6)</t>
  </si>
  <si>
    <t>elc_won_BEL_007</t>
  </si>
  <si>
    <t>wind onshore electricity near Liege (cluster 7)</t>
  </si>
  <si>
    <t>elc_won_BEL_008</t>
  </si>
  <si>
    <t>wind onshore electricity near Liege (cluster 8)</t>
  </si>
  <si>
    <t>elc_won_BEL_009</t>
  </si>
  <si>
    <t>wind onshore electricity near Brussels (cluster 9)</t>
  </si>
  <si>
    <t>elc_won_BEL_010</t>
  </si>
  <si>
    <t>wind onshore electricity near Charleroi (cluster 10)</t>
  </si>
  <si>
    <t>h_Amberg_DEU</t>
  </si>
  <si>
    <t>DEU</t>
  </si>
  <si>
    <t>heat at grid node -- way/29084374-380 (Nuremberg, 77 km)</t>
  </si>
  <si>
    <t>h_Bautzen_DEU</t>
  </si>
  <si>
    <t>heat at grid node -- way/157806991-380 (Dresden, 67 km)</t>
  </si>
  <si>
    <t>h_Chemnitz_DEU</t>
  </si>
  <si>
    <t>heat at grid node -- way/943135226-380 (Chemnitz, 8 km)</t>
  </si>
  <si>
    <t>h_Cologne_DEU</t>
  </si>
  <si>
    <t>heat at grid node -- way/24839976-380 (Cologne, 19 km)</t>
  </si>
  <si>
    <t>h_Donaueschingen_DEU</t>
  </si>
  <si>
    <t>heat at grid node -- way/31367940-380 (Freiburg im Breisgau, 50 km)</t>
  </si>
  <si>
    <t>h_Duisburg_DEU</t>
  </si>
  <si>
    <t>heat at grid node -- DE62-380 (Duisburg, 39 km)</t>
  </si>
  <si>
    <t>h_Eisenhuttenstadt_DEU</t>
  </si>
  <si>
    <t>heat at grid node -- way/941198517-380 (Cottbus, 16 km)</t>
  </si>
  <si>
    <t>h_Elmshorn_DEU</t>
  </si>
  <si>
    <t>heat at grid node -- way/525964617 (Norderstedt, 50 km)</t>
  </si>
  <si>
    <t>h_Emden_DEU</t>
  </si>
  <si>
    <t>heat at grid node -- way/1280840211-380 (Emden, 28 km)</t>
  </si>
  <si>
    <t>h_Emmendingen_DEU</t>
  </si>
  <si>
    <t>heat at grid node -- way/87653464-220 (Freiburg im Breisgau, 13 km)</t>
  </si>
  <si>
    <t>h_Flensburg_DEU</t>
  </si>
  <si>
    <t>heat at grid node -- way/449010725-380 (Flensburg, 10 km)</t>
  </si>
  <si>
    <t>h_FreiburgImBreisgau_DEU</t>
  </si>
  <si>
    <t>heat at grid node -- way/87653464-400 (Freiburg im Breisgau, 13 km)</t>
  </si>
  <si>
    <t>h_Friedrichshafen_DEU</t>
  </si>
  <si>
    <t>heat at grid node -- way/31131320-380 (Konstanz, 46 km)</t>
  </si>
  <si>
    <t>h_Gorlitz_DEU</t>
  </si>
  <si>
    <t>heat at grid node -- way/59026005-380 (Gorlitz, 10 km)</t>
  </si>
  <si>
    <t>h_Gustrow_DEU</t>
  </si>
  <si>
    <t>heat at grid node -- way/940919943 (Rostock, 6 km)</t>
  </si>
  <si>
    <t>h_Hamburg_DEU</t>
  </si>
  <si>
    <t>heat at grid node -- way/1089911133-380 (Hamburg, 31 km)</t>
  </si>
  <si>
    <t>h_Jena_DEU</t>
  </si>
  <si>
    <t>heat at grid node -- way/143882655-380 (Jena, 33 km)</t>
  </si>
  <si>
    <t>h_Kempten_DEU</t>
  </si>
  <si>
    <t>heat at grid node -- way/57727004-220 (Kempten, 3 km)</t>
  </si>
  <si>
    <t>h_Konz_DEU</t>
  </si>
  <si>
    <t>heat at grid node -- way/89176939-220 (Trier, 38 km)</t>
  </si>
  <si>
    <t>h_Lorrach_DEU</t>
  </si>
  <si>
    <t>heat at grid node -- way/88916034-380 (Freiburg im Breisgau, 45 km)</t>
  </si>
  <si>
    <t>h_Lubeck_DEU</t>
  </si>
  <si>
    <t>heat at grid node -- way/275466323 (Lubeck, 8 km)</t>
  </si>
  <si>
    <t>h_Magdeburg_DEU</t>
  </si>
  <si>
    <t>heat at grid node -- way/26472665-380 (Magdeburg, 15 km)</t>
  </si>
  <si>
    <t>h_Muhldorf_DEU</t>
  </si>
  <si>
    <t>heat at grid node -- DE206-220 (Landshut, 73 km)</t>
  </si>
  <si>
    <t>h_Offenburg_DEU</t>
  </si>
  <si>
    <t>heat at grid node -- way/82130902-225 (Karlsruhe, 51 km)</t>
  </si>
  <si>
    <t>h_Oldenburg_DEU</t>
  </si>
  <si>
    <t>heat at grid node -- way/1128250707-380 (Oldenburg, 24 km)</t>
  </si>
  <si>
    <t>h_Radebeul_DEU</t>
  </si>
  <si>
    <t>heat at grid node -- way/157328339-380 (Leipzig, 70 km)</t>
  </si>
  <si>
    <t>h_Ravensburg_DEU</t>
  </si>
  <si>
    <t>heat at grid node -- way/25306752-220 (Ulm, 56 km)</t>
  </si>
  <si>
    <t>h_Rheine_DEU</t>
  </si>
  <si>
    <t>heat at grid node -- way/952346322-380 (Rheine, 29 km)</t>
  </si>
  <si>
    <t>h_RheinfeldenBaden_DEU</t>
  </si>
  <si>
    <t>heat at grid node -- way/88916034-220 (Freiburg im Breisgau, 45 km)</t>
  </si>
  <si>
    <t>h_Saarbrucken_DEU</t>
  </si>
  <si>
    <t>heat at grid node -- way/82773910-400 (Saarbrucken, 18 km)</t>
  </si>
  <si>
    <t>h_SchwedtOder_DEU</t>
  </si>
  <si>
    <t>heat at grid node -- way/170123812-400 (Berlin, 87 km)</t>
  </si>
  <si>
    <t>h_Trier_DEU</t>
  </si>
  <si>
    <t>heat at grid node -- DE173-220 (Trier, 5 km)</t>
  </si>
  <si>
    <t>h_Ulm_DEU</t>
  </si>
  <si>
    <t>heat at grid node -- DE205-380 (Ulm, 15 km)</t>
  </si>
  <si>
    <t>h_VillingenSchwennin_DEU</t>
  </si>
  <si>
    <t>heat at grid node -- DE209-380 (Villingen-Schwenningen, 17 km)</t>
  </si>
  <si>
    <t>h_WaldshutTiengen_DEU</t>
  </si>
  <si>
    <t>heat at grid node -- way/31367940-220 (Freiburg im Breisgau, 50 km)</t>
  </si>
  <si>
    <t>h_Weilheim_DEU</t>
  </si>
  <si>
    <t>heat at grid node -- way/68532663-220 (Munich, 75 km)</t>
  </si>
  <si>
    <t>h_Wurzburg_DEU</t>
  </si>
  <si>
    <t>heat at grid node -- way/108797675-380 (Wurzburg, 29 km)</t>
  </si>
  <si>
    <t>e_Amberg_DEU</t>
  </si>
  <si>
    <t>grid node -- way/29084374-380 (Nuremberg, 77 km)</t>
  </si>
  <si>
    <t>e_Bautzen_DEU</t>
  </si>
  <si>
    <t>grid node -- way/157806991-380 (Dresden, 67 km)</t>
  </si>
  <si>
    <t>e_Chemnitz_DEU</t>
  </si>
  <si>
    <t>grid node -- way/943135226-380 (Chemnitz, 8 km)</t>
  </si>
  <si>
    <t>e_Cologne_DEU</t>
  </si>
  <si>
    <t>grid node -- way/24839976-380 (Cologne, 19 km)</t>
  </si>
  <si>
    <t>e_Donaueschingen_DEU</t>
  </si>
  <si>
    <t>grid node -- way/31367940-380 (Freiburg im Breisgau, 50 km)</t>
  </si>
  <si>
    <t>e_Duisburg_DEU</t>
  </si>
  <si>
    <t>grid node -- DE62-380 (Duisburg, 39 km)</t>
  </si>
  <si>
    <t>e_Eisenhuttenstadt_DEU</t>
  </si>
  <si>
    <t>grid node -- way/941198517-380 (Cottbus, 16 km)</t>
  </si>
  <si>
    <t>e_Elmshorn_DEU</t>
  </si>
  <si>
    <t>grid node -- way/525964617 (Norderstedt, 50 km)</t>
  </si>
  <si>
    <t>e_Emden_DEU</t>
  </si>
  <si>
    <t>grid node -- way/1280840211-380 (Emden, 28 km)</t>
  </si>
  <si>
    <t>e_Emmendingen_DEU</t>
  </si>
  <si>
    <t>grid node -- way/87653464-220 (Freiburg im Breisgau, 13 km)</t>
  </si>
  <si>
    <t>e_Flensburg_DEU</t>
  </si>
  <si>
    <t>grid node -- way/449010725-380 (Flensburg, 10 km)</t>
  </si>
  <si>
    <t>e_FreiburgImBreisgau_DEU</t>
  </si>
  <si>
    <t>grid node -- way/87653464-400 (Freiburg im Breisgau, 13 km)</t>
  </si>
  <si>
    <t>e_Friedrichshafen_DEU</t>
  </si>
  <si>
    <t>grid node -- way/31131320-380 (Konstanz, 46 km)</t>
  </si>
  <si>
    <t>e_Gorlitz_DEU</t>
  </si>
  <si>
    <t>grid node -- way/59026005-380 (Gorlitz, 10 km)</t>
  </si>
  <si>
    <t>e_Gustrow_DEU</t>
  </si>
  <si>
    <t>grid node -- way/940919943 (Rostock, 6 km)</t>
  </si>
  <si>
    <t>e_Hamburg_DEU</t>
  </si>
  <si>
    <t>grid node -- way/1089911133-380 (Hamburg, 31 km)</t>
  </si>
  <si>
    <t>e_Jena_DEU</t>
  </si>
  <si>
    <t>grid node -- way/143882655-380 (Jena, 33 km)</t>
  </si>
  <si>
    <t>e_Kempten_DEU</t>
  </si>
  <si>
    <t>grid node -- way/57727004-220 (Kempten, 3 km)</t>
  </si>
  <si>
    <t>e_Konz_DEU</t>
  </si>
  <si>
    <t>grid node -- way/89176939-220 (Trier, 38 km)</t>
  </si>
  <si>
    <t>e_Lorrach_DEU</t>
  </si>
  <si>
    <t>grid node -- way/88916034-380 (Freiburg im Breisgau, 45 km)</t>
  </si>
  <si>
    <t>e_Lubeck_DEU</t>
  </si>
  <si>
    <t>grid node -- way/275466323 (Lubeck, 8 km)</t>
  </si>
  <si>
    <t>e_Magdeburg_DEU</t>
  </si>
  <si>
    <t>grid node -- way/26472665-380 (Magdeburg, 15 km)</t>
  </si>
  <si>
    <t>e_Muhldorf_DEU</t>
  </si>
  <si>
    <t>grid node -- DE206-220 (Landshut, 73 km)</t>
  </si>
  <si>
    <t>e_Offenburg_DEU</t>
  </si>
  <si>
    <t>grid node -- way/82130902-225 (Karlsruhe, 51 km)</t>
  </si>
  <si>
    <t>e_Oldenburg_DEU</t>
  </si>
  <si>
    <t>grid node -- way/1128250707-380 (Oldenburg, 24 km)</t>
  </si>
  <si>
    <t>e_Radebeul_DEU</t>
  </si>
  <si>
    <t>grid node -- way/157328339-380 (Leipzig, 70 km)</t>
  </si>
  <si>
    <t>e_Ravensburg_DEU</t>
  </si>
  <si>
    <t>grid node -- way/25306752-220 (Ulm, 56 km)</t>
  </si>
  <si>
    <t>e_Rheine_DEU</t>
  </si>
  <si>
    <t>grid node -- way/952346322-380 (Rheine, 29 km)</t>
  </si>
  <si>
    <t>e_RheinfeldenBaden_DEU</t>
  </si>
  <si>
    <t>grid node -- way/88916034-220 (Freiburg im Breisgau, 45 km)</t>
  </si>
  <si>
    <t>e_Saarbrucken_DEU</t>
  </si>
  <si>
    <t>grid node -- way/82773910-400 (Saarbrucken, 18 km)</t>
  </si>
  <si>
    <t>e_SchwedtOder_DEU</t>
  </si>
  <si>
    <t>grid node -- way/170123812-400 (Berlin, 87 km)</t>
  </si>
  <si>
    <t>e_Trier_DEU</t>
  </si>
  <si>
    <t>grid node -- DE173-220 (Trier, 5 km)</t>
  </si>
  <si>
    <t>e_Ulm_DEU</t>
  </si>
  <si>
    <t>grid node -- DE205-380 (Ulm, 15 km)</t>
  </si>
  <si>
    <t>e_VillingenSchwennin_DEU</t>
  </si>
  <si>
    <t>grid node -- DE209-380 (Villingen-Schwenningen, 17 km)</t>
  </si>
  <si>
    <t>e_WaldshutTiengen_DEU</t>
  </si>
  <si>
    <t>grid node -- way/31367940-220 (Freiburg im Breisgau, 50 km)</t>
  </si>
  <si>
    <t>e_Weilheim_DEU</t>
  </si>
  <si>
    <t>grid node -- way/68532663-220 (Munich, 75 km)</t>
  </si>
  <si>
    <t>e_Wurzburg_DEU</t>
  </si>
  <si>
    <t>grid node -- way/108797675-380 (Wurzburg, 29 km)</t>
  </si>
  <si>
    <t>elc_spv_DEU_001</t>
  </si>
  <si>
    <t>solar electricity near Braunschweig (cluster 1)</t>
  </si>
  <si>
    <t>elc_spv_DEU_002</t>
  </si>
  <si>
    <t>solar electricity near Brandenburg (cluster 2)</t>
  </si>
  <si>
    <t>elc_spv_DEU_003</t>
  </si>
  <si>
    <t>solar electricity near Dresden (cluster 3)</t>
  </si>
  <si>
    <t>elc_spv_DEU_004</t>
  </si>
  <si>
    <t>solar electricity near Leipzig (cluster 4)</t>
  </si>
  <si>
    <t>elc_spv_DEU_005</t>
  </si>
  <si>
    <t>solar electricity near Chemnitz (cluster 5)</t>
  </si>
  <si>
    <t>elc_spv_DEU_006</t>
  </si>
  <si>
    <t>solar electricity near Berlin (cluster 6)</t>
  </si>
  <si>
    <t>elc_spv_DEU_007</t>
  </si>
  <si>
    <t>solar electricity near Rostock (cluster 7)</t>
  </si>
  <si>
    <t>elc_spv_DEU_008</t>
  </si>
  <si>
    <t>solar electricity near Greifswald (cluster 8)</t>
  </si>
  <si>
    <t>elc_spv_DEU_009</t>
  </si>
  <si>
    <t>solar electricity near Hamburg (cluster 9)</t>
  </si>
  <si>
    <t>elc_spv_DEU_010</t>
  </si>
  <si>
    <t>solar electricity near Bremen (cluster 10)</t>
  </si>
  <si>
    <t>elc_spv_DEU_011</t>
  </si>
  <si>
    <t>solar electricity near Kiel (cluster 11)</t>
  </si>
  <si>
    <t>elc_spv_DEU_012</t>
  </si>
  <si>
    <t>solar electricity near Oldenburg (cluster 12)</t>
  </si>
  <si>
    <t>elc_spv_DEU_013</t>
  </si>
  <si>
    <t>solar electricity near Konstanz (cluster 13)</t>
  </si>
  <si>
    <t>elc_spv_DEU_014</t>
  </si>
  <si>
    <t>solar electricity near Aalen (cluster 14)</t>
  </si>
  <si>
    <t>elc_spv_DEU_015</t>
  </si>
  <si>
    <t>solar electricity near Regensburg (cluster 15)</t>
  </si>
  <si>
    <t>elc_spv_DEU_016</t>
  </si>
  <si>
    <t>solar electricity near Munich (cluster 16)</t>
  </si>
  <si>
    <t>elc_spv_DEU_017</t>
  </si>
  <si>
    <t>solar electricity near Cologne (cluster 17)</t>
  </si>
  <si>
    <t>elc_spv_DEU_018</t>
  </si>
  <si>
    <t>solar electricity near Munster (cluster 18)</t>
  </si>
  <si>
    <t>elc_spv_DEU_019</t>
  </si>
  <si>
    <t>solar electricity near Bielefeld (cluster 19)</t>
  </si>
  <si>
    <t>elc_spv_DEU_020</t>
  </si>
  <si>
    <t>solar electricity near Kassel (cluster 20)</t>
  </si>
  <si>
    <t>elc_spv_DEU_021</t>
  </si>
  <si>
    <t>solar electricity near Wurzburg (cluster 21)</t>
  </si>
  <si>
    <t>elc_spv_DEU_022</t>
  </si>
  <si>
    <t>solar electricity near Kaiserslautern (cluster 22)</t>
  </si>
  <si>
    <t>elc_spv_DEU_023</t>
  </si>
  <si>
    <t>solar electricity near Kaiserslautern (cluster 23)</t>
  </si>
  <si>
    <t>elc_wof_DEU_001</t>
  </si>
  <si>
    <t>wind offshore electricity near Wilhelmshaven (cluster 1)</t>
  </si>
  <si>
    <t>elc_wof_DEU_002</t>
  </si>
  <si>
    <t>wind offshore electricity near Bremerhaven (cluster 2)</t>
  </si>
  <si>
    <t>elc_wof_DEU_003</t>
  </si>
  <si>
    <t>wind offshore electricity near Bremerhaven (cluster 3)</t>
  </si>
  <si>
    <t>elc_wof_DEU_004</t>
  </si>
  <si>
    <t>wind offshore electricity near Wilhelmshaven (cluster 4)</t>
  </si>
  <si>
    <t>elc_wof_DEU_005</t>
  </si>
  <si>
    <t>wind offshore electricity near Bremerhaven (cluster 5)</t>
  </si>
  <si>
    <t>elc_wof_DEU_006</t>
  </si>
  <si>
    <t>wind offshore electricity near Greifswald (cluster 6)</t>
  </si>
  <si>
    <t>elc_wof_DEU_007</t>
  </si>
  <si>
    <t>wind offshore electricity near Neubrandenburg (cluster 7)</t>
  </si>
  <si>
    <t>elc_wof_DEU_008</t>
  </si>
  <si>
    <t>wind offshore electricity near Hamburg (cluster 8)</t>
  </si>
  <si>
    <t>elc_wof_DEU_009</t>
  </si>
  <si>
    <t>wind offshore electricity near Kiel (cluster 9)</t>
  </si>
  <si>
    <t>elc_wof_DEU_010</t>
  </si>
  <si>
    <t>wind offshore electricity near Rostock (cluster 10)</t>
  </si>
  <si>
    <t>elc_won_DEU_001</t>
  </si>
  <si>
    <t>wind onshore electricity near Munich (cluster 1)</t>
  </si>
  <si>
    <t>elc_won_DEU_002</t>
  </si>
  <si>
    <t>wind onshore electricity near Passau (cluster 2)</t>
  </si>
  <si>
    <t>elc_won_DEU_003</t>
  </si>
  <si>
    <t>wind onshore electricity near Regensburg (cluster 3)</t>
  </si>
  <si>
    <t>elc_won_DEU_004</t>
  </si>
  <si>
    <t>wind onshore electricity near Nuremberg (cluster 4)</t>
  </si>
  <si>
    <t>elc_won_DEU_005</t>
  </si>
  <si>
    <t>wind onshore electricity near Stuttgart (cluster 5)</t>
  </si>
  <si>
    <t>elc_won_DEU_006</t>
  </si>
  <si>
    <t>wind onshore electricity near Freiburg im Breisgau (cluster 6)</t>
  </si>
  <si>
    <t>elc_won_DEU_007</t>
  </si>
  <si>
    <t>wind onshore electricity near Ulm (cluster 7)</t>
  </si>
  <si>
    <t>elc_won_DEU_008</t>
  </si>
  <si>
    <t>wind onshore electricity near Saarbrucken (cluster 8)</t>
  </si>
  <si>
    <t>elc_won_DEU_009</t>
  </si>
  <si>
    <t>wind onshore electricity near Wurzburg (cluster 9)</t>
  </si>
  <si>
    <t>elc_won_DEU_010</t>
  </si>
  <si>
    <t>wind onshore electricity near Aalen (cluster 10)</t>
  </si>
  <si>
    <t>elc_won_DEU_011</t>
  </si>
  <si>
    <t>wind onshore electricity near Salzgitter (cluster 11)</t>
  </si>
  <si>
    <t>elc_won_DEU_012</t>
  </si>
  <si>
    <t>wind onshore electricity near Giessen (cluster 12)</t>
  </si>
  <si>
    <t>elc_won_DEU_013</t>
  </si>
  <si>
    <t>wind onshore electricity near Jena (cluster 13)</t>
  </si>
  <si>
    <t>elc_won_DEU_014</t>
  </si>
  <si>
    <t>wind onshore electricity near Cologne (cluster 14)</t>
  </si>
  <si>
    <t>elc_won_DEU_015</t>
  </si>
  <si>
    <t>wind onshore electricity near Rheine (cluster 15)</t>
  </si>
  <si>
    <t>elc_won_DEU_016</t>
  </si>
  <si>
    <t>wind onshore electricity near Bremen (cluster 16)</t>
  </si>
  <si>
    <t>elc_won_DEU_017</t>
  </si>
  <si>
    <t>wind onshore electricity near Greifswald (cluster 17)</t>
  </si>
  <si>
    <t>elc_won_DEU_018</t>
  </si>
  <si>
    <t>wind onshore electricity near Wilhelmshaven (cluster 18)</t>
  </si>
  <si>
    <t>elc_won_DEU_019</t>
  </si>
  <si>
    <t>wind onshore electricity near Kiel (cluster 19)</t>
  </si>
  <si>
    <t>elc_won_DEU_020</t>
  </si>
  <si>
    <t>wind onshore electricity near Dresden (cluster 20)</t>
  </si>
  <si>
    <t>elc_won_DEU_021</t>
  </si>
  <si>
    <t>wind onshore electricity near Berlin (cluster 21)</t>
  </si>
  <si>
    <t>elc_won_DEU_022</t>
  </si>
  <si>
    <t>wind onshore electricity near Schwerin (cluster 22)</t>
  </si>
  <si>
    <t>h_Aarau_CHE</t>
  </si>
  <si>
    <t>CHE</t>
  </si>
  <si>
    <t>heat at grid node -- way/397960460-400 (Basel, 12 km)</t>
  </si>
  <si>
    <t>h_Bellinzona_CHE</t>
  </si>
  <si>
    <t>heat at grid node -- way/969811258-380 (Lugano, 49 km)</t>
  </si>
  <si>
    <t>h_Bern_CHE</t>
  </si>
  <si>
    <t>heat at grid node -- CH14-220 (Bern, 22 km)</t>
  </si>
  <si>
    <t>h_BielBienne_CHE</t>
  </si>
  <si>
    <t>heat at grid node -- way/127004407-380 (Basel, 35 km)</t>
  </si>
  <si>
    <t>h_BrigGlis_CHE</t>
  </si>
  <si>
    <t>heat at grid node -- way/391576135-220 (Lugano, 67 km)</t>
  </si>
  <si>
    <t>h_Brugg_CHE</t>
  </si>
  <si>
    <t>heat at grid node -- way/50319857-400 (Zurich, 42 km)</t>
  </si>
  <si>
    <t>h_Chur_CHE</t>
  </si>
  <si>
    <t>heat at grid node -- way/207993342-380 (Zurich, 102 km)</t>
  </si>
  <si>
    <t>h_Davos_CHE</t>
  </si>
  <si>
    <t>heat at grid node -- way/207991759-380 (Lugano, 93 km)</t>
  </si>
  <si>
    <t>h_Dietikon_CHE</t>
  </si>
  <si>
    <t>heat at grid node -- way/50319857-380 (Zurich, 42 km)</t>
  </si>
  <si>
    <t>h_Fully_CHE</t>
  </si>
  <si>
    <t>heat at grid node -- way/802058337-220 (Geneva, 82 km)</t>
  </si>
  <si>
    <t>h_Geneva_CHE</t>
  </si>
  <si>
    <t>heat at grid node -- CH57-225 (Geneva, 12 km)</t>
  </si>
  <si>
    <t>h_Kriens_CHE</t>
  </si>
  <si>
    <t>heat at grid node -- way/240959264-220 (Bern, 66 km)</t>
  </si>
  <si>
    <t>h_Landquart_CHE</t>
  </si>
  <si>
    <t>heat at grid node -- relation/7933294-380 (Sankt Gallen, 100 km)</t>
  </si>
  <si>
    <t>h_Locarno_CHE</t>
  </si>
  <si>
    <t>heat at grid node -- way/281804158-380 (Lugano, 41 km)</t>
  </si>
  <si>
    <t>h_Lucerne_CHE</t>
  </si>
  <si>
    <t>heat at grid node -- way/35002638-220 (Zurich, 33 km)</t>
  </si>
  <si>
    <t>h_Lugano_CHE</t>
  </si>
  <si>
    <t>heat at grid node -- way/281815404-220 (Lugano, 17 km)</t>
  </si>
  <si>
    <t>h_Montreux_CHE</t>
  </si>
  <si>
    <t>heat at grid node -- way/111162936-220 (Lausanne, 4 km)</t>
  </si>
  <si>
    <t>h_Riehen_CHE</t>
  </si>
  <si>
    <t>heat at grid node -- way/127004407-400 (Basel, 35 km)</t>
  </si>
  <si>
    <t>h_SanktGallen_CHE</t>
  </si>
  <si>
    <t>heat at grid node -- way/455120191-220 (Sankt Gallen, 19 km)</t>
  </si>
  <si>
    <t>h_Thun_CHE</t>
  </si>
  <si>
    <t>heat at grid node -- way/1105061707-220 (Bern, 13 km)</t>
  </si>
  <si>
    <t>h_Winterthur_CHE</t>
  </si>
  <si>
    <t>heat at grid node -- way/192677427-220 (Zurich, 37 km)</t>
  </si>
  <si>
    <t>h_YverdonLesBains_CHE</t>
  </si>
  <si>
    <t>heat at grid node -- way/111162936-400 (Lausanne, 4 km)</t>
  </si>
  <si>
    <t>h_Zurich_CHE</t>
  </si>
  <si>
    <t>heat at grid node -- way/147714395-220 (Zurich, 13 km)</t>
  </si>
  <si>
    <t>e_Aarau_CHE</t>
  </si>
  <si>
    <t>grid node -- way/397960460-400 (Basel, 12 km)</t>
  </si>
  <si>
    <t>e_Bellinzona_CHE</t>
  </si>
  <si>
    <t>grid node -- way/969811258-380 (Lugano, 49 km)</t>
  </si>
  <si>
    <t>e_Bern_CHE</t>
  </si>
  <si>
    <t>grid node -- CH14-220 (Bern, 22 km)</t>
  </si>
  <si>
    <t>e_BielBienne_CHE</t>
  </si>
  <si>
    <t>grid node -- way/127004407-380 (Basel, 35 km)</t>
  </si>
  <si>
    <t>e_BrigGlis_CHE</t>
  </si>
  <si>
    <t>grid node -- way/391576135-220 (Lugano, 67 km)</t>
  </si>
  <si>
    <t>e_Brugg_CHE</t>
  </si>
  <si>
    <t>grid node -- way/50319857-400 (Zurich, 42 km)</t>
  </si>
  <si>
    <t>e_Chur_CHE</t>
  </si>
  <si>
    <t>grid node -- way/207993342-380 (Zurich, 102 km)</t>
  </si>
  <si>
    <t>e_Davos_CHE</t>
  </si>
  <si>
    <t>grid node -- way/207991759-380 (Lugano, 93 km)</t>
  </si>
  <si>
    <t>e_Dietikon_CHE</t>
  </si>
  <si>
    <t>grid node -- way/50319857-380 (Zurich, 42 km)</t>
  </si>
  <si>
    <t>e_Fully_CHE</t>
  </si>
  <si>
    <t>grid node -- way/802058337-220 (Geneva, 82 km)</t>
  </si>
  <si>
    <t>e_Geneva_CHE</t>
  </si>
  <si>
    <t>grid node -- CH57-225 (Geneva, 12 km)</t>
  </si>
  <si>
    <t>e_Kriens_CHE</t>
  </si>
  <si>
    <t>grid node -- way/240959264-220 (Bern, 66 km)</t>
  </si>
  <si>
    <t>e_Landquart_CHE</t>
  </si>
  <si>
    <t>grid node -- relation/7933294-380 (Sankt Gallen, 100 km)</t>
  </si>
  <si>
    <t>e_Locarno_CHE</t>
  </si>
  <si>
    <t>grid node -- way/281804158-380 (Lugano, 41 km)</t>
  </si>
  <si>
    <t>e_Lucerne_CHE</t>
  </si>
  <si>
    <t>grid node -- way/35002638-220 (Zurich, 33 km)</t>
  </si>
  <si>
    <t>e_Lugano_CHE</t>
  </si>
  <si>
    <t>grid node -- way/281815404-220 (Lugano, 17 km)</t>
  </si>
  <si>
    <t>e_Montreux_CHE</t>
  </si>
  <si>
    <t>grid node -- way/111162936-220 (Lausanne, 4 km)</t>
  </si>
  <si>
    <t>e_Riehen_CHE</t>
  </si>
  <si>
    <t>grid node -- way/127004407-400 (Basel, 35 km)</t>
  </si>
  <si>
    <t>e_SanktGallen_CHE</t>
  </si>
  <si>
    <t>grid node -- way/455120191-220 (Sankt Gallen, 19 km)</t>
  </si>
  <si>
    <t>e_Thun_CHE</t>
  </si>
  <si>
    <t>grid node -- way/1105061707-220 (Bern, 13 km)</t>
  </si>
  <si>
    <t>e_Winterthur_CHE</t>
  </si>
  <si>
    <t>grid node -- way/192677427-220 (Zurich, 37 km)</t>
  </si>
  <si>
    <t>e_YverdonLesBains_CHE</t>
  </si>
  <si>
    <t>grid node -- way/111162936-400 (Lausanne, 4 km)</t>
  </si>
  <si>
    <t>e_Zurich_CHE</t>
  </si>
  <si>
    <t>grid node -- way/147714395-220 (Zurich, 13 km)</t>
  </si>
  <si>
    <t>elc_spv_CHE_001</t>
  </si>
  <si>
    <t>solar electricity near Bern (cluster 1)</t>
  </si>
  <si>
    <t>elc_spv_CHE_002</t>
  </si>
  <si>
    <t>solar electricity near Zurich (cluster 2)</t>
  </si>
  <si>
    <t>elc_spv_CHE_003</t>
  </si>
  <si>
    <t>solar electricity near Basel (cluster 3)</t>
  </si>
  <si>
    <t>elc_spv_CHE_004</t>
  </si>
  <si>
    <t>solar electricity near Lausanne (cluster 4)</t>
  </si>
  <si>
    <t>elc_spv_CHE_005</t>
  </si>
  <si>
    <t>solar electricity near Lugano (cluster 5)</t>
  </si>
  <si>
    <t>elc_spv_CHE_006</t>
  </si>
  <si>
    <t>solar electricity near Lugano (cluster 6)</t>
  </si>
  <si>
    <t>elc_spv_CHE_007</t>
  </si>
  <si>
    <t>solar electricity near Sankt Gallen (cluster 7)</t>
  </si>
  <si>
    <t>elc_spv_CHE_008</t>
  </si>
  <si>
    <t>solar electricity near Sankt Gallen (cluster 8)</t>
  </si>
  <si>
    <t>elc_spv_CHE_009</t>
  </si>
  <si>
    <t>solar electricity near Geneva (cluster 9)</t>
  </si>
  <si>
    <t>elc_spv_CHE_010</t>
  </si>
  <si>
    <t>solar electricity near Bern (cluster 10)</t>
  </si>
  <si>
    <t>elc_won_CHE_001</t>
  </si>
  <si>
    <t>wind onshore electricity near Geneva (cluster 1)</t>
  </si>
  <si>
    <t>elc_won_CHE_002</t>
  </si>
  <si>
    <t>wind onshore electricity near Lausanne (cluster 2)</t>
  </si>
  <si>
    <t>elc_won_CHE_003</t>
  </si>
  <si>
    <t>wind onshore electricity near Bern (cluster 3)</t>
  </si>
  <si>
    <t>elc_won_CHE_004</t>
  </si>
  <si>
    <t>wind onshore electricity near Basel (cluster 4)</t>
  </si>
  <si>
    <t>elc_won_CHE_005</t>
  </si>
  <si>
    <t>wind onshore electricity near Basel (cluster 5)</t>
  </si>
  <si>
    <t>elc_won_CHE_006</t>
  </si>
  <si>
    <t>wind onshore electricity near Zurich (cluster 6)</t>
  </si>
  <si>
    <t>h_Alghero_ITA</t>
  </si>
  <si>
    <t>ITA</t>
  </si>
  <si>
    <t>heat at grid node -- IT131-380 (Sassari, 13 km)</t>
  </si>
  <si>
    <t>h_Aosta_ITA</t>
  </si>
  <si>
    <t>heat at grid node -- IT60-400 (Turin, 61 km)</t>
  </si>
  <si>
    <t>h_Brescia_ITA</t>
  </si>
  <si>
    <t>heat at grid node -- way/42206116-380 (Brescia, 34 km)</t>
  </si>
  <si>
    <t>h_Calimera_ITA</t>
  </si>
  <si>
    <t>heat at grid node -- way/103386958 (Lecce, 21 km)</t>
  </si>
  <si>
    <t>h_Civitavecchia_ITA</t>
  </si>
  <si>
    <t>heat at grid node -- way/59219335-380 (Grosseto, 60 km)</t>
  </si>
  <si>
    <t>h_Como_ITA</t>
  </si>
  <si>
    <t>heat at grid node -- way/72570378-380 (Como, 38 km)</t>
  </si>
  <si>
    <t>h_Domodossola_ITA</t>
  </si>
  <si>
    <t>heat at grid node -- way/105462289-220 (Como, 81 km)</t>
  </si>
  <si>
    <t>h_Gorizia_ITA</t>
  </si>
  <si>
    <t>heat at grid node -- way/61038773-220 (Trieste, 5 km)</t>
  </si>
  <si>
    <t>h_Lana_ITA</t>
  </si>
  <si>
    <t>heat at grid node -- way/98787157-220 (Trento, 79 km)</t>
  </si>
  <si>
    <t>h_Latina_ITA</t>
  </si>
  <si>
    <t>heat at grid node -- way/1158716725 (Latina, 9 km)</t>
  </si>
  <si>
    <t>h_Lecce_ITA</t>
  </si>
  <si>
    <t>heat at grid node -- way/60888331-380 (Lecce, 31 km)</t>
  </si>
  <si>
    <t>h_Messina_ITA</t>
  </si>
  <si>
    <t>heat at grid node -- way/110138220-220 (Messina, 24 km)</t>
  </si>
  <si>
    <t>h_Milan_ITA</t>
  </si>
  <si>
    <t>heat at grid node -- way/74677138-380 (Milan, 16 km)</t>
  </si>
  <si>
    <t>h_Morbegno_ITA</t>
  </si>
  <si>
    <t>heat at grid node -- IT3-380 (Monza, 82 km)</t>
  </si>
  <si>
    <t>h_Palermo_ITA</t>
  </si>
  <si>
    <t>heat at grid node -- way/57736553-220 (Palermo, 36 km)</t>
  </si>
  <si>
    <t>h_Pescara_ITA</t>
  </si>
  <si>
    <t>heat at grid node -- way/577074555 (Pescara, 11 km)</t>
  </si>
  <si>
    <t>h_Pinerolo_ITA</t>
  </si>
  <si>
    <t>heat at grid node -- way/491424937-400 (Turin, 53 km)</t>
  </si>
  <si>
    <t>h_Piombino_ITA</t>
  </si>
  <si>
    <t>heat at grid node -- way/136789074 (Livorno, 63 km)</t>
  </si>
  <si>
    <t>h_Pordenone_ITA</t>
  </si>
  <si>
    <t>heat at grid node -- way/159821869-220 (Treviso, 59 km)</t>
  </si>
  <si>
    <t>h_SanRemo_ITA</t>
  </si>
  <si>
    <t>heat at grid node -- way/103653567-225 (San Remo, 12 km)</t>
  </si>
  <si>
    <t>h_Sassari_ITA</t>
  </si>
  <si>
    <t>heat at grid node -- way/203225567 (Sassari, 25 km)</t>
  </si>
  <si>
    <t>h_Tirano_ITA</t>
  </si>
  <si>
    <t>heat at grid node -- way/72466334-380 (Verona, 84 km)</t>
  </si>
  <si>
    <t>h_Trento_ITA</t>
  </si>
  <si>
    <t>heat at grid node -- way/147466201-220 (Trento, 10 km)</t>
  </si>
  <si>
    <t>h_Trieste_ITA</t>
  </si>
  <si>
    <t>heat at grid node -- way/41892273-400 (Trieste, 32 km)</t>
  </si>
  <si>
    <t>h_Verbania_ITA</t>
  </si>
  <si>
    <t>heat at grid node -- way/104114052-220 (Novara, 72 km)</t>
  </si>
  <si>
    <t>e_Alghero_ITA</t>
  </si>
  <si>
    <t>grid node -- IT131-380 (Sassari, 13 km)</t>
  </si>
  <si>
    <t>e_Aosta_ITA</t>
  </si>
  <si>
    <t>grid node -- IT60-400 (Turin, 61 km)</t>
  </si>
  <si>
    <t>e_Brescia_ITA</t>
  </si>
  <si>
    <t>grid node -- way/42206116-380 (Brescia, 34 km)</t>
  </si>
  <si>
    <t>e_Calimera_ITA</t>
  </si>
  <si>
    <t>grid node -- way/103386958 (Lecce, 21 km)</t>
  </si>
  <si>
    <t>e_Civitavecchia_ITA</t>
  </si>
  <si>
    <t>grid node -- way/59219335-380 (Grosseto, 60 km)</t>
  </si>
  <si>
    <t>e_Como_ITA</t>
  </si>
  <si>
    <t>grid node -- way/72570378-380 (Como, 38 km)</t>
  </si>
  <si>
    <t>e_Domodossola_ITA</t>
  </si>
  <si>
    <t>grid node -- way/105462289-220 (Como, 81 km)</t>
  </si>
  <si>
    <t>e_Gorizia_ITA</t>
  </si>
  <si>
    <t>grid node -- way/61038773-220 (Trieste, 5 km)</t>
  </si>
  <si>
    <t>e_Lana_ITA</t>
  </si>
  <si>
    <t>grid node -- way/98787157-220 (Trento, 79 km)</t>
  </si>
  <si>
    <t>e_Latina_ITA</t>
  </si>
  <si>
    <t>grid node -- way/1158716725 (Latina, 9 km)</t>
  </si>
  <si>
    <t>e_Lecce_ITA</t>
  </si>
  <si>
    <t>grid node -- way/60888331-380 (Lecce, 31 km)</t>
  </si>
  <si>
    <t>e_Messina_ITA</t>
  </si>
  <si>
    <t>grid node -- way/110138220-220 (Messina, 24 km)</t>
  </si>
  <si>
    <t>e_Milan_ITA</t>
  </si>
  <si>
    <t>grid node -- way/74677138-380 (Milan, 16 km)</t>
  </si>
  <si>
    <t>e_Morbegno_ITA</t>
  </si>
  <si>
    <t>grid node -- IT3-380 (Monza, 82 km)</t>
  </si>
  <si>
    <t>e_Palermo_ITA</t>
  </si>
  <si>
    <t>grid node -- way/57736553-220 (Palermo, 36 km)</t>
  </si>
  <si>
    <t>e_Pescara_ITA</t>
  </si>
  <si>
    <t>grid node -- way/577074555 (Pescara, 11 km)</t>
  </si>
  <si>
    <t>e_Pinerolo_ITA</t>
  </si>
  <si>
    <t>grid node -- way/491424937-400 (Turin, 53 km)</t>
  </si>
  <si>
    <t>e_Piombino_ITA</t>
  </si>
  <si>
    <t>grid node -- way/136789074 (Livorno, 63 km)</t>
  </si>
  <si>
    <t>e_Pordenone_ITA</t>
  </si>
  <si>
    <t>grid node -- way/159821869-220 (Treviso, 59 km)</t>
  </si>
  <si>
    <t>e_SanRemo_ITA</t>
  </si>
  <si>
    <t>grid node -- way/103653567-225 (San Remo, 12 km)</t>
  </si>
  <si>
    <t>e_Sassari_ITA</t>
  </si>
  <si>
    <t>grid node -- way/203225567 (Sassari, 25 km)</t>
  </si>
  <si>
    <t>e_Tirano_ITA</t>
  </si>
  <si>
    <t>grid node -- way/72466334-380 (Verona, 84 km)</t>
  </si>
  <si>
    <t>e_Trento_ITA</t>
  </si>
  <si>
    <t>grid node -- way/147466201-220 (Trento, 10 km)</t>
  </si>
  <si>
    <t>e_Trieste_ITA</t>
  </si>
  <si>
    <t>grid node -- way/41892273-400 (Trieste, 32 km)</t>
  </si>
  <si>
    <t>e_Verbania_ITA</t>
  </si>
  <si>
    <t>grid node -- way/104114052-220 (Novara, 72 km)</t>
  </si>
  <si>
    <t>elc_spv_ITA_001</t>
  </si>
  <si>
    <t>solar electricity near Cagliari (cluster 1)</t>
  </si>
  <si>
    <t>elc_spv_ITA_002</t>
  </si>
  <si>
    <t>solar electricity near Sassari (cluster 2)</t>
  </si>
  <si>
    <t>elc_spv_ITA_003</t>
  </si>
  <si>
    <t>solar electricity near Marsala (cluster 3)</t>
  </si>
  <si>
    <t>elc_spv_ITA_004</t>
  </si>
  <si>
    <t>solar electricity near Catania (cluster 4)</t>
  </si>
  <si>
    <t>elc_spv_ITA_005</t>
  </si>
  <si>
    <t>solar electricity near Catanzaro (cluster 5)</t>
  </si>
  <si>
    <t>elc_spv_ITA_006</t>
  </si>
  <si>
    <t>solar electricity near Naples (cluster 6)</t>
  </si>
  <si>
    <t>elc_spv_ITA_007</t>
  </si>
  <si>
    <t>solar electricity near Bari (cluster 7)</t>
  </si>
  <si>
    <t>elc_spv_ITA_008</t>
  </si>
  <si>
    <t>solar electricity near Rome (cluster 8)</t>
  </si>
  <si>
    <t>elc_spv_ITA_009</t>
  </si>
  <si>
    <t>solar electricity near Ancona (cluster 9)</t>
  </si>
  <si>
    <t>elc_spv_ITA_010</t>
  </si>
  <si>
    <t>solar electricity near Foggia (cluster 10)</t>
  </si>
  <si>
    <t>elc_spv_ITA_011</t>
  </si>
  <si>
    <t>solar electricity near Turin (cluster 11)</t>
  </si>
  <si>
    <t>elc_spv_ITA_012</t>
  </si>
  <si>
    <t>solar electricity near Como (cluster 12)</t>
  </si>
  <si>
    <t>elc_spv_ITA_013</t>
  </si>
  <si>
    <t>solar electricity near Milan (cluster 13)</t>
  </si>
  <si>
    <t>elc_spv_ITA_014</t>
  </si>
  <si>
    <t>solar electricity near Turin (cluster 14)</t>
  </si>
  <si>
    <t>elc_spv_ITA_015</t>
  </si>
  <si>
    <t>solar electricity near Cuneo (cluster 15)</t>
  </si>
  <si>
    <t>elc_spv_ITA_016</t>
  </si>
  <si>
    <t>solar electricity near Brescia (cluster 16)</t>
  </si>
  <si>
    <t>elc_spv_ITA_017</t>
  </si>
  <si>
    <t>solar electricity near Bolzano (cluster 17)</t>
  </si>
  <si>
    <t>elc_spv_ITA_018</t>
  </si>
  <si>
    <t>solar electricity near Udine (cluster 18)</t>
  </si>
  <si>
    <t>elc_spv_ITA_019</t>
  </si>
  <si>
    <t>solar electricity near Padova (cluster 19)</t>
  </si>
  <si>
    <t>elc_spv_ITA_020</t>
  </si>
  <si>
    <t>solar electricity near Padova (cluster 20)</t>
  </si>
  <si>
    <t>elc_spv_ITA_021</t>
  </si>
  <si>
    <t>solar electricity near Parma (cluster 21)</t>
  </si>
  <si>
    <t>elc_spv_ITA_022</t>
  </si>
  <si>
    <t>solar electricity near Perugia (cluster 22)</t>
  </si>
  <si>
    <t>elc_spv_ITA_023</t>
  </si>
  <si>
    <t>solar electricity near Florence (cluster 23)</t>
  </si>
  <si>
    <t>elc_spv_ITA_024</t>
  </si>
  <si>
    <t>solar electricity near Grosseto (cluster 24)</t>
  </si>
  <si>
    <t>elc_wof_ITA_001</t>
  </si>
  <si>
    <t>wind offshore electricity near Catanzaro (cluster 1)</t>
  </si>
  <si>
    <t>elc_wof_ITA_002</t>
  </si>
  <si>
    <t>wind offshore electricity near Lecce (cluster 2)</t>
  </si>
  <si>
    <t>elc_wof_ITA_003</t>
  </si>
  <si>
    <t>wind offshore electricity near Foggia (cluster 3)</t>
  </si>
  <si>
    <t>elc_wof_ITA_004</t>
  </si>
  <si>
    <t>wind offshore electricity near Bari (cluster 4)</t>
  </si>
  <si>
    <t>elc_wof_ITA_005</t>
  </si>
  <si>
    <t>wind offshore electricity near Ancona (cluster 5)</t>
  </si>
  <si>
    <t>elc_wof_ITA_006</t>
  </si>
  <si>
    <t>wind offshore electricity near Grosseto (cluster 6)</t>
  </si>
  <si>
    <t>elc_wof_ITA_007</t>
  </si>
  <si>
    <t>wind offshore electricity near Fiumicino (cluster 7)</t>
  </si>
  <si>
    <t>elc_wof_ITA_008</t>
  </si>
  <si>
    <t>wind offshore electricity near Genoa (cluster 8)</t>
  </si>
  <si>
    <t>elc_wof_ITA_009</t>
  </si>
  <si>
    <t>wind offshore electricity near Livorno (cluster 9)</t>
  </si>
  <si>
    <t>elc_wof_ITA_010</t>
  </si>
  <si>
    <t>wind offshore electricity near Palermo (cluster 10)</t>
  </si>
  <si>
    <t>elc_wof_ITA_011</t>
  </si>
  <si>
    <t>wind offshore electricity near Palermo (cluster 11)</t>
  </si>
  <si>
    <t>elc_wof_ITA_012</t>
  </si>
  <si>
    <t>wind offshore electricity near Latina (cluster 12)</t>
  </si>
  <si>
    <t>elc_wof_ITA_013</t>
  </si>
  <si>
    <t>wind offshore electricity near Naples (cluster 13)</t>
  </si>
  <si>
    <t>elc_wof_ITA_014</t>
  </si>
  <si>
    <t>wind offshore electricity near Ragusa (cluster 14)</t>
  </si>
  <si>
    <t>elc_wof_ITA_015</t>
  </si>
  <si>
    <t>wind offshore electricity near Gela (cluster 15)</t>
  </si>
  <si>
    <t>elc_wof_ITA_016</t>
  </si>
  <si>
    <t>wind offshore electricity near Marsala (cluster 16)</t>
  </si>
  <si>
    <t>elc_wof_ITA_017</t>
  </si>
  <si>
    <t>wind offshore electricity near Marsala (cluster 17)</t>
  </si>
  <si>
    <t>elc_wof_ITA_018</t>
  </si>
  <si>
    <t>wind offshore electricity near Cagliari (cluster 18)</t>
  </si>
  <si>
    <t>elc_wof_ITA_019</t>
  </si>
  <si>
    <t>wind offshore electricity near Olbia (cluster 19)</t>
  </si>
  <si>
    <t>elc_wof_ITA_020</t>
  </si>
  <si>
    <t>wind offshore electricity near Sassari (cluster 20)</t>
  </si>
  <si>
    <t>elc_won_ITA_001</t>
  </si>
  <si>
    <t>wind onshore electricity near Venice (cluster 1)</t>
  </si>
  <si>
    <t>elc_won_ITA_002</t>
  </si>
  <si>
    <t>wind onshore electricity near Bologna (cluster 2)</t>
  </si>
  <si>
    <t>elc_won_ITA_003</t>
  </si>
  <si>
    <t>wind onshore electricity near Rome (cluster 3)</t>
  </si>
  <si>
    <t>elc_won_ITA_004</t>
  </si>
  <si>
    <t>wind onshore electricity near Grosseto (cluster 4)</t>
  </si>
  <si>
    <t>elc_won_ITA_005</t>
  </si>
  <si>
    <t>wind onshore electricity near Genoa (cluster 5)</t>
  </si>
  <si>
    <t>elc_won_ITA_006</t>
  </si>
  <si>
    <t>wind onshore electricity near Florence (cluster 6)</t>
  </si>
  <si>
    <t>elc_won_ITA_007</t>
  </si>
  <si>
    <t>wind onshore electricity near Ancona (cluster 7)</t>
  </si>
  <si>
    <t>elc_won_ITA_008</t>
  </si>
  <si>
    <t>wind onshore electricity near Florence (cluster 8)</t>
  </si>
  <si>
    <t>elc_won_ITA_009</t>
  </si>
  <si>
    <t>wind onshore electricity near Perugia (cluster 9)</t>
  </si>
  <si>
    <t>elc_won_ITA_010</t>
  </si>
  <si>
    <t>wind onshore electricity near Taranto (cluster 10)</t>
  </si>
  <si>
    <t>elc_won_ITA_011</t>
  </si>
  <si>
    <t>wind onshore electricity near Naples (cluster 11)</t>
  </si>
  <si>
    <t>elc_won_ITA_012</t>
  </si>
  <si>
    <t>wind onshore electricity near Foggia (cluster 12)</t>
  </si>
  <si>
    <t>elc_won_ITA_013</t>
  </si>
  <si>
    <t>wind onshore electricity near Foggia (cluster 13)</t>
  </si>
  <si>
    <t>elc_won_ITA_014</t>
  </si>
  <si>
    <t>wind onshore electricity near Sassari (cluster 14)</t>
  </si>
  <si>
    <t>elc_won_ITA_015</t>
  </si>
  <si>
    <t>wind onshore electricity near Cagliari (cluster 15)</t>
  </si>
  <si>
    <t>elc_won_ITA_016</t>
  </si>
  <si>
    <t>wind onshore electricity near Marsala (cluster 16)</t>
  </si>
  <si>
    <t>elc_won_ITA_017</t>
  </si>
  <si>
    <t>wind onshore electricity near Caltanissetta (cluster 17)</t>
  </si>
  <si>
    <t>elc_won_ITA_018</t>
  </si>
  <si>
    <t>wind onshore electricity near Catania (cluster 18)</t>
  </si>
  <si>
    <t>elc_won_ITA_019</t>
  </si>
  <si>
    <t>wind onshore electricity near Catanzaro (cluster 19)</t>
  </si>
  <si>
    <t>h_ACoruna_ESP</t>
  </si>
  <si>
    <t>ESP</t>
  </si>
  <si>
    <t>heat at grid node -- way/104370242-220 (A Coruna, 22 km)</t>
  </si>
  <si>
    <t>h_Algeciras_ESP</t>
  </si>
  <si>
    <t>heat at grid node -- way/1262731213-220 (Algeciras, 14 km)</t>
  </si>
  <si>
    <t>h_Barcelona_ESP</t>
  </si>
  <si>
    <t>heat at grid node -- way/124121964-220 (Barcelona, 18 km)</t>
  </si>
  <si>
    <t>h_CastellonDeLaPlana_ESP</t>
  </si>
  <si>
    <t>heat at grid node -- way/34585227-400 (Castellon de la Plana, 6 km)</t>
  </si>
  <si>
    <t>h_Coria_ESP</t>
  </si>
  <si>
    <t>heat at grid node -- way/84526032-400 (Badajoz, 100 km)</t>
  </si>
  <si>
    <t>h_Donostia_ESP</t>
  </si>
  <si>
    <t>heat at grid node -- ES37-400 (Donostia, 10 km)</t>
  </si>
  <si>
    <t>h_Girona_ESP</t>
  </si>
  <si>
    <t>heat at grid node -- way/256334221 (Girona, 29 km)</t>
  </si>
  <si>
    <t>h_Granollers_ESP</t>
  </si>
  <si>
    <t>heat at grid node -- way/178294745-400 (Barcelona, 64 km)</t>
  </si>
  <si>
    <t>h_Jaca_ESP</t>
  </si>
  <si>
    <t>heat at grid node -- way/1154224087-225 (Huesca, 43 km)</t>
  </si>
  <si>
    <t>h_Lepe_ESP</t>
  </si>
  <si>
    <t>heat at grid node -- way/170424446-400 (Huelva, 42 km)</t>
  </si>
  <si>
    <t>h_NavalmoralDeLaMata_ESP</t>
  </si>
  <si>
    <t>heat at grid node -- relation/17148268-400 (Caceres, 68 km)</t>
  </si>
  <si>
    <t>h_Palma_ESP</t>
  </si>
  <si>
    <t>heat at grid node -- way/131323212 (Palma, 13 km)</t>
  </si>
  <si>
    <t>h_SalvatierraDeMino_ESP</t>
  </si>
  <si>
    <t>heat at grid node -- way/135457230-400 (Vigo, 58 km)</t>
  </si>
  <si>
    <t>h_Valencia_ESP</t>
  </si>
  <si>
    <t>heat at grid node -- way/156435509 (Valencia, 23 km)</t>
  </si>
  <si>
    <t>h_Valladolid_ESP</t>
  </si>
  <si>
    <t>heat at grid node -- way/74384031-220 (Valladolid, 23 km)</t>
  </si>
  <si>
    <t>h_Zafra_ESP</t>
  </si>
  <si>
    <t>heat at grid node -- way/144767090-400 (Badajoz, 67 km)</t>
  </si>
  <si>
    <t>h_Zamora_ESP</t>
  </si>
  <si>
    <t>heat at grid node -- way/144385735-220 (Salamanca, 74 km)</t>
  </si>
  <si>
    <t>e_ACoruna_ESP</t>
  </si>
  <si>
    <t>grid node -- way/104370242-220 (A Coruna, 22 km)</t>
  </si>
  <si>
    <t>e_Algeciras_ESP</t>
  </si>
  <si>
    <t>grid node -- way/1262731213-220 (Algeciras, 14 km)</t>
  </si>
  <si>
    <t>e_Barcelona_ESP</t>
  </si>
  <si>
    <t>grid node -- way/124121964-220 (Barcelona, 18 km)</t>
  </si>
  <si>
    <t>e_CastellonDeLaPlana_ESP</t>
  </si>
  <si>
    <t>grid node -- way/34585227-400 (Castellon de la Plana, 6 km)</t>
  </si>
  <si>
    <t>e_Coria_ESP</t>
  </si>
  <si>
    <t>grid node -- way/84526032-400 (Badajoz, 100 km)</t>
  </si>
  <si>
    <t>e_Donostia_ESP</t>
  </si>
  <si>
    <t>grid node -- ES37-400 (Donostia, 10 km)</t>
  </si>
  <si>
    <t>e_Girona_ESP</t>
  </si>
  <si>
    <t>grid node -- way/256334221 (Girona, 29 km)</t>
  </si>
  <si>
    <t>e_Granollers_ESP</t>
  </si>
  <si>
    <t>grid node -- way/178294745-400 (Barcelona, 64 km)</t>
  </si>
  <si>
    <t>e_Jaca_ESP</t>
  </si>
  <si>
    <t>grid node -- way/1154224087-225 (Huesca, 43 km)</t>
  </si>
  <si>
    <t>e_Lepe_ESP</t>
  </si>
  <si>
    <t>grid node -- way/170424446-400 (Huelva, 42 km)</t>
  </si>
  <si>
    <t>e_NavalmoralDeLaMata_ESP</t>
  </si>
  <si>
    <t>grid node -- relation/17148268-400 (Caceres, 68 km)</t>
  </si>
  <si>
    <t>e_Palma_ESP</t>
  </si>
  <si>
    <t>grid node -- way/131323212 (Palma, 13 km)</t>
  </si>
  <si>
    <t>e_SalvatierraDeMino_ESP</t>
  </si>
  <si>
    <t>grid node -- way/135457230-400 (Vigo, 58 km)</t>
  </si>
  <si>
    <t>e_Valencia_ESP</t>
  </si>
  <si>
    <t>grid node -- way/156435509 (Valencia, 23 km)</t>
  </si>
  <si>
    <t>e_Valladolid_ESP</t>
  </si>
  <si>
    <t>grid node -- way/74384031-220 (Valladolid, 23 km)</t>
  </si>
  <si>
    <t>e_Zafra_ESP</t>
  </si>
  <si>
    <t>grid node -- way/144767090-400 (Badajoz, 67 km)</t>
  </si>
  <si>
    <t>e_Zamora_ESP</t>
  </si>
  <si>
    <t>grid node -- way/144385735-220 (Salamanca, 74 km)</t>
  </si>
  <si>
    <t>elc_spv_ESP_001</t>
  </si>
  <si>
    <t>solar electricity near Pamplona (cluster 1)</t>
  </si>
  <si>
    <t>elc_spv_ESP_002</t>
  </si>
  <si>
    <t>solar electricity near Burgos (cluster 2)</t>
  </si>
  <si>
    <t>elc_spv_ESP_003</t>
  </si>
  <si>
    <t>solar electricity near Bilbao (cluster 3)</t>
  </si>
  <si>
    <t>elc_spv_ESP_004</t>
  </si>
  <si>
    <t>solar electricity near Santiago de Compostela (cluster 4)</t>
  </si>
  <si>
    <t>elc_spv_ESP_005</t>
  </si>
  <si>
    <t>solar electricity near Alcala de Henares (cluster 5)</t>
  </si>
  <si>
    <t>elc_spv_ESP_006</t>
  </si>
  <si>
    <t>solar electricity near Valladolid (cluster 6)</t>
  </si>
  <si>
    <t>elc_spv_ESP_007</t>
  </si>
  <si>
    <t>solar electricity near Leon (cluster 7)</t>
  </si>
  <si>
    <t>elc_spv_ESP_008</t>
  </si>
  <si>
    <t>solar electricity near Ponferrada (cluster 8)</t>
  </si>
  <si>
    <t>elc_spv_ESP_009</t>
  </si>
  <si>
    <t>solar electricity near Zamora (cluster 9)</t>
  </si>
  <si>
    <t>elc_spv_ESP_010</t>
  </si>
  <si>
    <t>solar electricity near Cordoba (cluster 10)</t>
  </si>
  <si>
    <t>elc_spv_ESP_011</t>
  </si>
  <si>
    <t>solar electricity near Ciudad Real (cluster 11)</t>
  </si>
  <si>
    <t>elc_spv_ESP_012</t>
  </si>
  <si>
    <t>solar electricity near Jerez de la Frontera (cluster 12)</t>
  </si>
  <si>
    <t>elc_spv_ESP_013</t>
  </si>
  <si>
    <t>solar electricity near Sevilla (cluster 13)</t>
  </si>
  <si>
    <t>elc_spv_ESP_014</t>
  </si>
  <si>
    <t>solar electricity near Salamanca (cluster 14)</t>
  </si>
  <si>
    <t>elc_spv_ESP_015</t>
  </si>
  <si>
    <t>solar electricity near Caceres (cluster 15)</t>
  </si>
  <si>
    <t>elc_spv_ESP_016</t>
  </si>
  <si>
    <t>solar electricity near Madrid (cluster 16)</t>
  </si>
  <si>
    <t>elc_spv_ESP_017</t>
  </si>
  <si>
    <t>solar electricity near Toledo (cluster 17)</t>
  </si>
  <si>
    <t>elc_spv_ESP_018</t>
  </si>
  <si>
    <t>solar electricity near Albacete (cluster 18)</t>
  </si>
  <si>
    <t>elc_spv_ESP_019</t>
  </si>
  <si>
    <t>solar electricity near Almeria (cluster 19)</t>
  </si>
  <si>
    <t>elc_spv_ESP_020</t>
  </si>
  <si>
    <t>solar electricity near Elche (cluster 20)</t>
  </si>
  <si>
    <t>elc_spv_ESP_021</t>
  </si>
  <si>
    <t>solar electricity near Valencia (cluster 21)</t>
  </si>
  <si>
    <t>elc_spv_ESP_022</t>
  </si>
  <si>
    <t>solar electricity near Zaragoza (cluster 22)</t>
  </si>
  <si>
    <t>elc_spv_ESP_023</t>
  </si>
  <si>
    <t>solar electricity near Tarrasa (cluster 23)</t>
  </si>
  <si>
    <t>elc_spv_ESP_024</t>
  </si>
  <si>
    <t>solar electricity near Zaragoza (cluster 24)</t>
  </si>
  <si>
    <t>elc_spv_ESP_025</t>
  </si>
  <si>
    <t>solar electricity near Tarrasa (cluster 25)</t>
  </si>
  <si>
    <t>elc_spv_ESP_026</t>
  </si>
  <si>
    <t>solar electricity near Lleida (cluster 26)</t>
  </si>
  <si>
    <t>elc_wof_ESP_001</t>
  </si>
  <si>
    <t>wind offshore electricity near Alicante (cluster 1)</t>
  </si>
  <si>
    <t>elc_wof_ESP_002</t>
  </si>
  <si>
    <t>wind offshore electricity near Cartagena (cluster 2)</t>
  </si>
  <si>
    <t>elc_wof_ESP_003</t>
  </si>
  <si>
    <t>wind offshore electricity near Valencia (cluster 3)</t>
  </si>
  <si>
    <t>elc_wof_ESP_004</t>
  </si>
  <si>
    <t>wind offshore electricity near Palma (cluster 4)</t>
  </si>
  <si>
    <t>elc_wof_ESP_005</t>
  </si>
  <si>
    <t>wind offshore electricity near Girona (cluster 5)</t>
  </si>
  <si>
    <t>elc_wof_ESP_006</t>
  </si>
  <si>
    <t>wind offshore electricity near Tarragona (cluster 6)</t>
  </si>
  <si>
    <t>elc_wof_ESP_007</t>
  </si>
  <si>
    <t>wind offshore electricity near Castellon de la Plana (cluster 7)</t>
  </si>
  <si>
    <t>elc_wof_ESP_008</t>
  </si>
  <si>
    <t>wind offshore electricity near Barcelona (cluster 8)</t>
  </si>
  <si>
    <t>elc_wof_ESP_009</t>
  </si>
  <si>
    <t>wind offshore electricity near Palma (cluster 9)</t>
  </si>
  <si>
    <t>elc_wof_ESP_010</t>
  </si>
  <si>
    <t>wind offshore electricity near Palma (cluster 10)</t>
  </si>
  <si>
    <t>elc_wof_ESP_011</t>
  </si>
  <si>
    <t>wind offshore electricity near Almeria (cluster 11)</t>
  </si>
  <si>
    <t>elc_wof_ESP_012</t>
  </si>
  <si>
    <t>wind offshore electricity near Malaga (cluster 12)</t>
  </si>
  <si>
    <t>elc_wof_ESP_013</t>
  </si>
  <si>
    <t>wind offshore electricity near Huelva (cluster 13)</t>
  </si>
  <si>
    <t>elc_wof_ESP_014</t>
  </si>
  <si>
    <t>wind offshore electricity near Jerez de la Frontera (cluster 14)</t>
  </si>
  <si>
    <t>elc_wof_ESP_015</t>
  </si>
  <si>
    <t>wind offshore electricity near Vigo (cluster 15)</t>
  </si>
  <si>
    <t>elc_wof_ESP_016</t>
  </si>
  <si>
    <t>wind offshore electricity near Gijon (cluster 16)</t>
  </si>
  <si>
    <t>elc_wof_ESP_017</t>
  </si>
  <si>
    <t>wind offshore electricity near A Coruna (cluster 17)</t>
  </si>
  <si>
    <t>elc_wof_ESP_018</t>
  </si>
  <si>
    <t>wind offshore electricity near Gijon (cluster 18)</t>
  </si>
  <si>
    <t>elc_wof_ESP_019</t>
  </si>
  <si>
    <t>wind offshore electricity near Bilbao (cluster 19)</t>
  </si>
  <si>
    <t>elc_won_ESP_001</t>
  </si>
  <si>
    <t>wind onshore electricity near Malaga (cluster 1)</t>
  </si>
  <si>
    <t>elc_won_ESP_002</t>
  </si>
  <si>
    <t>wind onshore electricity near Sevilla (cluster 2)</t>
  </si>
  <si>
    <t>elc_won_ESP_003</t>
  </si>
  <si>
    <t>wind onshore electricity near Badajoz (cluster 3)</t>
  </si>
  <si>
    <t>elc_won_ESP_004</t>
  </si>
  <si>
    <t>wind onshore electricity near Cordoba (cluster 4)</t>
  </si>
  <si>
    <t>elc_won_ESP_005</t>
  </si>
  <si>
    <t>wind onshore electricity near Fuenlabrada (cluster 5)</t>
  </si>
  <si>
    <t>elc_won_ESP_006</t>
  </si>
  <si>
    <t>wind onshore electricity near Talavera de la Reina (cluster 6)</t>
  </si>
  <si>
    <t>elc_won_ESP_007</t>
  </si>
  <si>
    <t>wind onshore electricity near Ciudad Real (cluster 7)</t>
  </si>
  <si>
    <t>elc_won_ESP_008</t>
  </si>
  <si>
    <t>wind onshore electricity near Santiago de Compostela (cluster 8)</t>
  </si>
  <si>
    <t>elc_won_ESP_009</t>
  </si>
  <si>
    <t>wind onshore electricity near Gijon (cluster 9)</t>
  </si>
  <si>
    <t>elc_won_ESP_010</t>
  </si>
  <si>
    <t>wind onshore electricity near Vitoria-Gasteiz (cluster 10)</t>
  </si>
  <si>
    <t>elc_won_ESP_011</t>
  </si>
  <si>
    <t>wind onshore electricity near Bilbao (cluster 11)</t>
  </si>
  <si>
    <t>elc_won_ESP_012</t>
  </si>
  <si>
    <t>wind onshore electricity near Caceres (cluster 12)</t>
  </si>
  <si>
    <t>elc_won_ESP_013</t>
  </si>
  <si>
    <t>wind onshore electricity near Valladolid (cluster 13)</t>
  </si>
  <si>
    <t>elc_won_ESP_014</t>
  </si>
  <si>
    <t>wind onshore electricity near Valladolid (cluster 14)</t>
  </si>
  <si>
    <t>elc_won_ESP_015</t>
  </si>
  <si>
    <t>wind onshore electricity near Girona (cluster 15)</t>
  </si>
  <si>
    <t>elc_won_ESP_016</t>
  </si>
  <si>
    <t>wind onshore electricity near Barcelona (cluster 16)</t>
  </si>
  <si>
    <t>elc_won_ESP_017</t>
  </si>
  <si>
    <t>wind onshore electricity near Madrid (cluster 17)</t>
  </si>
  <si>
    <t>elc_won_ESP_018</t>
  </si>
  <si>
    <t>wind onshore electricity near Zaragoza (cluster 18)</t>
  </si>
  <si>
    <t>elc_won_ESP_019</t>
  </si>
  <si>
    <t>wind onshore electricity near Granada (cluster 19)</t>
  </si>
  <si>
    <t>elc_won_ESP_020</t>
  </si>
  <si>
    <t>wind onshore electricity near Valencia (cluster 20)</t>
  </si>
  <si>
    <t>elc_won_ESP_021</t>
  </si>
  <si>
    <t>wind onshore electricity near Murcia (cluster 21)</t>
  </si>
  <si>
    <t>elc_won_ESP_022</t>
  </si>
  <si>
    <t>wind onshore electricity near Huesca (cluster 22)</t>
  </si>
  <si>
    <t>elc_won_ESP_023</t>
  </si>
  <si>
    <t>wind onshore electricity near Pamplona (cluster 23)</t>
  </si>
  <si>
    <t>elc_won_ESP_024</t>
  </si>
  <si>
    <t>wind onshore electricity near Barcelona (cluster 24)</t>
  </si>
  <si>
    <t>elc_won_ESP_025</t>
  </si>
  <si>
    <t>wind onshore electricity near Castellon de la Plana (cluster 25)</t>
  </si>
  <si>
    <t>h_Amsterdam_NLD</t>
  </si>
  <si>
    <t>NLD</t>
  </si>
  <si>
    <t>heat at grid node -- way/308181656-380 (Amsterdam, 18 km)</t>
  </si>
  <si>
    <t>h_Apeldoorn_NLD</t>
  </si>
  <si>
    <t>heat at grid node -- way/87354306-380 (Zwolle, 6 km)</t>
  </si>
  <si>
    <t>h_Eindhoven_NLD</t>
  </si>
  <si>
    <t>heat at grid node -- way/162179284-380 (Tilburg, 33 km)</t>
  </si>
  <si>
    <t>h_Enschede_NLD</t>
  </si>
  <si>
    <t>heat at grid node -- way/83423799-380 (Enschede, 10 km)</t>
  </si>
  <si>
    <t>h_Groningen_NLD</t>
  </si>
  <si>
    <t>heat at grid node -- way/655858864 (Groningen, 31 km)</t>
  </si>
  <si>
    <t>h_Hoogezand_NLD</t>
  </si>
  <si>
    <t>heat at grid node -- way/167695568-380 (Groningen, 28 km)</t>
  </si>
  <si>
    <t>h_Leeuwarden_NLD</t>
  </si>
  <si>
    <t>heat at grid node -- way/1099434374-220 (Leeuwarden, 6 km)</t>
  </si>
  <si>
    <t>h_Maastricht_NLD</t>
  </si>
  <si>
    <t>heat at grid node -- way/162176187-380 (Maastricht, 35 km)</t>
  </si>
  <si>
    <t>h_Nijmegen_NLD</t>
  </si>
  <si>
    <t>heat at grid node -- way/723528920-380 (Nijmegen, 31 km)</t>
  </si>
  <si>
    <t>h_Roosendaal_NLD</t>
  </si>
  <si>
    <t>heat at grid node -- way/577158336-380 (Roosendaal, 20 km)</t>
  </si>
  <si>
    <t>h_Rotterdam_NLD</t>
  </si>
  <si>
    <t>heat at grid node -- way/920127890 (Rotterdam, 32 km)</t>
  </si>
  <si>
    <t>h_Tilburg_NLD</t>
  </si>
  <si>
    <t>heat at grid node -- way/23096966-380 (Tilburg, 24 km)</t>
  </si>
  <si>
    <t>h_Veendam_NLD</t>
  </si>
  <si>
    <t>heat at grid node -- way/158601617 (Groningen, 31 km)</t>
  </si>
  <si>
    <t>e_Amsterdam_NLD</t>
  </si>
  <si>
    <t>grid node -- way/308181656-380 (Amsterdam, 18 km)</t>
  </si>
  <si>
    <t>e_Apeldoorn_NLD</t>
  </si>
  <si>
    <t>grid node -- way/87354306-380 (Zwolle, 6 km)</t>
  </si>
  <si>
    <t>e_Eindhoven_NLD</t>
  </si>
  <si>
    <t>grid node -- way/162179284-380 (Tilburg, 33 km)</t>
  </si>
  <si>
    <t>e_Enschede_NLD</t>
  </si>
  <si>
    <t>grid node -- way/83423799-380 (Enschede, 10 km)</t>
  </si>
  <si>
    <t>e_Groningen_NLD</t>
  </si>
  <si>
    <t>grid node -- way/655858864 (Groningen, 31 km)</t>
  </si>
  <si>
    <t>e_Hoogezand_NLD</t>
  </si>
  <si>
    <t>grid node -- way/167695568-380 (Groningen, 28 km)</t>
  </si>
  <si>
    <t>e_Leeuwarden_NLD</t>
  </si>
  <si>
    <t>grid node -- way/1099434374-220 (Leeuwarden, 6 km)</t>
  </si>
  <si>
    <t>e_Maastricht_NLD</t>
  </si>
  <si>
    <t>grid node -- way/162176187-380 (Maastricht, 35 km)</t>
  </si>
  <si>
    <t>e_Nijmegen_NLD</t>
  </si>
  <si>
    <t>grid node -- way/723528920-380 (Nijmegen, 31 km)</t>
  </si>
  <si>
    <t>e_Roosendaal_NLD</t>
  </si>
  <si>
    <t>grid node -- way/577158336-380 (Roosendaal, 20 km)</t>
  </si>
  <si>
    <t>e_Rotterdam_NLD</t>
  </si>
  <si>
    <t>grid node -- way/920127890 (Rotterdam, 32 km)</t>
  </si>
  <si>
    <t>e_Tilburg_NLD</t>
  </si>
  <si>
    <t>grid node -- way/23096966-380 (Tilburg, 24 km)</t>
  </si>
  <si>
    <t>e_Veendam_NLD</t>
  </si>
  <si>
    <t>grid node -- way/158601617 (Groningen, 31 km)</t>
  </si>
  <si>
    <t>elc_spv_NLD_001</t>
  </si>
  <si>
    <t>solar electricity near Almere (cluster 1)</t>
  </si>
  <si>
    <t>elc_spv_NLD_002</t>
  </si>
  <si>
    <t>solar electricity near Groningen (cluster 2)</t>
  </si>
  <si>
    <t>elc_spv_NLD_003</t>
  </si>
  <si>
    <t>solar electricity near Roosendaal (cluster 3)</t>
  </si>
  <si>
    <t>elc_spv_NLD_004</t>
  </si>
  <si>
    <t>solar electricity near Bergen op Zoom (cluster 4)</t>
  </si>
  <si>
    <t>elc_spv_NLD_005</t>
  </si>
  <si>
    <t>solar electricity near Tilburg (cluster 5)</t>
  </si>
  <si>
    <t>elc_spv_NLD_006</t>
  </si>
  <si>
    <t>solar electricity near Utrecht (cluster 6)</t>
  </si>
  <si>
    <t>elc_spv_NLD_007</t>
  </si>
  <si>
    <t>solar electricity near Enschede (cluster 7)</t>
  </si>
  <si>
    <t>elc_spv_NLD_008</t>
  </si>
  <si>
    <t>solar electricity near Nijmegen (cluster 8)</t>
  </si>
  <si>
    <t>elc_spv_NLD_009</t>
  </si>
  <si>
    <t>solar electricity near Maastricht (cluster 9)</t>
  </si>
  <si>
    <t>elc_spv_NLD_010</t>
  </si>
  <si>
    <t>solar electricity near Eindhoven (cluster 10)</t>
  </si>
  <si>
    <t>elc_wof_NLD_001</t>
  </si>
  <si>
    <t>wind offshore electricity near Rotterdam (cluster 1)</t>
  </si>
  <si>
    <t>elc_wof_NLD_002</t>
  </si>
  <si>
    <t>wind offshore electricity near Alkmaar (cluster 2)</t>
  </si>
  <si>
    <t>elc_wof_NLD_003</t>
  </si>
  <si>
    <t>wind offshore electricity near Alkmaar (cluster 3)</t>
  </si>
  <si>
    <t>elc_wof_NLD_004</t>
  </si>
  <si>
    <t>wind offshore electricity near Leeuwarden (cluster 4)</t>
  </si>
  <si>
    <t>elc_wof_NLD_005</t>
  </si>
  <si>
    <t>wind offshore electricity near Groningen (cluster 5)</t>
  </si>
  <si>
    <t>elc_won_NLD_001</t>
  </si>
  <si>
    <t>wind onshore electricity near Nijmegen (cluster 1)</t>
  </si>
  <si>
    <t>elc_won_NLD_002</t>
  </si>
  <si>
    <t>wind onshore electricity near Maastricht (cluster 2)</t>
  </si>
  <si>
    <t>elc_won_NLD_003</t>
  </si>
  <si>
    <t>wind onshore electricity near Tilburg (cluster 3)</t>
  </si>
  <si>
    <t>elc_won_NLD_004</t>
  </si>
  <si>
    <t>wind onshore electricity near Bergen op Zoom (cluster 4)</t>
  </si>
  <si>
    <t>elc_won_NLD_005</t>
  </si>
  <si>
    <t>wind onshore electricity near Groningen (cluster 5)</t>
  </si>
  <si>
    <t>elc_won_NLD_006</t>
  </si>
  <si>
    <t>wind onshore electricity near Leeuwarden (cluster 6)</t>
  </si>
  <si>
    <t>elc_won_NLD_007</t>
  </si>
  <si>
    <t>wind onshore electricity near Zaanstad (cluster 7)</t>
  </si>
  <si>
    <t>elc_won_NLD_008</t>
  </si>
  <si>
    <t>wind onshore electricity near Zwolle (cluster 8)</t>
  </si>
  <si>
    <t>elc_won_NLD_009</t>
  </si>
  <si>
    <t>wind onshore electricity near Amsterdam (cluster 9)</t>
  </si>
  <si>
    <t>elc_won_NLD_010</t>
  </si>
  <si>
    <t>wind onshore electricity near Roosendaal (cluster 10)</t>
  </si>
  <si>
    <t>~BookRegions_Map</t>
  </si>
  <si>
    <t>~TimeSlices</t>
  </si>
  <si>
    <t>BookName</t>
  </si>
  <si>
    <t>Region</t>
  </si>
  <si>
    <t>Season</t>
  </si>
  <si>
    <t>Weekly</t>
  </si>
  <si>
    <t>DayNite</t>
  </si>
  <si>
    <t>S</t>
  </si>
  <si>
    <t>D</t>
  </si>
  <si>
    <t>W</t>
  </si>
  <si>
    <t>N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</si>
  <si>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</si>
  <si>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</si>
  <si>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</si>
  <si>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</si>
  <si>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</si>
  <si>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</si>
  <si>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</si>
  <si>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</si>
  <si>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</si>
  <si>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</si>
  <si>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</si>
  <si>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</si>
  <si>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</si>
  <si>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</si>
  <si>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</si>
  <si>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</si>
  <si>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</si>
  <si>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</si>
  <si>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</si>
  <si>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</si>
  <si>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</si>
  <si>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</si>
  <si>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</si>
  <si>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NCAP_AF</t>
  </si>
  <si>
    <t>flo_mark</t>
  </si>
  <si>
    <t>cap_bnd</t>
  </si>
  <si>
    <t>~TFM_INS</t>
  </si>
  <si>
    <t>Year</t>
  </si>
  <si>
    <t>Pset_PN</t>
  </si>
  <si>
    <t>ACTCOST</t>
  </si>
  <si>
    <t>IMP*Z</t>
  </si>
  <si>
    <t>IMPDEMZ,IMPDUCZ</t>
  </si>
  <si>
    <t>invcost</t>
  </si>
  <si>
    <t>IMPDUCZ</t>
  </si>
  <si>
    <t>~Currencies</t>
  </si>
  <si>
    <t>~TFM_INS-TS</t>
  </si>
  <si>
    <t>~UnitConversion</t>
  </si>
  <si>
    <t>Currency</t>
  </si>
  <si>
    <t>Other_Indexes</t>
  </si>
  <si>
    <t>Curr</t>
  </si>
  <si>
    <t>from_unit</t>
  </si>
  <si>
    <t>to_unit</t>
  </si>
  <si>
    <t>multiplier</t>
  </si>
  <si>
    <t>USD25</t>
  </si>
  <si>
    <t>COM_PKRSV</t>
  </si>
  <si>
    <t>QBtu</t>
  </si>
  <si>
    <t>EUR12</t>
  </si>
  <si>
    <t>COM_PKTS</t>
  </si>
  <si>
    <t>Billion Kwh</t>
  </si>
  <si>
    <t>EUR15</t>
  </si>
  <si>
    <t>G_Dyear</t>
  </si>
  <si>
    <t>Mt</t>
  </si>
  <si>
    <t>Kt</t>
  </si>
  <si>
    <t>EUR17</t>
  </si>
  <si>
    <t>G_OFFTHD</t>
  </si>
  <si>
    <t>B$</t>
  </si>
  <si>
    <t>m$</t>
  </si>
  <si>
    <t>EUR18</t>
  </si>
  <si>
    <t>G_CUREX</t>
  </si>
  <si>
    <t>USD20</t>
  </si>
  <si>
    <t>USD83</t>
  </si>
  <si>
    <t>TBtu</t>
  </si>
  <si>
    <t>EUR19</t>
  </si>
  <si>
    <t>USD84</t>
  </si>
  <si>
    <t>ktoe</t>
  </si>
  <si>
    <t>EUR10</t>
  </si>
  <si>
    <t>USD85</t>
  </si>
  <si>
    <t>mtoe</t>
  </si>
  <si>
    <t>USD00</t>
  </si>
  <si>
    <t>USD86</t>
  </si>
  <si>
    <t>Gwh</t>
  </si>
  <si>
    <t>USD01</t>
  </si>
  <si>
    <t>USD87</t>
  </si>
  <si>
    <t>Gt</t>
  </si>
  <si>
    <t>USD02</t>
  </si>
  <si>
    <t>USD88</t>
  </si>
  <si>
    <t>bEur</t>
  </si>
  <si>
    <t>mEur</t>
  </si>
  <si>
    <t>USD03</t>
  </si>
  <si>
    <t>USD89</t>
  </si>
  <si>
    <t>$/GJ</t>
  </si>
  <si>
    <t>$/bbl</t>
  </si>
  <si>
    <t>USD04</t>
  </si>
  <si>
    <t>USD90</t>
  </si>
  <si>
    <t>$/ton</t>
  </si>
  <si>
    <t>m$/kt</t>
  </si>
  <si>
    <t>USD05</t>
  </si>
  <si>
    <t>USD91</t>
  </si>
  <si>
    <t>EJ</t>
  </si>
  <si>
    <t>USD06</t>
  </si>
  <si>
    <t>USD92</t>
  </si>
  <si>
    <t>bcm</t>
  </si>
  <si>
    <t>USD07</t>
  </si>
  <si>
    <t>USD93</t>
  </si>
  <si>
    <t>mbpd</t>
  </si>
  <si>
    <t>USD08</t>
  </si>
  <si>
    <t>USD94</t>
  </si>
  <si>
    <t>Cents per Kwh</t>
  </si>
  <si>
    <t>$ per GJ</t>
  </si>
  <si>
    <t>USD09</t>
  </si>
  <si>
    <t>USD95</t>
  </si>
  <si>
    <t>Twh</t>
  </si>
  <si>
    <t>USD10</t>
  </si>
  <si>
    <t>USD96</t>
  </si>
  <si>
    <t>USD11</t>
  </si>
  <si>
    <t>USD97</t>
  </si>
  <si>
    <t>GWp</t>
  </si>
  <si>
    <t>USD12</t>
  </si>
  <si>
    <t>USD98</t>
  </si>
  <si>
    <t>mt H2</t>
  </si>
  <si>
    <t>USD13</t>
  </si>
  <si>
    <t>USD99</t>
  </si>
  <si>
    <t>mboe</t>
  </si>
  <si>
    <t>USD14</t>
  </si>
  <si>
    <t>mt LNG</t>
  </si>
  <si>
    <t>USD15</t>
  </si>
  <si>
    <t>USD16</t>
  </si>
  <si>
    <t>USD17</t>
  </si>
  <si>
    <t>USD18</t>
  </si>
  <si>
    <t>USD19</t>
  </si>
  <si>
    <t>USD21</t>
  </si>
  <si>
    <t>USD22</t>
  </si>
  <si>
    <t>USD23</t>
  </si>
  <si>
    <t>USD24</t>
  </si>
  <si>
    <t>*G_CUREX</t>
  </si>
  <si>
    <t>USD21_alt</t>
  </si>
  <si>
    <t>G_DRATE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</si>
  <si>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</si>
  <si>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</si>
  <si>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</si>
  <si>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</si>
  <si>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</si>
  <si>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</si>
  <si>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</si>
  <si>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</si>
  <si>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</si>
  <si>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</si>
  <si>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</si>
  <si>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</si>
  <si>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</si>
  <si>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</si>
  <si>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</si>
  <si>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</si>
  <si>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</si>
  <si>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</si>
  <si>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</si>
  <si>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</si>
  <si>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</si>
  <si>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</si>
  <si>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</si>
  <si>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</si>
  <si>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</si>
  <si>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</si>
  <si>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</si>
  <si>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</si>
  <si>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vervestacksMR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</si>
</sst>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/>
    <xf numFmtId="0" fontId="4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3" fillId="0" borderId="0"/>
  </cellStyleXfs>
  <cellXfs count="23">
    <xf numFmtId="0" fontId="0" fillId="0" borderId="0" xfId="0"/>
    <xf numFmtId="164" fontId="1" fillId="0" borderId="1" xfId="1" applyNumberFormat="1"/>
    <xf numFmtId="164" fontId="3" fillId="0" borderId="0" xfId="3" applyNumberFormat="1"/>
    <xf numFmtId="0" fontId="3" fillId="0" borderId="0" xfId="3"/>
    <xf numFmtId="164" fontId="2" fillId="0" borderId="2" xfId="2" applyNumberFormat="1"/>
    <xf numFmtId="0" fontId="2" fillId="0" borderId="2" xfId="2"/>
    <xf numFmtId="0" fontId="4" fillId="0" borderId="0" xfId="4"/>
    <xf numFmtId="0" fontId="5" fillId="2" borderId="3" xfId="5" applyBorder="1"/>
    <xf numFmtId="0" fontId="5" fillId="2" borderId="0" xfId="5" applyBorder="1"/>
    <xf numFmtId="0" fontId="5" fillId="2" borderId="0" xfId="6"/>
    <xf numFmtId="0" fontId="6" fillId="0" borderId="0" xfId="4" applyFont="1"/>
    <xf numFmtId="0" fontId="7" fillId="0" borderId="0" xfId="4" applyFont="1"/>
    <xf numFmtId="0" fontId="8" fillId="0" borderId="0" xfId="4" quotePrefix="1" applyFont="1" applyAlignment="1">
      <alignment horizontal="left"/>
    </xf>
    <xf numFmtId="0" fontId="3" fillId="0" borderId="0" xfId="4" applyFont="1"/>
    <xf numFmtId="0" fontId="9" fillId="0" borderId="0" xfId="4" applyFont="1"/>
    <xf numFmtId="0" fontId="10" fillId="2" borderId="0" xfId="7" applyFont="1" applyBorder="1"/>
    <xf numFmtId="0" fontId="1" fillId="0" borderId="1" xfId="1"/>
    <xf numFmtId="0" fontId="11" fillId="0" borderId="0" xfId="0" applyFont="1"/>
    <xf numFmtId="0" fontId="3" fillId="0" borderId="0" xfId="8"/>
    <xf numFmtId="2" fontId="3" fillId="0" borderId="0" xfId="8" applyNumberFormat="1"/>
    <xf numFmtId="11" fontId="4" fillId="0" borderId="0" xfId="4" applyNumberFormat="1"/>
    <xf numFmtId="1" fontId="4" fillId="0" borderId="0" xfId="4" applyNumberFormat="1"/>
    <xf numFmtId="0" fontId="12" fillId="0" borderId="0" xfId="4" applyFont="1"/>
  </cellXfs>
  <cellStyles count="9">
    <cellStyle name="20% - Accent3 2 10" xfId="6" xr:uid="{833D9707-1A8C-4CEA-A551-0A458D0D9D30}"/>
    <cellStyle name="20% - Accent3 2 13" xfId="5" xr:uid="{06E383E0-9B93-4B52-BB09-9E9FF0E9FA29}"/>
    <cellStyle name="20% - Accent6 2 7" xfId="7" xr:uid="{70200A7B-1805-4180-A0A4-128F496396FC}"/>
    <cellStyle name="Heading 2" xfId="1" builtinId="17"/>
    <cellStyle name="Heading 3" xfId="2" builtinId="18"/>
    <cellStyle name="Normal" xfId="0" builtinId="0"/>
    <cellStyle name="Normal 2" xfId="8" xr:uid="{E42D4E3A-4DDE-47DF-AAD3-4735CA1F606F}"/>
    <cellStyle name="Normal 39" xfId="3" xr:uid="{A3A51874-CD14-4C95-897C-B9A0588407B9}"/>
    <cellStyle name="Normal 40" xfId="4" xr:uid="{32970D4B-B443-4359-BE12-69B7FC4E6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130B1-9766-4192-8104-96222B3AC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305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38F7-21A8-4A40-8874-C1BA214CC7E1}">
  <dimension ref="B3:I38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17</v>
      </c>
      <c r="D6" t="s">
        <v>11</v>
      </c>
      <c r="E6" t="s">
        <v>18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19</v>
      </c>
      <c r="D7" t="s">
        <v>11</v>
      </c>
      <c r="E7" t="s">
        <v>20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21</v>
      </c>
      <c r="D8" t="s">
        <v>11</v>
      </c>
      <c r="E8" t="s">
        <v>22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23</v>
      </c>
      <c r="D9" t="s">
        <v>11</v>
      </c>
      <c r="E9" t="s">
        <v>24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25</v>
      </c>
      <c r="D10" t="s">
        <v>11</v>
      </c>
      <c r="E10" t="s">
        <v>26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27</v>
      </c>
      <c r="D11" t="s">
        <v>11</v>
      </c>
      <c r="E11" t="s">
        <v>28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29</v>
      </c>
      <c r="D12" t="s">
        <v>11</v>
      </c>
      <c r="E12" t="s">
        <v>30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31</v>
      </c>
      <c r="D13" t="s">
        <v>11</v>
      </c>
      <c r="E13" t="s">
        <v>32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33</v>
      </c>
      <c r="D14" t="s">
        <v>11</v>
      </c>
      <c r="E14" t="s">
        <v>34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35</v>
      </c>
      <c r="D15" t="s">
        <v>11</v>
      </c>
      <c r="E15" t="s">
        <v>36</v>
      </c>
      <c r="F15" t="s">
        <v>13</v>
      </c>
      <c r="G15" t="s">
        <v>14</v>
      </c>
      <c r="H15" t="s">
        <v>15</v>
      </c>
      <c r="I15" t="s">
        <v>16</v>
      </c>
    </row>
    <row r="16" spans="2:9" x14ac:dyDescent="0.45">
      <c r="B16" t="s">
        <v>9</v>
      </c>
      <c r="C16" t="s">
        <v>37</v>
      </c>
      <c r="D16" t="s">
        <v>11</v>
      </c>
      <c r="E16" t="s">
        <v>38</v>
      </c>
      <c r="F16" t="s">
        <v>13</v>
      </c>
      <c r="G16" t="s">
        <v>14</v>
      </c>
      <c r="H16" t="s">
        <v>15</v>
      </c>
      <c r="I16" t="s">
        <v>16</v>
      </c>
    </row>
    <row r="17" spans="2:9" x14ac:dyDescent="0.45">
      <c r="B17" t="s">
        <v>9</v>
      </c>
      <c r="C17" t="s">
        <v>39</v>
      </c>
      <c r="D17" t="s">
        <v>11</v>
      </c>
      <c r="E17" t="s">
        <v>40</v>
      </c>
      <c r="F17" t="s">
        <v>13</v>
      </c>
      <c r="G17" t="s">
        <v>14</v>
      </c>
      <c r="H17" t="s">
        <v>15</v>
      </c>
      <c r="I17" t="s">
        <v>16</v>
      </c>
    </row>
    <row r="18" spans="2:9" x14ac:dyDescent="0.45">
      <c r="B18" t="s">
        <v>9</v>
      </c>
      <c r="C18" t="s">
        <v>41</v>
      </c>
      <c r="D18" t="s">
        <v>11</v>
      </c>
      <c r="E18" t="s">
        <v>42</v>
      </c>
      <c r="F18" t="s">
        <v>13</v>
      </c>
      <c r="G18" t="s">
        <v>14</v>
      </c>
      <c r="H18" t="s">
        <v>15</v>
      </c>
      <c r="I18" t="s">
        <v>16</v>
      </c>
    </row>
    <row r="19" spans="2:9" x14ac:dyDescent="0.45">
      <c r="B19" t="s">
        <v>9</v>
      </c>
      <c r="C19" t="s">
        <v>43</v>
      </c>
      <c r="D19" t="s">
        <v>11</v>
      </c>
      <c r="E19" t="s">
        <v>44</v>
      </c>
      <c r="F19" t="s">
        <v>13</v>
      </c>
      <c r="G19" t="s">
        <v>14</v>
      </c>
      <c r="H19" t="s">
        <v>15</v>
      </c>
      <c r="I19" t="s">
        <v>16</v>
      </c>
    </row>
    <row r="20" spans="2:9" x14ac:dyDescent="0.45">
      <c r="B20" t="s">
        <v>9</v>
      </c>
      <c r="C20" t="s">
        <v>45</v>
      </c>
      <c r="D20" t="s">
        <v>11</v>
      </c>
      <c r="E20" t="s">
        <v>46</v>
      </c>
      <c r="F20" t="s">
        <v>13</v>
      </c>
      <c r="G20" t="s">
        <v>14</v>
      </c>
      <c r="H20" t="s">
        <v>15</v>
      </c>
      <c r="I20" t="s">
        <v>16</v>
      </c>
    </row>
    <row r="21" spans="2:9" x14ac:dyDescent="0.45">
      <c r="B21" t="s">
        <v>9</v>
      </c>
      <c r="C21" t="s">
        <v>47</v>
      </c>
      <c r="D21" t="s">
        <v>11</v>
      </c>
      <c r="E21" t="s">
        <v>48</v>
      </c>
      <c r="F21" t="s">
        <v>13</v>
      </c>
      <c r="G21" t="s">
        <v>14</v>
      </c>
      <c r="H21" t="s">
        <v>15</v>
      </c>
      <c r="I21" t="s">
        <v>16</v>
      </c>
    </row>
    <row r="22" spans="2:9" x14ac:dyDescent="0.45">
      <c r="B22" t="s">
        <v>9</v>
      </c>
      <c r="C22" t="s">
        <v>49</v>
      </c>
      <c r="D22" t="s">
        <v>11</v>
      </c>
      <c r="E22" t="s">
        <v>50</v>
      </c>
      <c r="F22" t="s">
        <v>13</v>
      </c>
      <c r="G22" t="s">
        <v>14</v>
      </c>
      <c r="H22" t="s">
        <v>15</v>
      </c>
      <c r="I22" t="s">
        <v>16</v>
      </c>
    </row>
    <row r="23" spans="2:9" x14ac:dyDescent="0.45">
      <c r="B23" t="s">
        <v>9</v>
      </c>
      <c r="C23" t="s">
        <v>51</v>
      </c>
      <c r="D23" t="s">
        <v>11</v>
      </c>
      <c r="E23" t="s">
        <v>52</v>
      </c>
      <c r="F23" t="s">
        <v>13</v>
      </c>
      <c r="G23" t="s">
        <v>14</v>
      </c>
      <c r="H23" t="s">
        <v>15</v>
      </c>
      <c r="I23" t="s">
        <v>16</v>
      </c>
    </row>
    <row r="24" spans="2:9" x14ac:dyDescent="0.45">
      <c r="B24" t="s">
        <v>9</v>
      </c>
      <c r="C24" t="s">
        <v>53</v>
      </c>
      <c r="D24" t="s">
        <v>11</v>
      </c>
      <c r="E24" t="s">
        <v>54</v>
      </c>
      <c r="F24" t="s">
        <v>13</v>
      </c>
      <c r="G24" t="s">
        <v>14</v>
      </c>
      <c r="H24" t="s">
        <v>15</v>
      </c>
      <c r="I24" t="s">
        <v>16</v>
      </c>
    </row>
    <row r="25" spans="2:9" x14ac:dyDescent="0.45">
      <c r="B25" t="s">
        <v>9</v>
      </c>
      <c r="C25" t="s">
        <v>55</v>
      </c>
      <c r="D25" t="s">
        <v>11</v>
      </c>
      <c r="E25" t="s">
        <v>56</v>
      </c>
      <c r="F25" t="s">
        <v>13</v>
      </c>
      <c r="G25" t="s">
        <v>14</v>
      </c>
      <c r="H25" t="s">
        <v>15</v>
      </c>
      <c r="I25" t="s">
        <v>16</v>
      </c>
    </row>
    <row r="26" spans="2:9" x14ac:dyDescent="0.45">
      <c r="B26" t="s">
        <v>9</v>
      </c>
      <c r="C26" t="s">
        <v>57</v>
      </c>
      <c r="D26" t="s">
        <v>11</v>
      </c>
      <c r="E26" t="s">
        <v>58</v>
      </c>
      <c r="F26" t="s">
        <v>13</v>
      </c>
      <c r="G26" t="s">
        <v>14</v>
      </c>
      <c r="H26" t="s">
        <v>15</v>
      </c>
      <c r="I26" t="s">
        <v>16</v>
      </c>
    </row>
    <row r="27" spans="2:9" x14ac:dyDescent="0.45">
      <c r="B27" t="s">
        <v>9</v>
      </c>
      <c r="C27" t="s">
        <v>59</v>
      </c>
      <c r="D27" t="s">
        <v>11</v>
      </c>
      <c r="E27" t="s">
        <v>60</v>
      </c>
      <c r="F27" t="s">
        <v>13</v>
      </c>
      <c r="G27" t="s">
        <v>14</v>
      </c>
      <c r="H27" t="s">
        <v>15</v>
      </c>
      <c r="I27" t="s">
        <v>16</v>
      </c>
    </row>
    <row r="28" spans="2:9" x14ac:dyDescent="0.45">
      <c r="B28" t="s">
        <v>9</v>
      </c>
      <c r="C28" t="s">
        <v>61</v>
      </c>
      <c r="D28" t="s">
        <v>11</v>
      </c>
      <c r="E28" t="s">
        <v>62</v>
      </c>
      <c r="F28" t="s">
        <v>13</v>
      </c>
      <c r="G28" t="s">
        <v>14</v>
      </c>
      <c r="H28" t="s">
        <v>15</v>
      </c>
      <c r="I28" t="s">
        <v>16</v>
      </c>
    </row>
    <row r="29" spans="2:9" x14ac:dyDescent="0.45">
      <c r="B29" t="s">
        <v>9</v>
      </c>
      <c r="C29" t="s">
        <v>63</v>
      </c>
      <c r="D29" t="s">
        <v>11</v>
      </c>
      <c r="E29" t="s">
        <v>64</v>
      </c>
      <c r="F29" t="s">
        <v>13</v>
      </c>
      <c r="G29" t="s">
        <v>14</v>
      </c>
      <c r="H29" t="s">
        <v>15</v>
      </c>
      <c r="I29" t="s">
        <v>16</v>
      </c>
    </row>
    <row r="30" spans="2:9" x14ac:dyDescent="0.45">
      <c r="B30" t="s">
        <v>9</v>
      </c>
      <c r="C30" t="s">
        <v>65</v>
      </c>
      <c r="D30" t="s">
        <v>11</v>
      </c>
      <c r="E30" t="s">
        <v>66</v>
      </c>
      <c r="F30" t="s">
        <v>13</v>
      </c>
      <c r="G30" t="s">
        <v>14</v>
      </c>
      <c r="H30" t="s">
        <v>15</v>
      </c>
      <c r="I30" t="s">
        <v>16</v>
      </c>
    </row>
    <row r="31" spans="2:9" x14ac:dyDescent="0.45">
      <c r="B31" t="s">
        <v>9</v>
      </c>
      <c r="C31" t="s">
        <v>67</v>
      </c>
      <c r="D31" t="s">
        <v>11</v>
      </c>
      <c r="E31" t="s">
        <v>68</v>
      </c>
      <c r="F31" t="s">
        <v>13</v>
      </c>
      <c r="G31" t="s">
        <v>14</v>
      </c>
      <c r="H31" t="s">
        <v>15</v>
      </c>
      <c r="I31" t="s">
        <v>16</v>
      </c>
    </row>
    <row r="32" spans="2:9" x14ac:dyDescent="0.45">
      <c r="B32" t="s">
        <v>9</v>
      </c>
      <c r="C32" t="s">
        <v>69</v>
      </c>
      <c r="D32" t="s">
        <v>11</v>
      </c>
      <c r="E32" t="s">
        <v>70</v>
      </c>
      <c r="F32" t="s">
        <v>13</v>
      </c>
      <c r="G32" t="s">
        <v>14</v>
      </c>
      <c r="H32" t="s">
        <v>15</v>
      </c>
      <c r="I32" t="s">
        <v>16</v>
      </c>
    </row>
    <row r="33" spans="2:9" x14ac:dyDescent="0.45">
      <c r="B33" t="s">
        <v>9</v>
      </c>
      <c r="C33" t="s">
        <v>71</v>
      </c>
      <c r="D33" t="s">
        <v>11</v>
      </c>
      <c r="E33" t="s">
        <v>72</v>
      </c>
      <c r="F33" t="s">
        <v>13</v>
      </c>
      <c r="G33" t="s">
        <v>14</v>
      </c>
      <c r="H33" t="s">
        <v>15</v>
      </c>
      <c r="I33" t="s">
        <v>16</v>
      </c>
    </row>
    <row r="34" spans="2:9" x14ac:dyDescent="0.45">
      <c r="B34" t="s">
        <v>9</v>
      </c>
      <c r="C34" t="s">
        <v>73</v>
      </c>
      <c r="D34" t="s">
        <v>11</v>
      </c>
      <c r="E34" t="s">
        <v>74</v>
      </c>
      <c r="F34" t="s">
        <v>13</v>
      </c>
      <c r="G34" t="s">
        <v>14</v>
      </c>
      <c r="H34" t="s">
        <v>15</v>
      </c>
      <c r="I34" t="s">
        <v>16</v>
      </c>
    </row>
    <row r="35" spans="2:9" x14ac:dyDescent="0.45">
      <c r="B35" t="s">
        <v>9</v>
      </c>
      <c r="C35" t="s">
        <v>75</v>
      </c>
      <c r="D35" t="s">
        <v>11</v>
      </c>
      <c r="E35" t="s">
        <v>76</v>
      </c>
      <c r="F35" t="s">
        <v>13</v>
      </c>
      <c r="G35" t="s">
        <v>14</v>
      </c>
      <c r="H35" t="s">
        <v>15</v>
      </c>
      <c r="I35" t="s">
        <v>16</v>
      </c>
    </row>
    <row r="36" spans="2:9" x14ac:dyDescent="0.45">
      <c r="B36" t="s">
        <v>9</v>
      </c>
      <c r="C36" t="s">
        <v>77</v>
      </c>
      <c r="D36" t="s">
        <v>11</v>
      </c>
      <c r="E36" t="s">
        <v>78</v>
      </c>
      <c r="F36" t="s">
        <v>13</v>
      </c>
      <c r="G36" t="s">
        <v>14</v>
      </c>
      <c r="H36" t="s">
        <v>15</v>
      </c>
      <c r="I36" t="s">
        <v>16</v>
      </c>
    </row>
    <row r="37" spans="2:9" x14ac:dyDescent="0.45">
      <c r="B37" t="s">
        <v>9</v>
      </c>
      <c r="C37" t="s">
        <v>79</v>
      </c>
      <c r="D37" t="s">
        <v>11</v>
      </c>
      <c r="E37" t="s">
        <v>80</v>
      </c>
      <c r="F37" t="s">
        <v>13</v>
      </c>
      <c r="G37" t="s">
        <v>14</v>
      </c>
      <c r="H37" t="s">
        <v>15</v>
      </c>
      <c r="I37" t="s">
        <v>16</v>
      </c>
    </row>
    <row r="38" spans="2:9" x14ac:dyDescent="0.45">
      <c r="B38" t="s">
        <v>9</v>
      </c>
      <c r="C38" t="s">
        <v>81</v>
      </c>
      <c r="D38" t="s">
        <v>11</v>
      </c>
      <c r="E38" t="s">
        <v>82</v>
      </c>
      <c r="F38" t="s">
        <v>13</v>
      </c>
      <c r="G38" t="s">
        <v>14</v>
      </c>
      <c r="H38" t="s">
        <v>15</v>
      </c>
      <c r="I3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7ECC-BAAF-4914-AADB-229B8449A1C6}">
  <dimension ref="B3:I38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83</v>
      </c>
      <c r="D5" t="s">
        <v>11</v>
      </c>
      <c r="E5" t="s">
        <v>84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87</v>
      </c>
      <c r="D6" t="s">
        <v>11</v>
      </c>
      <c r="E6" t="s">
        <v>88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89</v>
      </c>
      <c r="D7" t="s">
        <v>11</v>
      </c>
      <c r="E7" t="s">
        <v>90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91</v>
      </c>
      <c r="D8" t="s">
        <v>11</v>
      </c>
      <c r="E8" t="s">
        <v>92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93</v>
      </c>
      <c r="D9" t="s">
        <v>11</v>
      </c>
      <c r="E9" t="s">
        <v>94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95</v>
      </c>
      <c r="D10" t="s">
        <v>11</v>
      </c>
      <c r="E10" t="s">
        <v>96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97</v>
      </c>
      <c r="D11" t="s">
        <v>11</v>
      </c>
      <c r="E11" t="s">
        <v>98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99</v>
      </c>
      <c r="D12" t="s">
        <v>11</v>
      </c>
      <c r="E12" t="s">
        <v>100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101</v>
      </c>
      <c r="D13" t="s">
        <v>11</v>
      </c>
      <c r="E13" t="s">
        <v>102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103</v>
      </c>
      <c r="D14" t="s">
        <v>11</v>
      </c>
      <c r="E14" t="s">
        <v>104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105</v>
      </c>
      <c r="D15" t="s">
        <v>11</v>
      </c>
      <c r="E15" t="s">
        <v>106</v>
      </c>
      <c r="F15" t="s">
        <v>85</v>
      </c>
      <c r="G15" t="s">
        <v>86</v>
      </c>
      <c r="H15" t="s">
        <v>15</v>
      </c>
      <c r="I15" t="s">
        <v>16</v>
      </c>
    </row>
    <row r="16" spans="2:9" x14ac:dyDescent="0.45">
      <c r="B16" t="s">
        <v>9</v>
      </c>
      <c r="C16" t="s">
        <v>107</v>
      </c>
      <c r="D16" t="s">
        <v>11</v>
      </c>
      <c r="E16" t="s">
        <v>108</v>
      </c>
      <c r="F16" t="s">
        <v>85</v>
      </c>
      <c r="G16" t="s">
        <v>86</v>
      </c>
      <c r="H16" t="s">
        <v>15</v>
      </c>
      <c r="I16" t="s">
        <v>16</v>
      </c>
    </row>
    <row r="17" spans="2:9" x14ac:dyDescent="0.45">
      <c r="B17" t="s">
        <v>9</v>
      </c>
      <c r="C17" t="s">
        <v>109</v>
      </c>
      <c r="D17" t="s">
        <v>11</v>
      </c>
      <c r="E17" t="s">
        <v>110</v>
      </c>
      <c r="F17" t="s">
        <v>85</v>
      </c>
      <c r="G17" t="s">
        <v>86</v>
      </c>
      <c r="H17" t="s">
        <v>15</v>
      </c>
      <c r="I17" t="s">
        <v>16</v>
      </c>
    </row>
    <row r="18" spans="2:9" x14ac:dyDescent="0.45">
      <c r="B18" t="s">
        <v>9</v>
      </c>
      <c r="C18" t="s">
        <v>111</v>
      </c>
      <c r="D18" t="s">
        <v>11</v>
      </c>
      <c r="E18" t="s">
        <v>112</v>
      </c>
      <c r="F18" t="s">
        <v>85</v>
      </c>
      <c r="G18" t="s">
        <v>86</v>
      </c>
      <c r="H18" t="s">
        <v>15</v>
      </c>
      <c r="I18" t="s">
        <v>16</v>
      </c>
    </row>
    <row r="19" spans="2:9" x14ac:dyDescent="0.45">
      <c r="B19" t="s">
        <v>9</v>
      </c>
      <c r="C19" t="s">
        <v>113</v>
      </c>
      <c r="D19" t="s">
        <v>11</v>
      </c>
      <c r="E19" t="s">
        <v>114</v>
      </c>
      <c r="F19" t="s">
        <v>85</v>
      </c>
      <c r="G19" t="s">
        <v>86</v>
      </c>
      <c r="H19" t="s">
        <v>15</v>
      </c>
      <c r="I19" t="s">
        <v>16</v>
      </c>
    </row>
    <row r="20" spans="2:9" x14ac:dyDescent="0.45">
      <c r="B20" t="s">
        <v>9</v>
      </c>
      <c r="C20" t="s">
        <v>115</v>
      </c>
      <c r="D20" t="s">
        <v>11</v>
      </c>
      <c r="E20" t="s">
        <v>116</v>
      </c>
      <c r="F20" t="s">
        <v>85</v>
      </c>
      <c r="G20" t="s">
        <v>86</v>
      </c>
      <c r="H20" t="s">
        <v>15</v>
      </c>
      <c r="I20" t="s">
        <v>16</v>
      </c>
    </row>
    <row r="21" spans="2:9" x14ac:dyDescent="0.45">
      <c r="B21" t="s">
        <v>9</v>
      </c>
      <c r="C21" t="s">
        <v>117</v>
      </c>
      <c r="D21" t="s">
        <v>11</v>
      </c>
      <c r="E21" t="s">
        <v>118</v>
      </c>
      <c r="F21" t="s">
        <v>85</v>
      </c>
      <c r="G21" t="s">
        <v>86</v>
      </c>
      <c r="H21" t="s">
        <v>15</v>
      </c>
      <c r="I21" t="s">
        <v>16</v>
      </c>
    </row>
    <row r="22" spans="2:9" x14ac:dyDescent="0.45">
      <c r="B22" t="s">
        <v>9</v>
      </c>
      <c r="C22" t="s">
        <v>119</v>
      </c>
      <c r="D22" t="s">
        <v>11</v>
      </c>
      <c r="E22" t="s">
        <v>120</v>
      </c>
      <c r="F22" t="s">
        <v>85</v>
      </c>
      <c r="G22" t="s">
        <v>86</v>
      </c>
      <c r="H22" t="s">
        <v>15</v>
      </c>
      <c r="I22" t="s">
        <v>16</v>
      </c>
    </row>
    <row r="23" spans="2:9" x14ac:dyDescent="0.45">
      <c r="B23" t="s">
        <v>9</v>
      </c>
      <c r="C23" t="s">
        <v>121</v>
      </c>
      <c r="D23" t="s">
        <v>11</v>
      </c>
      <c r="E23" t="s">
        <v>122</v>
      </c>
      <c r="F23" t="s">
        <v>85</v>
      </c>
      <c r="G23" t="s">
        <v>86</v>
      </c>
      <c r="H23" t="s">
        <v>15</v>
      </c>
      <c r="I23" t="s">
        <v>16</v>
      </c>
    </row>
    <row r="24" spans="2:9" x14ac:dyDescent="0.45">
      <c r="B24" t="s">
        <v>9</v>
      </c>
      <c r="C24" t="s">
        <v>123</v>
      </c>
      <c r="D24" t="s">
        <v>11</v>
      </c>
      <c r="E24" t="s">
        <v>124</v>
      </c>
      <c r="F24" t="s">
        <v>85</v>
      </c>
      <c r="G24" t="s">
        <v>86</v>
      </c>
      <c r="H24" t="s">
        <v>15</v>
      </c>
      <c r="I24" t="s">
        <v>16</v>
      </c>
    </row>
    <row r="25" spans="2:9" x14ac:dyDescent="0.45">
      <c r="B25" t="s">
        <v>9</v>
      </c>
      <c r="C25" t="s">
        <v>125</v>
      </c>
      <c r="D25" t="s">
        <v>11</v>
      </c>
      <c r="E25" t="s">
        <v>126</v>
      </c>
      <c r="F25" t="s">
        <v>85</v>
      </c>
      <c r="G25" t="s">
        <v>86</v>
      </c>
      <c r="H25" t="s">
        <v>15</v>
      </c>
      <c r="I25" t="s">
        <v>16</v>
      </c>
    </row>
    <row r="26" spans="2:9" x14ac:dyDescent="0.45">
      <c r="B26" t="s">
        <v>9</v>
      </c>
      <c r="C26" t="s">
        <v>127</v>
      </c>
      <c r="D26" t="s">
        <v>11</v>
      </c>
      <c r="E26" t="s">
        <v>128</v>
      </c>
      <c r="F26" t="s">
        <v>85</v>
      </c>
      <c r="G26" t="s">
        <v>86</v>
      </c>
      <c r="H26" t="s">
        <v>15</v>
      </c>
      <c r="I26" t="s">
        <v>16</v>
      </c>
    </row>
    <row r="27" spans="2:9" x14ac:dyDescent="0.45">
      <c r="B27" t="s">
        <v>9</v>
      </c>
      <c r="C27" t="s">
        <v>129</v>
      </c>
      <c r="D27" t="s">
        <v>11</v>
      </c>
      <c r="E27" t="s">
        <v>130</v>
      </c>
      <c r="F27" t="s">
        <v>85</v>
      </c>
      <c r="G27" t="s">
        <v>86</v>
      </c>
      <c r="H27" t="s">
        <v>15</v>
      </c>
      <c r="I27" t="s">
        <v>16</v>
      </c>
    </row>
    <row r="28" spans="2:9" x14ac:dyDescent="0.45">
      <c r="B28" t="s">
        <v>9</v>
      </c>
      <c r="C28" t="s">
        <v>131</v>
      </c>
      <c r="D28" t="s">
        <v>11</v>
      </c>
      <c r="E28" t="s">
        <v>132</v>
      </c>
      <c r="F28" t="s">
        <v>85</v>
      </c>
      <c r="G28" t="s">
        <v>86</v>
      </c>
      <c r="H28" t="s">
        <v>15</v>
      </c>
      <c r="I28" t="s">
        <v>16</v>
      </c>
    </row>
    <row r="29" spans="2:9" x14ac:dyDescent="0.45">
      <c r="B29" t="s">
        <v>9</v>
      </c>
      <c r="C29" t="s">
        <v>133</v>
      </c>
      <c r="D29" t="s">
        <v>11</v>
      </c>
      <c r="E29" t="s">
        <v>134</v>
      </c>
      <c r="F29" t="s">
        <v>85</v>
      </c>
      <c r="G29" t="s">
        <v>86</v>
      </c>
      <c r="H29" t="s">
        <v>15</v>
      </c>
      <c r="I29" t="s">
        <v>16</v>
      </c>
    </row>
    <row r="30" spans="2:9" x14ac:dyDescent="0.45">
      <c r="B30" t="s">
        <v>9</v>
      </c>
      <c r="C30" t="s">
        <v>135</v>
      </c>
      <c r="D30" t="s">
        <v>11</v>
      </c>
      <c r="E30" t="s">
        <v>136</v>
      </c>
      <c r="F30" t="s">
        <v>85</v>
      </c>
      <c r="G30" t="s">
        <v>86</v>
      </c>
      <c r="H30" t="s">
        <v>15</v>
      </c>
      <c r="I30" t="s">
        <v>16</v>
      </c>
    </row>
    <row r="31" spans="2:9" x14ac:dyDescent="0.45">
      <c r="B31" t="s">
        <v>9</v>
      </c>
      <c r="C31" t="s">
        <v>137</v>
      </c>
      <c r="D31" t="s">
        <v>11</v>
      </c>
      <c r="E31" t="s">
        <v>138</v>
      </c>
      <c r="F31" t="s">
        <v>85</v>
      </c>
      <c r="G31" t="s">
        <v>86</v>
      </c>
      <c r="H31" t="s">
        <v>15</v>
      </c>
      <c r="I31" t="s">
        <v>16</v>
      </c>
    </row>
    <row r="32" spans="2:9" x14ac:dyDescent="0.45">
      <c r="B32" t="s">
        <v>9</v>
      </c>
      <c r="C32" t="s">
        <v>139</v>
      </c>
      <c r="D32" t="s">
        <v>11</v>
      </c>
      <c r="E32" t="s">
        <v>140</v>
      </c>
      <c r="F32" t="s">
        <v>85</v>
      </c>
      <c r="G32" t="s">
        <v>86</v>
      </c>
      <c r="H32" t="s">
        <v>15</v>
      </c>
      <c r="I32" t="s">
        <v>16</v>
      </c>
    </row>
    <row r="33" spans="2:9" x14ac:dyDescent="0.45">
      <c r="B33" t="s">
        <v>9</v>
      </c>
      <c r="C33" t="s">
        <v>141</v>
      </c>
      <c r="D33" t="s">
        <v>11</v>
      </c>
      <c r="E33" t="s">
        <v>142</v>
      </c>
      <c r="F33" t="s">
        <v>85</v>
      </c>
      <c r="G33" t="s">
        <v>86</v>
      </c>
      <c r="H33" t="s">
        <v>15</v>
      </c>
      <c r="I33" t="s">
        <v>16</v>
      </c>
    </row>
    <row r="34" spans="2:9" x14ac:dyDescent="0.45">
      <c r="B34" t="s">
        <v>9</v>
      </c>
      <c r="C34" t="s">
        <v>143</v>
      </c>
      <c r="D34" t="s">
        <v>11</v>
      </c>
      <c r="E34" t="s">
        <v>144</v>
      </c>
      <c r="F34" t="s">
        <v>85</v>
      </c>
      <c r="G34" t="s">
        <v>86</v>
      </c>
      <c r="H34" t="s">
        <v>15</v>
      </c>
      <c r="I34" t="s">
        <v>16</v>
      </c>
    </row>
    <row r="35" spans="2:9" x14ac:dyDescent="0.45">
      <c r="B35" t="s">
        <v>9</v>
      </c>
      <c r="C35" t="s">
        <v>145</v>
      </c>
      <c r="D35" t="s">
        <v>11</v>
      </c>
      <c r="E35" t="s">
        <v>146</v>
      </c>
      <c r="F35" t="s">
        <v>85</v>
      </c>
      <c r="G35" t="s">
        <v>86</v>
      </c>
      <c r="H35" t="s">
        <v>15</v>
      </c>
      <c r="I35" t="s">
        <v>16</v>
      </c>
    </row>
    <row r="36" spans="2:9" x14ac:dyDescent="0.45">
      <c r="B36" t="s">
        <v>9</v>
      </c>
      <c r="C36" t="s">
        <v>147</v>
      </c>
      <c r="D36" t="s">
        <v>11</v>
      </c>
      <c r="E36" t="s">
        <v>148</v>
      </c>
      <c r="F36" t="s">
        <v>85</v>
      </c>
      <c r="G36" t="s">
        <v>86</v>
      </c>
      <c r="H36" t="s">
        <v>15</v>
      </c>
      <c r="I36" t="s">
        <v>16</v>
      </c>
    </row>
    <row r="37" spans="2:9" x14ac:dyDescent="0.45">
      <c r="B37" t="s">
        <v>9</v>
      </c>
      <c r="C37" t="s">
        <v>149</v>
      </c>
      <c r="D37" t="s">
        <v>11</v>
      </c>
      <c r="E37" t="s">
        <v>150</v>
      </c>
      <c r="F37" t="s">
        <v>85</v>
      </c>
      <c r="G37" t="s">
        <v>86</v>
      </c>
      <c r="H37" t="s">
        <v>15</v>
      </c>
      <c r="I37" t="s">
        <v>16</v>
      </c>
    </row>
    <row r="38" spans="2:9" x14ac:dyDescent="0.45">
      <c r="B38" t="s">
        <v>9</v>
      </c>
      <c r="C38" t="s">
        <v>151</v>
      </c>
      <c r="D38" t="s">
        <v>11</v>
      </c>
      <c r="E38" t="s">
        <v>152</v>
      </c>
      <c r="F38" t="s">
        <v>85</v>
      </c>
      <c r="G38" t="s">
        <v>86</v>
      </c>
      <c r="H38" t="s">
        <v>15</v>
      </c>
      <c r="I3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6ACF-5FFB-4F8E-AAC5-80C55EB52429}">
  <dimension ref="B3:S79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158</v>
      </c>
      <c r="O5" t="s">
        <v>11</v>
      </c>
      <c r="P5" t="s">
        <v>159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161</v>
      </c>
      <c r="O6" t="s">
        <v>11</v>
      </c>
      <c r="P6" t="s">
        <v>162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164</v>
      </c>
      <c r="O7" t="s">
        <v>11</v>
      </c>
      <c r="P7" t="s">
        <v>165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167</v>
      </c>
      <c r="O8" t="s">
        <v>11</v>
      </c>
      <c r="P8" t="s">
        <v>168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170</v>
      </c>
      <c r="O9" t="s">
        <v>11</v>
      </c>
      <c r="P9" t="s">
        <v>171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173</v>
      </c>
      <c r="O10" t="s">
        <v>11</v>
      </c>
      <c r="P10" t="s">
        <v>174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176</v>
      </c>
      <c r="O11" t="s">
        <v>11</v>
      </c>
      <c r="P11" t="s">
        <v>177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179</v>
      </c>
      <c r="O12" t="s">
        <v>11</v>
      </c>
      <c r="P12" t="s">
        <v>180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182</v>
      </c>
      <c r="O13" t="s">
        <v>11</v>
      </c>
      <c r="P13" t="s">
        <v>183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186</v>
      </c>
      <c r="O14" t="s">
        <v>11</v>
      </c>
      <c r="P14" t="s">
        <v>187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190</v>
      </c>
      <c r="O15" t="s">
        <v>11</v>
      </c>
      <c r="P15" t="s">
        <v>191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194</v>
      </c>
      <c r="O16" t="s">
        <v>11</v>
      </c>
      <c r="P16" t="s">
        <v>195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198</v>
      </c>
      <c r="O17" t="s">
        <v>11</v>
      </c>
      <c r="P17" t="s">
        <v>199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203</v>
      </c>
      <c r="O18" t="s">
        <v>11</v>
      </c>
      <c r="P18" t="s">
        <v>204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207</v>
      </c>
      <c r="O19" t="s">
        <v>11</v>
      </c>
      <c r="P19" t="s">
        <v>208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211</v>
      </c>
      <c r="O20" t="s">
        <v>11</v>
      </c>
      <c r="P20" t="s">
        <v>212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  <c r="M21" t="s">
        <v>9</v>
      </c>
      <c r="N21" t="s">
        <v>215</v>
      </c>
      <c r="O21" t="s">
        <v>11</v>
      </c>
      <c r="P21" t="s">
        <v>216</v>
      </c>
      <c r="Q21" t="s">
        <v>85</v>
      </c>
      <c r="R21" t="s">
        <v>86</v>
      </c>
      <c r="S21" t="s">
        <v>16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  <c r="M22" t="s">
        <v>9</v>
      </c>
      <c r="N22" t="s">
        <v>219</v>
      </c>
      <c r="O22" t="s">
        <v>11</v>
      </c>
      <c r="P22" t="s">
        <v>220</v>
      </c>
      <c r="Q22" t="s">
        <v>85</v>
      </c>
      <c r="R22" t="s">
        <v>86</v>
      </c>
      <c r="S22" t="s">
        <v>16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  <c r="M23" t="s">
        <v>9</v>
      </c>
      <c r="N23" t="s">
        <v>223</v>
      </c>
      <c r="O23" t="s">
        <v>11</v>
      </c>
      <c r="P23" t="s">
        <v>224</v>
      </c>
      <c r="Q23" t="s">
        <v>85</v>
      </c>
      <c r="R23" t="s">
        <v>86</v>
      </c>
      <c r="S23" t="s">
        <v>16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  <c r="M24" t="s">
        <v>9</v>
      </c>
      <c r="N24" t="s">
        <v>227</v>
      </c>
      <c r="O24" t="s">
        <v>11</v>
      </c>
      <c r="P24" t="s">
        <v>228</v>
      </c>
      <c r="Q24" t="s">
        <v>85</v>
      </c>
      <c r="R24" t="s">
        <v>86</v>
      </c>
      <c r="S24" t="s">
        <v>16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  <c r="M25" t="s">
        <v>9</v>
      </c>
      <c r="N25" t="s">
        <v>233</v>
      </c>
      <c r="O25" t="s">
        <v>11</v>
      </c>
      <c r="P25" t="s">
        <v>234</v>
      </c>
      <c r="Q25" t="s">
        <v>85</v>
      </c>
      <c r="R25" t="s">
        <v>86</v>
      </c>
      <c r="S25" t="s">
        <v>16</v>
      </c>
    </row>
    <row r="26" spans="2:19" x14ac:dyDescent="0.45">
      <c r="B26" t="s">
        <v>229</v>
      </c>
      <c r="C26" t="s">
        <v>235</v>
      </c>
      <c r="E26" t="s">
        <v>232</v>
      </c>
      <c r="M26" t="s">
        <v>9</v>
      </c>
      <c r="N26" t="s">
        <v>236</v>
      </c>
      <c r="O26" t="s">
        <v>11</v>
      </c>
      <c r="P26" t="s">
        <v>237</v>
      </c>
      <c r="Q26" t="s">
        <v>85</v>
      </c>
      <c r="R26" t="s">
        <v>86</v>
      </c>
      <c r="S26" t="s">
        <v>16</v>
      </c>
    </row>
    <row r="27" spans="2:19" x14ac:dyDescent="0.45">
      <c r="B27" t="s">
        <v>229</v>
      </c>
      <c r="C27" t="s">
        <v>238</v>
      </c>
      <c r="E27" t="s">
        <v>232</v>
      </c>
      <c r="M27" t="s">
        <v>9</v>
      </c>
      <c r="N27" t="s">
        <v>239</v>
      </c>
      <c r="O27" t="s">
        <v>11</v>
      </c>
      <c r="P27" t="s">
        <v>240</v>
      </c>
      <c r="Q27" t="s">
        <v>85</v>
      </c>
      <c r="R27" t="s">
        <v>86</v>
      </c>
      <c r="S27" t="s">
        <v>16</v>
      </c>
    </row>
    <row r="28" spans="2:19" x14ac:dyDescent="0.45">
      <c r="M28" t="s">
        <v>9</v>
      </c>
      <c r="N28" t="s">
        <v>241</v>
      </c>
      <c r="O28" t="s">
        <v>11</v>
      </c>
      <c r="P28" t="s">
        <v>242</v>
      </c>
      <c r="Q28" t="s">
        <v>85</v>
      </c>
      <c r="R28" t="s">
        <v>86</v>
      </c>
      <c r="S28" t="s">
        <v>16</v>
      </c>
    </row>
    <row r="29" spans="2:19" x14ac:dyDescent="0.45">
      <c r="M29" t="s">
        <v>9</v>
      </c>
      <c r="N29" t="s">
        <v>243</v>
      </c>
      <c r="O29" t="s">
        <v>11</v>
      </c>
      <c r="P29" t="s">
        <v>244</v>
      </c>
      <c r="Q29" t="s">
        <v>85</v>
      </c>
      <c r="R29" t="s">
        <v>86</v>
      </c>
      <c r="S29" t="s">
        <v>16</v>
      </c>
    </row>
    <row r="30" spans="2:19" ht="17.25" thickBot="1" x14ac:dyDescent="0.55000000000000004">
      <c r="B30" s="1" t="s">
        <v>245</v>
      </c>
      <c r="C30" s="2"/>
      <c r="D30" s="2"/>
      <c r="M30" t="s">
        <v>9</v>
      </c>
      <c r="N30" t="s">
        <v>246</v>
      </c>
      <c r="O30" t="s">
        <v>11</v>
      </c>
      <c r="P30" t="s">
        <v>247</v>
      </c>
      <c r="Q30" t="s">
        <v>85</v>
      </c>
      <c r="R30" t="s">
        <v>86</v>
      </c>
      <c r="S30" t="s">
        <v>16</v>
      </c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  <c r="M31" t="s">
        <v>9</v>
      </c>
      <c r="N31" t="s">
        <v>251</v>
      </c>
      <c r="O31" t="s">
        <v>11</v>
      </c>
      <c r="P31" t="s">
        <v>252</v>
      </c>
      <c r="Q31" t="s">
        <v>85</v>
      </c>
      <c r="R31" t="s">
        <v>86</v>
      </c>
      <c r="S31" t="s">
        <v>16</v>
      </c>
    </row>
    <row r="32" spans="2:19" x14ac:dyDescent="0.45">
      <c r="B32" t="s">
        <v>253</v>
      </c>
      <c r="C32" t="s">
        <v>254</v>
      </c>
      <c r="D32" t="s">
        <v>255</v>
      </c>
      <c r="M32" t="s">
        <v>9</v>
      </c>
      <c r="N32" t="s">
        <v>256</v>
      </c>
      <c r="O32" t="s">
        <v>11</v>
      </c>
      <c r="P32" t="s">
        <v>257</v>
      </c>
      <c r="Q32" t="s">
        <v>85</v>
      </c>
      <c r="R32" t="s">
        <v>86</v>
      </c>
      <c r="S32" t="s">
        <v>16</v>
      </c>
    </row>
    <row r="33" spans="2:19" x14ac:dyDescent="0.45">
      <c r="M33" t="s">
        <v>9</v>
      </c>
      <c r="N33" t="s">
        <v>258</v>
      </c>
      <c r="O33" t="s">
        <v>11</v>
      </c>
      <c r="P33" t="s">
        <v>259</v>
      </c>
      <c r="Q33" t="s">
        <v>85</v>
      </c>
      <c r="R33" t="s">
        <v>86</v>
      </c>
      <c r="S33" t="s">
        <v>16</v>
      </c>
    </row>
    <row r="34" spans="2:19" x14ac:dyDescent="0.45">
      <c r="M34" t="s">
        <v>9</v>
      </c>
      <c r="N34" t="s">
        <v>260</v>
      </c>
      <c r="O34" t="s">
        <v>11</v>
      </c>
      <c r="P34" t="s">
        <v>261</v>
      </c>
      <c r="Q34" t="s">
        <v>85</v>
      </c>
      <c r="R34" t="s">
        <v>86</v>
      </c>
      <c r="S34" t="s">
        <v>16</v>
      </c>
    </row>
    <row r="35" spans="2:19" x14ac:dyDescent="0.45">
      <c r="M35" t="s">
        <v>9</v>
      </c>
      <c r="N35" t="s">
        <v>262</v>
      </c>
      <c r="O35" t="s">
        <v>11</v>
      </c>
      <c r="P35" t="s">
        <v>263</v>
      </c>
      <c r="Q35" t="s">
        <v>85</v>
      </c>
      <c r="R35" t="s">
        <v>86</v>
      </c>
      <c r="S35" t="s">
        <v>16</v>
      </c>
    </row>
    <row r="36" spans="2:19" x14ac:dyDescent="0.45">
      <c r="M36" t="s">
        <v>9</v>
      </c>
      <c r="N36" t="s">
        <v>264</v>
      </c>
      <c r="O36" t="s">
        <v>11</v>
      </c>
      <c r="P36" t="s">
        <v>265</v>
      </c>
      <c r="Q36" t="s">
        <v>85</v>
      </c>
      <c r="R36" t="s">
        <v>86</v>
      </c>
      <c r="S36" t="s">
        <v>16</v>
      </c>
    </row>
    <row r="37" spans="2:19" x14ac:dyDescent="0.45">
      <c r="M37" t="s">
        <v>9</v>
      </c>
      <c r="N37" t="s">
        <v>266</v>
      </c>
      <c r="O37" t="s">
        <v>11</v>
      </c>
      <c r="P37" t="s">
        <v>267</v>
      </c>
      <c r="Q37" t="s">
        <v>85</v>
      </c>
      <c r="R37" t="s">
        <v>86</v>
      </c>
      <c r="S37" t="s">
        <v>16</v>
      </c>
    </row>
    <row r="38" spans="2:19" ht="17.25" thickBot="1" x14ac:dyDescent="0.55000000000000004">
      <c r="B38" s="1" t="s">
        <v>153</v>
      </c>
      <c r="C38" s="2"/>
      <c r="D38" s="2"/>
      <c r="M38" t="s">
        <v>9</v>
      </c>
      <c r="N38" t="s">
        <v>268</v>
      </c>
      <c r="O38" t="s">
        <v>11</v>
      </c>
      <c r="P38" t="s">
        <v>269</v>
      </c>
      <c r="Q38" t="s">
        <v>85</v>
      </c>
      <c r="R38" t="s">
        <v>86</v>
      </c>
      <c r="S38" t="s">
        <v>16</v>
      </c>
    </row>
    <row r="39" spans="2:19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  <c r="M39" t="s">
        <v>9</v>
      </c>
      <c r="N39" t="s">
        <v>271</v>
      </c>
      <c r="O39" t="s">
        <v>11</v>
      </c>
      <c r="P39" t="s">
        <v>272</v>
      </c>
      <c r="Q39" t="s">
        <v>85</v>
      </c>
      <c r="R39" t="s">
        <v>86</v>
      </c>
      <c r="S39" t="s">
        <v>16</v>
      </c>
    </row>
    <row r="40" spans="2:19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  <c r="M40" t="s">
        <v>9</v>
      </c>
      <c r="N40" t="s">
        <v>277</v>
      </c>
      <c r="O40" t="s">
        <v>11</v>
      </c>
      <c r="P40" t="s">
        <v>278</v>
      </c>
      <c r="Q40" t="s">
        <v>85</v>
      </c>
      <c r="R40" t="s">
        <v>86</v>
      </c>
      <c r="S40" t="s">
        <v>16</v>
      </c>
    </row>
    <row r="41" spans="2:19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  <c r="M41" t="s">
        <v>9</v>
      </c>
      <c r="N41" t="s">
        <v>281</v>
      </c>
      <c r="O41" t="s">
        <v>11</v>
      </c>
      <c r="P41" t="s">
        <v>282</v>
      </c>
      <c r="Q41" t="s">
        <v>85</v>
      </c>
      <c r="R41" t="s">
        <v>86</v>
      </c>
      <c r="S41" t="s">
        <v>16</v>
      </c>
    </row>
    <row r="42" spans="2:19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  <c r="M42" t="s">
        <v>9</v>
      </c>
      <c r="N42" t="s">
        <v>285</v>
      </c>
      <c r="O42" t="s">
        <v>11</v>
      </c>
      <c r="P42" t="s">
        <v>286</v>
      </c>
      <c r="Q42" t="s">
        <v>85</v>
      </c>
      <c r="R42" t="s">
        <v>86</v>
      </c>
      <c r="S42" t="s">
        <v>16</v>
      </c>
    </row>
    <row r="43" spans="2:19" x14ac:dyDescent="0.45">
      <c r="C43" t="s">
        <v>287</v>
      </c>
      <c r="D43" t="s">
        <v>288</v>
      </c>
      <c r="E43" t="s">
        <v>289</v>
      </c>
      <c r="F43" t="s">
        <v>290</v>
      </c>
      <c r="M43" t="s">
        <v>9</v>
      </c>
      <c r="N43" t="s">
        <v>291</v>
      </c>
      <c r="O43" t="s">
        <v>11</v>
      </c>
      <c r="P43" t="s">
        <v>292</v>
      </c>
      <c r="Q43" t="s">
        <v>85</v>
      </c>
      <c r="R43" t="s">
        <v>86</v>
      </c>
      <c r="S43" t="s">
        <v>16</v>
      </c>
    </row>
    <row r="44" spans="2:19" x14ac:dyDescent="0.45">
      <c r="M44" t="s">
        <v>9</v>
      </c>
      <c r="N44" t="s">
        <v>293</v>
      </c>
      <c r="O44" t="s">
        <v>11</v>
      </c>
      <c r="P44" t="s">
        <v>294</v>
      </c>
      <c r="Q44" t="s">
        <v>85</v>
      </c>
      <c r="R44" t="s">
        <v>86</v>
      </c>
      <c r="S44" t="s">
        <v>16</v>
      </c>
    </row>
    <row r="45" spans="2:19" x14ac:dyDescent="0.45">
      <c r="M45" t="s">
        <v>9</v>
      </c>
      <c r="N45" t="s">
        <v>295</v>
      </c>
      <c r="O45" t="s">
        <v>11</v>
      </c>
      <c r="P45" t="s">
        <v>296</v>
      </c>
      <c r="Q45" t="s">
        <v>85</v>
      </c>
      <c r="R45" t="s">
        <v>86</v>
      </c>
      <c r="S45" t="s">
        <v>16</v>
      </c>
    </row>
    <row r="46" spans="2:19" x14ac:dyDescent="0.45">
      <c r="M46" t="s">
        <v>9</v>
      </c>
      <c r="N46" t="s">
        <v>297</v>
      </c>
      <c r="O46" t="s">
        <v>11</v>
      </c>
      <c r="P46" t="s">
        <v>298</v>
      </c>
      <c r="Q46" t="s">
        <v>85</v>
      </c>
      <c r="R46" t="s">
        <v>86</v>
      </c>
      <c r="S46" t="s">
        <v>16</v>
      </c>
    </row>
    <row r="47" spans="2:19" x14ac:dyDescent="0.45">
      <c r="M47" t="s">
        <v>9</v>
      </c>
      <c r="N47" t="s">
        <v>299</v>
      </c>
      <c r="O47" t="s">
        <v>11</v>
      </c>
      <c r="P47" t="s">
        <v>300</v>
      </c>
      <c r="Q47" t="s">
        <v>85</v>
      </c>
      <c r="R47" t="s">
        <v>86</v>
      </c>
      <c r="S47" t="s">
        <v>16</v>
      </c>
    </row>
    <row r="48" spans="2:19" x14ac:dyDescent="0.45">
      <c r="M48" t="s">
        <v>9</v>
      </c>
      <c r="N48" t="s">
        <v>301</v>
      </c>
      <c r="O48" t="s">
        <v>11</v>
      </c>
      <c r="P48" t="s">
        <v>302</v>
      </c>
      <c r="Q48" t="s">
        <v>85</v>
      </c>
      <c r="R48" t="s">
        <v>86</v>
      </c>
      <c r="S48" t="s">
        <v>16</v>
      </c>
    </row>
    <row r="49" spans="13:19" x14ac:dyDescent="0.45">
      <c r="M49" t="s">
        <v>9</v>
      </c>
      <c r="N49" t="s">
        <v>303</v>
      </c>
      <c r="O49" t="s">
        <v>11</v>
      </c>
      <c r="P49" t="s">
        <v>304</v>
      </c>
      <c r="Q49" t="s">
        <v>85</v>
      </c>
      <c r="R49" t="s">
        <v>86</v>
      </c>
      <c r="S49" t="s">
        <v>16</v>
      </c>
    </row>
    <row r="50" spans="13:19" x14ac:dyDescent="0.45">
      <c r="M50" t="s">
        <v>9</v>
      </c>
      <c r="N50" t="s">
        <v>305</v>
      </c>
      <c r="O50" t="s">
        <v>11</v>
      </c>
      <c r="P50" t="s">
        <v>306</v>
      </c>
      <c r="Q50" t="s">
        <v>85</v>
      </c>
      <c r="R50" t="s">
        <v>86</v>
      </c>
      <c r="S50" t="s">
        <v>16</v>
      </c>
    </row>
    <row r="51" spans="13:19" x14ac:dyDescent="0.45">
      <c r="M51" t="s">
        <v>9</v>
      </c>
      <c r="N51" t="s">
        <v>307</v>
      </c>
      <c r="O51" t="s">
        <v>11</v>
      </c>
      <c r="P51" t="s">
        <v>308</v>
      </c>
      <c r="Q51" t="s">
        <v>85</v>
      </c>
      <c r="R51" t="s">
        <v>86</v>
      </c>
      <c r="S51" t="s">
        <v>16</v>
      </c>
    </row>
    <row r="52" spans="13:19" x14ac:dyDescent="0.45">
      <c r="M52" t="s">
        <v>9</v>
      </c>
      <c r="N52" t="s">
        <v>309</v>
      </c>
      <c r="O52" t="s">
        <v>11</v>
      </c>
      <c r="P52" t="s">
        <v>310</v>
      </c>
      <c r="Q52" t="s">
        <v>85</v>
      </c>
      <c r="R52" t="s">
        <v>86</v>
      </c>
      <c r="S52" t="s">
        <v>16</v>
      </c>
    </row>
    <row r="53" spans="13:19" x14ac:dyDescent="0.45">
      <c r="M53" t="s">
        <v>9</v>
      </c>
      <c r="N53" t="s">
        <v>311</v>
      </c>
      <c r="O53" t="s">
        <v>11</v>
      </c>
      <c r="P53" t="s">
        <v>312</v>
      </c>
      <c r="Q53" t="s">
        <v>85</v>
      </c>
      <c r="R53" t="s">
        <v>86</v>
      </c>
      <c r="S53" t="s">
        <v>16</v>
      </c>
    </row>
    <row r="54" spans="13:19" x14ac:dyDescent="0.45">
      <c r="M54" t="s">
        <v>9</v>
      </c>
      <c r="N54" t="s">
        <v>313</v>
      </c>
      <c r="O54" t="s">
        <v>11</v>
      </c>
      <c r="P54" t="s">
        <v>314</v>
      </c>
      <c r="Q54" t="s">
        <v>85</v>
      </c>
      <c r="R54" t="s">
        <v>86</v>
      </c>
      <c r="S54" t="s">
        <v>16</v>
      </c>
    </row>
    <row r="55" spans="13:19" x14ac:dyDescent="0.45">
      <c r="M55" t="s">
        <v>9</v>
      </c>
      <c r="N55" t="s">
        <v>315</v>
      </c>
      <c r="O55" t="s">
        <v>11</v>
      </c>
      <c r="P55" t="s">
        <v>316</v>
      </c>
      <c r="Q55" t="s">
        <v>85</v>
      </c>
      <c r="R55" t="s">
        <v>86</v>
      </c>
      <c r="S55" t="s">
        <v>16</v>
      </c>
    </row>
    <row r="56" spans="13:19" x14ac:dyDescent="0.45">
      <c r="M56" t="s">
        <v>9</v>
      </c>
      <c r="N56" t="s">
        <v>317</v>
      </c>
      <c r="O56" t="s">
        <v>11</v>
      </c>
      <c r="P56" t="s">
        <v>318</v>
      </c>
      <c r="Q56" t="s">
        <v>85</v>
      </c>
      <c r="R56" t="s">
        <v>86</v>
      </c>
      <c r="S56" t="s">
        <v>16</v>
      </c>
    </row>
    <row r="57" spans="13:19" x14ac:dyDescent="0.45">
      <c r="M57" t="s">
        <v>9</v>
      </c>
      <c r="N57" t="s">
        <v>319</v>
      </c>
      <c r="O57" t="s">
        <v>11</v>
      </c>
      <c r="P57" t="s">
        <v>320</v>
      </c>
      <c r="Q57" t="s">
        <v>85</v>
      </c>
      <c r="R57" t="s">
        <v>86</v>
      </c>
      <c r="S57" t="s">
        <v>16</v>
      </c>
    </row>
    <row r="58" spans="13:19" x14ac:dyDescent="0.45">
      <c r="M58" t="s">
        <v>9</v>
      </c>
      <c r="N58" t="s">
        <v>321</v>
      </c>
      <c r="O58" t="s">
        <v>11</v>
      </c>
      <c r="P58" t="s">
        <v>322</v>
      </c>
      <c r="Q58" t="s">
        <v>85</v>
      </c>
      <c r="R58" t="s">
        <v>86</v>
      </c>
      <c r="S58" t="s">
        <v>16</v>
      </c>
    </row>
    <row r="59" spans="13:19" x14ac:dyDescent="0.45">
      <c r="M59" t="s">
        <v>9</v>
      </c>
      <c r="N59" t="s">
        <v>323</v>
      </c>
      <c r="O59" t="s">
        <v>11</v>
      </c>
      <c r="P59" t="s">
        <v>324</v>
      </c>
      <c r="Q59" t="s">
        <v>85</v>
      </c>
      <c r="R59" t="s">
        <v>86</v>
      </c>
      <c r="S59" t="s">
        <v>16</v>
      </c>
    </row>
    <row r="60" spans="13:19" x14ac:dyDescent="0.45">
      <c r="M60" t="s">
        <v>9</v>
      </c>
      <c r="N60" t="s">
        <v>325</v>
      </c>
      <c r="O60" t="s">
        <v>11</v>
      </c>
      <c r="P60" t="s">
        <v>326</v>
      </c>
      <c r="Q60" t="s">
        <v>85</v>
      </c>
      <c r="R60" t="s">
        <v>86</v>
      </c>
      <c r="S60" t="s">
        <v>16</v>
      </c>
    </row>
    <row r="61" spans="13:19" x14ac:dyDescent="0.45">
      <c r="M61" t="s">
        <v>9</v>
      </c>
      <c r="N61" t="s">
        <v>327</v>
      </c>
      <c r="O61" t="s">
        <v>11</v>
      </c>
      <c r="P61" t="s">
        <v>328</v>
      </c>
      <c r="Q61" t="s">
        <v>85</v>
      </c>
      <c r="R61" t="s">
        <v>86</v>
      </c>
      <c r="S61" t="s">
        <v>16</v>
      </c>
    </row>
    <row r="62" spans="13:19" x14ac:dyDescent="0.45">
      <c r="M62" t="s">
        <v>9</v>
      </c>
      <c r="N62" t="s">
        <v>329</v>
      </c>
      <c r="O62" t="s">
        <v>11</v>
      </c>
      <c r="P62" t="s">
        <v>330</v>
      </c>
      <c r="Q62" t="s">
        <v>85</v>
      </c>
      <c r="R62" t="s">
        <v>86</v>
      </c>
      <c r="S62" t="s">
        <v>16</v>
      </c>
    </row>
    <row r="63" spans="13:19" x14ac:dyDescent="0.45">
      <c r="M63" t="s">
        <v>9</v>
      </c>
      <c r="N63" t="s">
        <v>331</v>
      </c>
      <c r="O63" t="s">
        <v>11</v>
      </c>
      <c r="P63" t="s">
        <v>332</v>
      </c>
      <c r="Q63" t="s">
        <v>85</v>
      </c>
      <c r="R63" t="s">
        <v>86</v>
      </c>
      <c r="S63" t="s">
        <v>16</v>
      </c>
    </row>
    <row r="64" spans="13:19" x14ac:dyDescent="0.45">
      <c r="M64" t="s">
        <v>9</v>
      </c>
      <c r="N64" t="s">
        <v>333</v>
      </c>
      <c r="O64" t="s">
        <v>11</v>
      </c>
      <c r="P64" t="s">
        <v>334</v>
      </c>
      <c r="Q64" t="s">
        <v>85</v>
      </c>
      <c r="R64" t="s">
        <v>86</v>
      </c>
      <c r="S64" t="s">
        <v>16</v>
      </c>
    </row>
    <row r="65" spans="13:19" x14ac:dyDescent="0.45">
      <c r="M65" t="s">
        <v>9</v>
      </c>
      <c r="N65" t="s">
        <v>335</v>
      </c>
      <c r="O65" t="s">
        <v>11</v>
      </c>
      <c r="P65" t="s">
        <v>336</v>
      </c>
      <c r="Q65" t="s">
        <v>85</v>
      </c>
      <c r="R65" t="s">
        <v>86</v>
      </c>
      <c r="S65" t="s">
        <v>16</v>
      </c>
    </row>
    <row r="66" spans="13:19" x14ac:dyDescent="0.45">
      <c r="M66" t="s">
        <v>9</v>
      </c>
      <c r="N66" t="s">
        <v>337</v>
      </c>
      <c r="O66" t="s">
        <v>11</v>
      </c>
      <c r="P66" t="s">
        <v>338</v>
      </c>
      <c r="Q66" t="s">
        <v>85</v>
      </c>
      <c r="R66" t="s">
        <v>86</v>
      </c>
      <c r="S66" t="s">
        <v>16</v>
      </c>
    </row>
    <row r="67" spans="13:19" x14ac:dyDescent="0.45">
      <c r="M67" t="s">
        <v>9</v>
      </c>
      <c r="N67" t="s">
        <v>339</v>
      </c>
      <c r="O67" t="s">
        <v>11</v>
      </c>
      <c r="P67" t="s">
        <v>340</v>
      </c>
      <c r="Q67" t="s">
        <v>85</v>
      </c>
      <c r="R67" t="s">
        <v>86</v>
      </c>
      <c r="S67" t="s">
        <v>16</v>
      </c>
    </row>
    <row r="68" spans="13:19" x14ac:dyDescent="0.45">
      <c r="M68" t="s">
        <v>9</v>
      </c>
      <c r="N68" t="s">
        <v>341</v>
      </c>
      <c r="O68" t="s">
        <v>11</v>
      </c>
      <c r="P68" t="s">
        <v>342</v>
      </c>
      <c r="Q68" t="s">
        <v>85</v>
      </c>
      <c r="R68" t="s">
        <v>86</v>
      </c>
      <c r="S68" t="s">
        <v>16</v>
      </c>
    </row>
    <row r="69" spans="13:19" x14ac:dyDescent="0.45">
      <c r="M69" t="s">
        <v>9</v>
      </c>
      <c r="N69" t="s">
        <v>343</v>
      </c>
      <c r="O69" t="s">
        <v>11</v>
      </c>
      <c r="P69" t="s">
        <v>344</v>
      </c>
      <c r="Q69" t="s">
        <v>85</v>
      </c>
      <c r="R69" t="s">
        <v>86</v>
      </c>
      <c r="S69" t="s">
        <v>16</v>
      </c>
    </row>
    <row r="70" spans="13:19" x14ac:dyDescent="0.45">
      <c r="M70" t="s">
        <v>9</v>
      </c>
      <c r="N70" t="s">
        <v>345</v>
      </c>
      <c r="O70" t="s">
        <v>11</v>
      </c>
      <c r="P70" t="s">
        <v>346</v>
      </c>
      <c r="Q70" t="s">
        <v>85</v>
      </c>
      <c r="R70" t="s">
        <v>86</v>
      </c>
      <c r="S70" t="s">
        <v>16</v>
      </c>
    </row>
    <row r="71" spans="13:19" x14ac:dyDescent="0.45">
      <c r="M71" t="s">
        <v>9</v>
      </c>
      <c r="N71" t="s">
        <v>347</v>
      </c>
      <c r="O71" t="s">
        <v>11</v>
      </c>
      <c r="P71" t="s">
        <v>348</v>
      </c>
      <c r="Q71" t="s">
        <v>85</v>
      </c>
      <c r="R71" t="s">
        <v>86</v>
      </c>
      <c r="S71" t="s">
        <v>16</v>
      </c>
    </row>
    <row r="72" spans="13:19" x14ac:dyDescent="0.45">
      <c r="M72" t="s">
        <v>9</v>
      </c>
      <c r="N72" t="s">
        <v>349</v>
      </c>
      <c r="O72" t="s">
        <v>11</v>
      </c>
      <c r="P72" t="s">
        <v>350</v>
      </c>
      <c r="Q72" t="s">
        <v>85</v>
      </c>
      <c r="R72" t="s">
        <v>86</v>
      </c>
      <c r="S72" t="s">
        <v>16</v>
      </c>
    </row>
    <row r="73" spans="13:19" x14ac:dyDescent="0.45">
      <c r="M73" t="s">
        <v>9</v>
      </c>
      <c r="N73" t="s">
        <v>351</v>
      </c>
      <c r="O73" t="s">
        <v>11</v>
      </c>
      <c r="P73" t="s">
        <v>352</v>
      </c>
      <c r="Q73" t="s">
        <v>85</v>
      </c>
      <c r="R73" t="s">
        <v>86</v>
      </c>
      <c r="S73" t="s">
        <v>16</v>
      </c>
    </row>
    <row r="74" spans="13:19" x14ac:dyDescent="0.45">
      <c r="M74" t="s">
        <v>9</v>
      </c>
      <c r="N74" t="s">
        <v>353</v>
      </c>
      <c r="O74" t="s">
        <v>11</v>
      </c>
      <c r="P74" t="s">
        <v>354</v>
      </c>
      <c r="Q74" t="s">
        <v>85</v>
      </c>
      <c r="R74" t="s">
        <v>86</v>
      </c>
      <c r="S74" t="s">
        <v>16</v>
      </c>
    </row>
    <row r="75" spans="13:19" x14ac:dyDescent="0.45">
      <c r="M75" t="s">
        <v>9</v>
      </c>
      <c r="N75" t="s">
        <v>355</v>
      </c>
      <c r="O75" t="s">
        <v>11</v>
      </c>
      <c r="P75" t="s">
        <v>356</v>
      </c>
      <c r="Q75" t="s">
        <v>85</v>
      </c>
      <c r="R75" t="s">
        <v>86</v>
      </c>
      <c r="S75" t="s">
        <v>16</v>
      </c>
    </row>
    <row r="76" spans="13:19" x14ac:dyDescent="0.45">
      <c r="M76" t="s">
        <v>9</v>
      </c>
      <c r="N76" t="s">
        <v>357</v>
      </c>
      <c r="O76" t="s">
        <v>11</v>
      </c>
      <c r="P76" t="s">
        <v>358</v>
      </c>
      <c r="Q76" t="s">
        <v>85</v>
      </c>
      <c r="R76" t="s">
        <v>86</v>
      </c>
      <c r="S76" t="s">
        <v>16</v>
      </c>
    </row>
    <row r="77" spans="13:19" x14ac:dyDescent="0.45">
      <c r="M77" t="s">
        <v>9</v>
      </c>
      <c r="N77" t="s">
        <v>359</v>
      </c>
      <c r="O77" t="s">
        <v>11</v>
      </c>
      <c r="P77" t="s">
        <v>360</v>
      </c>
      <c r="Q77" t="s">
        <v>85</v>
      </c>
      <c r="R77" t="s">
        <v>86</v>
      </c>
      <c r="S77" t="s">
        <v>16</v>
      </c>
    </row>
    <row r="78" spans="13:19" x14ac:dyDescent="0.45">
      <c r="M78" t="s">
        <v>9</v>
      </c>
      <c r="N78" t="s">
        <v>361</v>
      </c>
      <c r="O78" t="s">
        <v>11</v>
      </c>
      <c r="P78" t="s">
        <v>362</v>
      </c>
      <c r="Q78" t="s">
        <v>85</v>
      </c>
      <c r="R78" t="s">
        <v>86</v>
      </c>
      <c r="S78" t="s">
        <v>16</v>
      </c>
    </row>
    <row r="79" spans="13:19" x14ac:dyDescent="0.45">
      <c r="M79" t="s">
        <v>9</v>
      </c>
      <c r="N79" t="s">
        <v>363</v>
      </c>
      <c r="O79" t="s">
        <v>11</v>
      </c>
      <c r="P79" t="s">
        <v>364</v>
      </c>
      <c r="Q79" t="s">
        <v>85</v>
      </c>
      <c r="R79" t="s">
        <v>86</v>
      </c>
      <c r="S7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F63B-4E2C-465D-979C-6EB39F139BA0}">
  <dimension ref="B3:I19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365</v>
      </c>
      <c r="D5" t="s">
        <v>366</v>
      </c>
      <c r="E5" t="s">
        <v>367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368</v>
      </c>
      <c r="D6" t="s">
        <v>366</v>
      </c>
      <c r="E6" t="s">
        <v>369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370</v>
      </c>
      <c r="D7" t="s">
        <v>366</v>
      </c>
      <c r="E7" t="s">
        <v>371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372</v>
      </c>
      <c r="D8" t="s">
        <v>366</v>
      </c>
      <c r="E8" t="s">
        <v>373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374</v>
      </c>
      <c r="D9" t="s">
        <v>366</v>
      </c>
      <c r="E9" t="s">
        <v>375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376</v>
      </c>
      <c r="D10" t="s">
        <v>366</v>
      </c>
      <c r="E10" t="s">
        <v>377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378</v>
      </c>
      <c r="D11" t="s">
        <v>366</v>
      </c>
      <c r="E11" t="s">
        <v>379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380</v>
      </c>
      <c r="D12" t="s">
        <v>366</v>
      </c>
      <c r="E12" t="s">
        <v>381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382</v>
      </c>
      <c r="D13" t="s">
        <v>366</v>
      </c>
      <c r="E13" t="s">
        <v>383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384</v>
      </c>
      <c r="D14" t="s">
        <v>366</v>
      </c>
      <c r="E14" t="s">
        <v>385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386</v>
      </c>
      <c r="D15" t="s">
        <v>366</v>
      </c>
      <c r="E15" t="s">
        <v>387</v>
      </c>
      <c r="F15" t="s">
        <v>13</v>
      </c>
      <c r="G15" t="s">
        <v>14</v>
      </c>
      <c r="H15" t="s">
        <v>15</v>
      </c>
      <c r="I15" t="s">
        <v>16</v>
      </c>
    </row>
    <row r="16" spans="2:9" x14ac:dyDescent="0.45">
      <c r="B16" t="s">
        <v>9</v>
      </c>
      <c r="C16" t="s">
        <v>388</v>
      </c>
      <c r="D16" t="s">
        <v>366</v>
      </c>
      <c r="E16" t="s">
        <v>389</v>
      </c>
      <c r="F16" t="s">
        <v>13</v>
      </c>
      <c r="G16" t="s">
        <v>14</v>
      </c>
      <c r="H16" t="s">
        <v>15</v>
      </c>
      <c r="I16" t="s">
        <v>16</v>
      </c>
    </row>
    <row r="17" spans="2:9" x14ac:dyDescent="0.45">
      <c r="B17" t="s">
        <v>9</v>
      </c>
      <c r="C17" t="s">
        <v>390</v>
      </c>
      <c r="D17" t="s">
        <v>366</v>
      </c>
      <c r="E17" t="s">
        <v>391</v>
      </c>
      <c r="F17" t="s">
        <v>13</v>
      </c>
      <c r="G17" t="s">
        <v>14</v>
      </c>
      <c r="H17" t="s">
        <v>15</v>
      </c>
      <c r="I17" t="s">
        <v>16</v>
      </c>
    </row>
    <row r="18" spans="2:9" x14ac:dyDescent="0.45">
      <c r="B18" t="s">
        <v>9</v>
      </c>
      <c r="C18" t="s">
        <v>392</v>
      </c>
      <c r="D18" t="s">
        <v>366</v>
      </c>
      <c r="E18" t="s">
        <v>393</v>
      </c>
      <c r="F18" t="s">
        <v>13</v>
      </c>
      <c r="G18" t="s">
        <v>14</v>
      </c>
      <c r="H18" t="s">
        <v>15</v>
      </c>
      <c r="I18" t="s">
        <v>16</v>
      </c>
    </row>
    <row r="19" spans="2:9" x14ac:dyDescent="0.45">
      <c r="B19" t="s">
        <v>9</v>
      </c>
      <c r="C19" t="s">
        <v>394</v>
      </c>
      <c r="D19" t="s">
        <v>366</v>
      </c>
      <c r="E19" t="s">
        <v>395</v>
      </c>
      <c r="F19" t="s">
        <v>13</v>
      </c>
      <c r="G19" t="s">
        <v>14</v>
      </c>
      <c r="H19" t="s">
        <v>15</v>
      </c>
      <c r="I19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7EA0-DFDB-49A9-96C5-D51CF8BEC4DD}">
  <dimension ref="B3:I19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396</v>
      </c>
      <c r="D5" t="s">
        <v>366</v>
      </c>
      <c r="E5" t="s">
        <v>397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398</v>
      </c>
      <c r="D6" t="s">
        <v>366</v>
      </c>
      <c r="E6" t="s">
        <v>399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400</v>
      </c>
      <c r="D7" t="s">
        <v>366</v>
      </c>
      <c r="E7" t="s">
        <v>401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402</v>
      </c>
      <c r="D8" t="s">
        <v>366</v>
      </c>
      <c r="E8" t="s">
        <v>403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404</v>
      </c>
      <c r="D9" t="s">
        <v>366</v>
      </c>
      <c r="E9" t="s">
        <v>405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406</v>
      </c>
      <c r="D10" t="s">
        <v>366</v>
      </c>
      <c r="E10" t="s">
        <v>407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408</v>
      </c>
      <c r="D11" t="s">
        <v>366</v>
      </c>
      <c r="E11" t="s">
        <v>409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410</v>
      </c>
      <c r="D12" t="s">
        <v>366</v>
      </c>
      <c r="E12" t="s">
        <v>411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412</v>
      </c>
      <c r="D13" t="s">
        <v>366</v>
      </c>
      <c r="E13" t="s">
        <v>413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414</v>
      </c>
      <c r="D14" t="s">
        <v>366</v>
      </c>
      <c r="E14" t="s">
        <v>415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416</v>
      </c>
      <c r="D15" t="s">
        <v>366</v>
      </c>
      <c r="E15" t="s">
        <v>417</v>
      </c>
      <c r="F15" t="s">
        <v>85</v>
      </c>
      <c r="G15" t="s">
        <v>86</v>
      </c>
      <c r="H15" t="s">
        <v>15</v>
      </c>
      <c r="I15" t="s">
        <v>16</v>
      </c>
    </row>
    <row r="16" spans="2:9" x14ac:dyDescent="0.45">
      <c r="B16" t="s">
        <v>9</v>
      </c>
      <c r="C16" t="s">
        <v>418</v>
      </c>
      <c r="D16" t="s">
        <v>366</v>
      </c>
      <c r="E16" t="s">
        <v>419</v>
      </c>
      <c r="F16" t="s">
        <v>85</v>
      </c>
      <c r="G16" t="s">
        <v>86</v>
      </c>
      <c r="H16" t="s">
        <v>15</v>
      </c>
      <c r="I16" t="s">
        <v>16</v>
      </c>
    </row>
    <row r="17" spans="2:9" x14ac:dyDescent="0.45">
      <c r="B17" t="s">
        <v>9</v>
      </c>
      <c r="C17" t="s">
        <v>420</v>
      </c>
      <c r="D17" t="s">
        <v>366</v>
      </c>
      <c r="E17" t="s">
        <v>421</v>
      </c>
      <c r="F17" t="s">
        <v>85</v>
      </c>
      <c r="G17" t="s">
        <v>86</v>
      </c>
      <c r="H17" t="s">
        <v>15</v>
      </c>
      <c r="I17" t="s">
        <v>16</v>
      </c>
    </row>
    <row r="18" spans="2:9" x14ac:dyDescent="0.45">
      <c r="B18" t="s">
        <v>9</v>
      </c>
      <c r="C18" t="s">
        <v>422</v>
      </c>
      <c r="D18" t="s">
        <v>366</v>
      </c>
      <c r="E18" t="s">
        <v>423</v>
      </c>
      <c r="F18" t="s">
        <v>85</v>
      </c>
      <c r="G18" t="s">
        <v>86</v>
      </c>
      <c r="H18" t="s">
        <v>15</v>
      </c>
      <c r="I18" t="s">
        <v>16</v>
      </c>
    </row>
    <row r="19" spans="2:9" x14ac:dyDescent="0.45">
      <c r="B19" t="s">
        <v>9</v>
      </c>
      <c r="C19" t="s">
        <v>424</v>
      </c>
      <c r="D19" t="s">
        <v>366</v>
      </c>
      <c r="E19" t="s">
        <v>425</v>
      </c>
      <c r="F19" t="s">
        <v>85</v>
      </c>
      <c r="G19" t="s">
        <v>86</v>
      </c>
      <c r="H19" t="s">
        <v>15</v>
      </c>
      <c r="I1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AF41-D52E-4BF1-8F4D-E8F4124DD345}">
  <dimension ref="B3:S80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426</v>
      </c>
      <c r="O5" t="s">
        <v>366</v>
      </c>
      <c r="P5" t="s">
        <v>427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428</v>
      </c>
      <c r="O6" t="s">
        <v>366</v>
      </c>
      <c r="P6" t="s">
        <v>429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430</v>
      </c>
      <c r="O7" t="s">
        <v>366</v>
      </c>
      <c r="P7" t="s">
        <v>431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432</v>
      </c>
      <c r="O8" t="s">
        <v>366</v>
      </c>
      <c r="P8" t="s">
        <v>433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434</v>
      </c>
      <c r="O9" t="s">
        <v>366</v>
      </c>
      <c r="P9" t="s">
        <v>435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436</v>
      </c>
      <c r="O10" t="s">
        <v>366</v>
      </c>
      <c r="P10" t="s">
        <v>437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438</v>
      </c>
      <c r="O11" t="s">
        <v>366</v>
      </c>
      <c r="P11" t="s">
        <v>439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440</v>
      </c>
      <c r="O12" t="s">
        <v>366</v>
      </c>
      <c r="P12" t="s">
        <v>441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442</v>
      </c>
      <c r="O13" t="s">
        <v>366</v>
      </c>
      <c r="P13" t="s">
        <v>443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444</v>
      </c>
      <c r="O14" t="s">
        <v>366</v>
      </c>
      <c r="P14" t="s">
        <v>445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446</v>
      </c>
      <c r="O15" t="s">
        <v>366</v>
      </c>
      <c r="P15" t="s">
        <v>447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448</v>
      </c>
      <c r="O16" t="s">
        <v>366</v>
      </c>
      <c r="P16" t="s">
        <v>449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450</v>
      </c>
      <c r="O17" t="s">
        <v>366</v>
      </c>
      <c r="P17" t="s">
        <v>451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452</v>
      </c>
      <c r="O18" t="s">
        <v>366</v>
      </c>
      <c r="P18" t="s">
        <v>453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454</v>
      </c>
      <c r="O19" t="s">
        <v>366</v>
      </c>
      <c r="P19" t="s">
        <v>455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456</v>
      </c>
      <c r="O20" t="s">
        <v>366</v>
      </c>
      <c r="P20" t="s">
        <v>457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  <c r="M21" t="s">
        <v>9</v>
      </c>
      <c r="N21" t="s">
        <v>458</v>
      </c>
      <c r="O21" t="s">
        <v>366</v>
      </c>
      <c r="P21" t="s">
        <v>459</v>
      </c>
      <c r="Q21" t="s">
        <v>85</v>
      </c>
      <c r="R21" t="s">
        <v>86</v>
      </c>
      <c r="S21" t="s">
        <v>16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  <c r="M22" t="s">
        <v>9</v>
      </c>
      <c r="N22" t="s">
        <v>460</v>
      </c>
      <c r="O22" t="s">
        <v>366</v>
      </c>
      <c r="P22" t="s">
        <v>461</v>
      </c>
      <c r="Q22" t="s">
        <v>85</v>
      </c>
      <c r="R22" t="s">
        <v>86</v>
      </c>
      <c r="S22" t="s">
        <v>16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  <c r="M23" t="s">
        <v>9</v>
      </c>
      <c r="N23" t="s">
        <v>462</v>
      </c>
      <c r="O23" t="s">
        <v>366</v>
      </c>
      <c r="P23" t="s">
        <v>463</v>
      </c>
      <c r="Q23" t="s">
        <v>85</v>
      </c>
      <c r="R23" t="s">
        <v>86</v>
      </c>
      <c r="S23" t="s">
        <v>16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  <c r="M24" t="s">
        <v>9</v>
      </c>
      <c r="N24" t="s">
        <v>464</v>
      </c>
      <c r="O24" t="s">
        <v>366</v>
      </c>
      <c r="P24" t="s">
        <v>465</v>
      </c>
      <c r="Q24" t="s">
        <v>85</v>
      </c>
      <c r="R24" t="s">
        <v>86</v>
      </c>
      <c r="S24" t="s">
        <v>16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  <c r="M25" t="s">
        <v>9</v>
      </c>
      <c r="N25" t="s">
        <v>466</v>
      </c>
      <c r="O25" t="s">
        <v>366</v>
      </c>
      <c r="P25" t="s">
        <v>467</v>
      </c>
      <c r="Q25" t="s">
        <v>85</v>
      </c>
      <c r="R25" t="s">
        <v>86</v>
      </c>
      <c r="S25" t="s">
        <v>16</v>
      </c>
    </row>
    <row r="26" spans="2:19" x14ac:dyDescent="0.45">
      <c r="B26" t="s">
        <v>229</v>
      </c>
      <c r="C26" t="s">
        <v>235</v>
      </c>
      <c r="E26" t="s">
        <v>232</v>
      </c>
      <c r="M26" t="s">
        <v>9</v>
      </c>
      <c r="N26" t="s">
        <v>468</v>
      </c>
      <c r="O26" t="s">
        <v>366</v>
      </c>
      <c r="P26" t="s">
        <v>469</v>
      </c>
      <c r="Q26" t="s">
        <v>85</v>
      </c>
      <c r="R26" t="s">
        <v>86</v>
      </c>
      <c r="S26" t="s">
        <v>16</v>
      </c>
    </row>
    <row r="27" spans="2:19" x14ac:dyDescent="0.45">
      <c r="B27" t="s">
        <v>229</v>
      </c>
      <c r="C27" t="s">
        <v>238</v>
      </c>
      <c r="E27" t="s">
        <v>232</v>
      </c>
      <c r="M27" t="s">
        <v>9</v>
      </c>
      <c r="N27" t="s">
        <v>470</v>
      </c>
      <c r="O27" t="s">
        <v>366</v>
      </c>
      <c r="P27" t="s">
        <v>471</v>
      </c>
      <c r="Q27" t="s">
        <v>85</v>
      </c>
      <c r="R27" t="s">
        <v>86</v>
      </c>
      <c r="S27" t="s">
        <v>16</v>
      </c>
    </row>
    <row r="28" spans="2:19" x14ac:dyDescent="0.45">
      <c r="M28" t="s">
        <v>9</v>
      </c>
      <c r="N28" t="s">
        <v>472</v>
      </c>
      <c r="O28" t="s">
        <v>366</v>
      </c>
      <c r="P28" t="s">
        <v>473</v>
      </c>
      <c r="Q28" t="s">
        <v>85</v>
      </c>
      <c r="R28" t="s">
        <v>86</v>
      </c>
      <c r="S28" t="s">
        <v>16</v>
      </c>
    </row>
    <row r="29" spans="2:19" x14ac:dyDescent="0.45">
      <c r="M29" t="s">
        <v>9</v>
      </c>
      <c r="N29" t="s">
        <v>474</v>
      </c>
      <c r="O29" t="s">
        <v>366</v>
      </c>
      <c r="P29" t="s">
        <v>475</v>
      </c>
      <c r="Q29" t="s">
        <v>85</v>
      </c>
      <c r="R29" t="s">
        <v>86</v>
      </c>
      <c r="S29" t="s">
        <v>16</v>
      </c>
    </row>
    <row r="30" spans="2:19" ht="17.25" thickBot="1" x14ac:dyDescent="0.55000000000000004">
      <c r="B30" s="1" t="s">
        <v>245</v>
      </c>
      <c r="C30" s="2"/>
      <c r="D30" s="2"/>
      <c r="M30" t="s">
        <v>9</v>
      </c>
      <c r="N30" t="s">
        <v>476</v>
      </c>
      <c r="O30" t="s">
        <v>366</v>
      </c>
      <c r="P30" t="s">
        <v>477</v>
      </c>
      <c r="Q30" t="s">
        <v>85</v>
      </c>
      <c r="R30" t="s">
        <v>86</v>
      </c>
      <c r="S30" t="s">
        <v>16</v>
      </c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  <c r="M31" t="s">
        <v>9</v>
      </c>
      <c r="N31" t="s">
        <v>478</v>
      </c>
      <c r="O31" t="s">
        <v>366</v>
      </c>
      <c r="P31" t="s">
        <v>479</v>
      </c>
      <c r="Q31" t="s">
        <v>85</v>
      </c>
      <c r="R31" t="s">
        <v>86</v>
      </c>
      <c r="S31" t="s">
        <v>16</v>
      </c>
    </row>
    <row r="32" spans="2:19" x14ac:dyDescent="0.45">
      <c r="B32" t="s">
        <v>253</v>
      </c>
      <c r="C32" t="s">
        <v>254</v>
      </c>
      <c r="D32" t="s">
        <v>255</v>
      </c>
      <c r="M32" t="s">
        <v>9</v>
      </c>
      <c r="N32" t="s">
        <v>480</v>
      </c>
      <c r="O32" t="s">
        <v>366</v>
      </c>
      <c r="P32" t="s">
        <v>481</v>
      </c>
      <c r="Q32" t="s">
        <v>85</v>
      </c>
      <c r="R32" t="s">
        <v>86</v>
      </c>
      <c r="S32" t="s">
        <v>16</v>
      </c>
    </row>
    <row r="33" spans="2:19" x14ac:dyDescent="0.45">
      <c r="M33" t="s">
        <v>9</v>
      </c>
      <c r="N33" t="s">
        <v>482</v>
      </c>
      <c r="O33" t="s">
        <v>366</v>
      </c>
      <c r="P33" t="s">
        <v>483</v>
      </c>
      <c r="Q33" t="s">
        <v>85</v>
      </c>
      <c r="R33" t="s">
        <v>86</v>
      </c>
      <c r="S33" t="s">
        <v>16</v>
      </c>
    </row>
    <row r="34" spans="2:19" x14ac:dyDescent="0.45">
      <c r="M34" t="s">
        <v>9</v>
      </c>
      <c r="N34" t="s">
        <v>484</v>
      </c>
      <c r="O34" t="s">
        <v>366</v>
      </c>
      <c r="P34" t="s">
        <v>485</v>
      </c>
      <c r="Q34" t="s">
        <v>85</v>
      </c>
      <c r="R34" t="s">
        <v>86</v>
      </c>
      <c r="S34" t="s">
        <v>16</v>
      </c>
    </row>
    <row r="35" spans="2:19" x14ac:dyDescent="0.45">
      <c r="M35" t="s">
        <v>9</v>
      </c>
      <c r="N35" t="s">
        <v>486</v>
      </c>
      <c r="O35" t="s">
        <v>366</v>
      </c>
      <c r="P35" t="s">
        <v>487</v>
      </c>
      <c r="Q35" t="s">
        <v>85</v>
      </c>
      <c r="R35" t="s">
        <v>86</v>
      </c>
      <c r="S35" t="s">
        <v>16</v>
      </c>
    </row>
    <row r="36" spans="2:19" x14ac:dyDescent="0.45">
      <c r="M36" t="s">
        <v>9</v>
      </c>
      <c r="N36" t="s">
        <v>488</v>
      </c>
      <c r="O36" t="s">
        <v>366</v>
      </c>
      <c r="P36" t="s">
        <v>489</v>
      </c>
      <c r="Q36" t="s">
        <v>85</v>
      </c>
      <c r="R36" t="s">
        <v>86</v>
      </c>
      <c r="S36" t="s">
        <v>16</v>
      </c>
    </row>
    <row r="37" spans="2:19" x14ac:dyDescent="0.45">
      <c r="M37" t="s">
        <v>9</v>
      </c>
      <c r="N37" t="s">
        <v>490</v>
      </c>
      <c r="O37" t="s">
        <v>366</v>
      </c>
      <c r="P37" t="s">
        <v>491</v>
      </c>
      <c r="Q37" t="s">
        <v>85</v>
      </c>
      <c r="R37" t="s">
        <v>86</v>
      </c>
      <c r="S37" t="s">
        <v>16</v>
      </c>
    </row>
    <row r="38" spans="2:19" ht="17.25" thickBot="1" x14ac:dyDescent="0.55000000000000004">
      <c r="B38" s="1" t="s">
        <v>153</v>
      </c>
      <c r="C38" s="2"/>
      <c r="D38" s="2"/>
      <c r="M38" t="s">
        <v>9</v>
      </c>
      <c r="N38" t="s">
        <v>492</v>
      </c>
      <c r="O38" t="s">
        <v>366</v>
      </c>
      <c r="P38" t="s">
        <v>493</v>
      </c>
      <c r="Q38" t="s">
        <v>85</v>
      </c>
      <c r="R38" t="s">
        <v>86</v>
      </c>
      <c r="S38" t="s">
        <v>16</v>
      </c>
    </row>
    <row r="39" spans="2:19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  <c r="M39" t="s">
        <v>9</v>
      </c>
      <c r="N39" t="s">
        <v>494</v>
      </c>
      <c r="O39" t="s">
        <v>366</v>
      </c>
      <c r="P39" t="s">
        <v>495</v>
      </c>
      <c r="Q39" t="s">
        <v>85</v>
      </c>
      <c r="R39" t="s">
        <v>86</v>
      </c>
      <c r="S39" t="s">
        <v>16</v>
      </c>
    </row>
    <row r="40" spans="2:19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  <c r="M40" t="s">
        <v>9</v>
      </c>
      <c r="N40" t="s">
        <v>496</v>
      </c>
      <c r="O40" t="s">
        <v>366</v>
      </c>
      <c r="P40" t="s">
        <v>497</v>
      </c>
      <c r="Q40" t="s">
        <v>85</v>
      </c>
      <c r="R40" t="s">
        <v>86</v>
      </c>
      <c r="S40" t="s">
        <v>16</v>
      </c>
    </row>
    <row r="41" spans="2:19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  <c r="M41" t="s">
        <v>9</v>
      </c>
      <c r="N41" t="s">
        <v>498</v>
      </c>
      <c r="O41" t="s">
        <v>366</v>
      </c>
      <c r="P41" t="s">
        <v>499</v>
      </c>
      <c r="Q41" t="s">
        <v>85</v>
      </c>
      <c r="R41" t="s">
        <v>86</v>
      </c>
      <c r="S41" t="s">
        <v>16</v>
      </c>
    </row>
    <row r="42" spans="2:19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  <c r="M42" t="s">
        <v>9</v>
      </c>
      <c r="N42" t="s">
        <v>500</v>
      </c>
      <c r="O42" t="s">
        <v>366</v>
      </c>
      <c r="P42" t="s">
        <v>501</v>
      </c>
      <c r="Q42" t="s">
        <v>85</v>
      </c>
      <c r="R42" t="s">
        <v>86</v>
      </c>
      <c r="S42" t="s">
        <v>16</v>
      </c>
    </row>
    <row r="43" spans="2:19" x14ac:dyDescent="0.45">
      <c r="C43" t="s">
        <v>287</v>
      </c>
      <c r="D43" t="s">
        <v>288</v>
      </c>
      <c r="E43" t="s">
        <v>289</v>
      </c>
      <c r="F43" t="s">
        <v>290</v>
      </c>
      <c r="M43" t="s">
        <v>9</v>
      </c>
      <c r="N43" t="s">
        <v>502</v>
      </c>
      <c r="O43" t="s">
        <v>366</v>
      </c>
      <c r="P43" t="s">
        <v>503</v>
      </c>
      <c r="Q43" t="s">
        <v>85</v>
      </c>
      <c r="R43" t="s">
        <v>86</v>
      </c>
      <c r="S43" t="s">
        <v>16</v>
      </c>
    </row>
    <row r="44" spans="2:19" x14ac:dyDescent="0.45">
      <c r="M44" t="s">
        <v>9</v>
      </c>
      <c r="N44" t="s">
        <v>504</v>
      </c>
      <c r="O44" t="s">
        <v>366</v>
      </c>
      <c r="P44" t="s">
        <v>505</v>
      </c>
      <c r="Q44" t="s">
        <v>85</v>
      </c>
      <c r="R44" t="s">
        <v>86</v>
      </c>
      <c r="S44" t="s">
        <v>16</v>
      </c>
    </row>
    <row r="45" spans="2:19" x14ac:dyDescent="0.45">
      <c r="M45" t="s">
        <v>9</v>
      </c>
      <c r="N45" t="s">
        <v>506</v>
      </c>
      <c r="O45" t="s">
        <v>366</v>
      </c>
      <c r="P45" t="s">
        <v>507</v>
      </c>
      <c r="Q45" t="s">
        <v>85</v>
      </c>
      <c r="R45" t="s">
        <v>86</v>
      </c>
      <c r="S45" t="s">
        <v>16</v>
      </c>
    </row>
    <row r="46" spans="2:19" x14ac:dyDescent="0.45">
      <c r="M46" t="s">
        <v>9</v>
      </c>
      <c r="N46" t="s">
        <v>508</v>
      </c>
      <c r="O46" t="s">
        <v>366</v>
      </c>
      <c r="P46" t="s">
        <v>509</v>
      </c>
      <c r="Q46" t="s">
        <v>85</v>
      </c>
      <c r="R46" t="s">
        <v>86</v>
      </c>
      <c r="S46" t="s">
        <v>16</v>
      </c>
    </row>
    <row r="47" spans="2:19" x14ac:dyDescent="0.45">
      <c r="M47" t="s">
        <v>9</v>
      </c>
      <c r="N47" t="s">
        <v>510</v>
      </c>
      <c r="O47" t="s">
        <v>366</v>
      </c>
      <c r="P47" t="s">
        <v>511</v>
      </c>
      <c r="Q47" t="s">
        <v>85</v>
      </c>
      <c r="R47" t="s">
        <v>86</v>
      </c>
      <c r="S47" t="s">
        <v>16</v>
      </c>
    </row>
    <row r="48" spans="2:19" x14ac:dyDescent="0.45">
      <c r="M48" t="s">
        <v>9</v>
      </c>
      <c r="N48" t="s">
        <v>512</v>
      </c>
      <c r="O48" t="s">
        <v>366</v>
      </c>
      <c r="P48" t="s">
        <v>513</v>
      </c>
      <c r="Q48" t="s">
        <v>85</v>
      </c>
      <c r="R48" t="s">
        <v>86</v>
      </c>
      <c r="S48" t="s">
        <v>16</v>
      </c>
    </row>
    <row r="49" spans="13:19" x14ac:dyDescent="0.45">
      <c r="M49" t="s">
        <v>9</v>
      </c>
      <c r="N49" t="s">
        <v>514</v>
      </c>
      <c r="O49" t="s">
        <v>366</v>
      </c>
      <c r="P49" t="s">
        <v>515</v>
      </c>
      <c r="Q49" t="s">
        <v>85</v>
      </c>
      <c r="R49" t="s">
        <v>86</v>
      </c>
      <c r="S49" t="s">
        <v>16</v>
      </c>
    </row>
    <row r="50" spans="13:19" x14ac:dyDescent="0.45">
      <c r="M50" t="s">
        <v>9</v>
      </c>
      <c r="N50" t="s">
        <v>516</v>
      </c>
      <c r="O50" t="s">
        <v>366</v>
      </c>
      <c r="P50" t="s">
        <v>517</v>
      </c>
      <c r="Q50" t="s">
        <v>85</v>
      </c>
      <c r="R50" t="s">
        <v>86</v>
      </c>
      <c r="S50" t="s">
        <v>16</v>
      </c>
    </row>
    <row r="51" spans="13:19" x14ac:dyDescent="0.45">
      <c r="M51" t="s">
        <v>9</v>
      </c>
      <c r="N51" t="s">
        <v>518</v>
      </c>
      <c r="O51" t="s">
        <v>366</v>
      </c>
      <c r="P51" t="s">
        <v>519</v>
      </c>
      <c r="Q51" t="s">
        <v>85</v>
      </c>
      <c r="R51" t="s">
        <v>86</v>
      </c>
      <c r="S51" t="s">
        <v>16</v>
      </c>
    </row>
    <row r="52" spans="13:19" x14ac:dyDescent="0.45">
      <c r="M52" t="s">
        <v>9</v>
      </c>
      <c r="N52" t="s">
        <v>520</v>
      </c>
      <c r="O52" t="s">
        <v>366</v>
      </c>
      <c r="P52" t="s">
        <v>521</v>
      </c>
      <c r="Q52" t="s">
        <v>85</v>
      </c>
      <c r="R52" t="s">
        <v>86</v>
      </c>
      <c r="S52" t="s">
        <v>16</v>
      </c>
    </row>
    <row r="53" spans="13:19" x14ac:dyDescent="0.45">
      <c r="M53" t="s">
        <v>9</v>
      </c>
      <c r="N53" t="s">
        <v>522</v>
      </c>
      <c r="O53" t="s">
        <v>366</v>
      </c>
      <c r="P53" t="s">
        <v>523</v>
      </c>
      <c r="Q53" t="s">
        <v>85</v>
      </c>
      <c r="R53" t="s">
        <v>86</v>
      </c>
      <c r="S53" t="s">
        <v>16</v>
      </c>
    </row>
    <row r="54" spans="13:19" x14ac:dyDescent="0.45">
      <c r="M54" t="s">
        <v>9</v>
      </c>
      <c r="N54" t="s">
        <v>524</v>
      </c>
      <c r="O54" t="s">
        <v>366</v>
      </c>
      <c r="P54" t="s">
        <v>525</v>
      </c>
      <c r="Q54" t="s">
        <v>85</v>
      </c>
      <c r="R54" t="s">
        <v>86</v>
      </c>
      <c r="S54" t="s">
        <v>16</v>
      </c>
    </row>
    <row r="55" spans="13:19" x14ac:dyDescent="0.45">
      <c r="M55" t="s">
        <v>9</v>
      </c>
      <c r="N55" t="s">
        <v>526</v>
      </c>
      <c r="O55" t="s">
        <v>366</v>
      </c>
      <c r="P55" t="s">
        <v>527</v>
      </c>
      <c r="Q55" t="s">
        <v>85</v>
      </c>
      <c r="R55" t="s">
        <v>86</v>
      </c>
      <c r="S55" t="s">
        <v>16</v>
      </c>
    </row>
    <row r="56" spans="13:19" x14ac:dyDescent="0.45">
      <c r="M56" t="s">
        <v>9</v>
      </c>
      <c r="N56" t="s">
        <v>528</v>
      </c>
      <c r="O56" t="s">
        <v>366</v>
      </c>
      <c r="P56" t="s">
        <v>529</v>
      </c>
      <c r="Q56" t="s">
        <v>85</v>
      </c>
      <c r="R56" t="s">
        <v>86</v>
      </c>
      <c r="S56" t="s">
        <v>16</v>
      </c>
    </row>
    <row r="57" spans="13:19" x14ac:dyDescent="0.45">
      <c r="M57" t="s">
        <v>9</v>
      </c>
      <c r="N57" t="s">
        <v>530</v>
      </c>
      <c r="O57" t="s">
        <v>366</v>
      </c>
      <c r="P57" t="s">
        <v>531</v>
      </c>
      <c r="Q57" t="s">
        <v>85</v>
      </c>
      <c r="R57" t="s">
        <v>86</v>
      </c>
      <c r="S57" t="s">
        <v>16</v>
      </c>
    </row>
    <row r="58" spans="13:19" x14ac:dyDescent="0.45">
      <c r="M58" t="s">
        <v>9</v>
      </c>
      <c r="N58" t="s">
        <v>532</v>
      </c>
      <c r="O58" t="s">
        <v>366</v>
      </c>
      <c r="P58" t="s">
        <v>533</v>
      </c>
      <c r="Q58" t="s">
        <v>85</v>
      </c>
      <c r="R58" t="s">
        <v>86</v>
      </c>
      <c r="S58" t="s">
        <v>16</v>
      </c>
    </row>
    <row r="59" spans="13:19" x14ac:dyDescent="0.45">
      <c r="M59" t="s">
        <v>9</v>
      </c>
      <c r="N59" t="s">
        <v>534</v>
      </c>
      <c r="O59" t="s">
        <v>366</v>
      </c>
      <c r="P59" t="s">
        <v>535</v>
      </c>
      <c r="Q59" t="s">
        <v>85</v>
      </c>
      <c r="R59" t="s">
        <v>86</v>
      </c>
      <c r="S59" t="s">
        <v>16</v>
      </c>
    </row>
    <row r="60" spans="13:19" x14ac:dyDescent="0.45">
      <c r="M60" t="s">
        <v>9</v>
      </c>
      <c r="N60" t="s">
        <v>536</v>
      </c>
      <c r="O60" t="s">
        <v>366</v>
      </c>
      <c r="P60" t="s">
        <v>537</v>
      </c>
      <c r="Q60" t="s">
        <v>85</v>
      </c>
      <c r="R60" t="s">
        <v>86</v>
      </c>
      <c r="S60" t="s">
        <v>16</v>
      </c>
    </row>
    <row r="61" spans="13:19" x14ac:dyDescent="0.45">
      <c r="M61" t="s">
        <v>9</v>
      </c>
      <c r="N61" t="s">
        <v>538</v>
      </c>
      <c r="O61" t="s">
        <v>366</v>
      </c>
      <c r="P61" t="s">
        <v>539</v>
      </c>
      <c r="Q61" t="s">
        <v>85</v>
      </c>
      <c r="R61" t="s">
        <v>86</v>
      </c>
      <c r="S61" t="s">
        <v>16</v>
      </c>
    </row>
    <row r="62" spans="13:19" x14ac:dyDescent="0.45">
      <c r="M62" t="s">
        <v>9</v>
      </c>
      <c r="N62" t="s">
        <v>540</v>
      </c>
      <c r="O62" t="s">
        <v>366</v>
      </c>
      <c r="P62" t="s">
        <v>541</v>
      </c>
      <c r="Q62" t="s">
        <v>85</v>
      </c>
      <c r="R62" t="s">
        <v>86</v>
      </c>
      <c r="S62" t="s">
        <v>16</v>
      </c>
    </row>
    <row r="63" spans="13:19" x14ac:dyDescent="0.45">
      <c r="M63" t="s">
        <v>9</v>
      </c>
      <c r="N63" t="s">
        <v>542</v>
      </c>
      <c r="O63" t="s">
        <v>366</v>
      </c>
      <c r="P63" t="s">
        <v>543</v>
      </c>
      <c r="Q63" t="s">
        <v>85</v>
      </c>
      <c r="R63" t="s">
        <v>86</v>
      </c>
      <c r="S63" t="s">
        <v>16</v>
      </c>
    </row>
    <row r="64" spans="13:19" x14ac:dyDescent="0.45">
      <c r="M64" t="s">
        <v>9</v>
      </c>
      <c r="N64" t="s">
        <v>544</v>
      </c>
      <c r="O64" t="s">
        <v>366</v>
      </c>
      <c r="P64" t="s">
        <v>545</v>
      </c>
      <c r="Q64" t="s">
        <v>85</v>
      </c>
      <c r="R64" t="s">
        <v>86</v>
      </c>
      <c r="S64" t="s">
        <v>16</v>
      </c>
    </row>
    <row r="65" spans="13:19" x14ac:dyDescent="0.45">
      <c r="M65" t="s">
        <v>9</v>
      </c>
      <c r="N65" t="s">
        <v>546</v>
      </c>
      <c r="O65" t="s">
        <v>366</v>
      </c>
      <c r="P65" t="s">
        <v>547</v>
      </c>
      <c r="Q65" t="s">
        <v>85</v>
      </c>
      <c r="R65" t="s">
        <v>86</v>
      </c>
      <c r="S65" t="s">
        <v>16</v>
      </c>
    </row>
    <row r="66" spans="13:19" x14ac:dyDescent="0.45">
      <c r="M66" t="s">
        <v>9</v>
      </c>
      <c r="N66" t="s">
        <v>548</v>
      </c>
      <c r="O66" t="s">
        <v>366</v>
      </c>
      <c r="P66" t="s">
        <v>549</v>
      </c>
      <c r="Q66" t="s">
        <v>85</v>
      </c>
      <c r="R66" t="s">
        <v>86</v>
      </c>
      <c r="S66" t="s">
        <v>16</v>
      </c>
    </row>
    <row r="67" spans="13:19" x14ac:dyDescent="0.45">
      <c r="M67" t="s">
        <v>9</v>
      </c>
      <c r="N67" t="s">
        <v>550</v>
      </c>
      <c r="O67" t="s">
        <v>366</v>
      </c>
      <c r="P67" t="s">
        <v>551</v>
      </c>
      <c r="Q67" t="s">
        <v>85</v>
      </c>
      <c r="R67" t="s">
        <v>86</v>
      </c>
      <c r="S67" t="s">
        <v>16</v>
      </c>
    </row>
    <row r="68" spans="13:19" x14ac:dyDescent="0.45">
      <c r="M68" t="s">
        <v>9</v>
      </c>
      <c r="N68" t="s">
        <v>552</v>
      </c>
      <c r="O68" t="s">
        <v>366</v>
      </c>
      <c r="P68" t="s">
        <v>553</v>
      </c>
      <c r="Q68" t="s">
        <v>85</v>
      </c>
      <c r="R68" t="s">
        <v>86</v>
      </c>
      <c r="S68" t="s">
        <v>16</v>
      </c>
    </row>
    <row r="69" spans="13:19" x14ac:dyDescent="0.45">
      <c r="M69" t="s">
        <v>9</v>
      </c>
      <c r="N69" t="s">
        <v>554</v>
      </c>
      <c r="O69" t="s">
        <v>366</v>
      </c>
      <c r="P69" t="s">
        <v>555</v>
      </c>
      <c r="Q69" t="s">
        <v>85</v>
      </c>
      <c r="R69" t="s">
        <v>86</v>
      </c>
      <c r="S69" t="s">
        <v>16</v>
      </c>
    </row>
    <row r="70" spans="13:19" x14ac:dyDescent="0.45">
      <c r="M70" t="s">
        <v>9</v>
      </c>
      <c r="N70" t="s">
        <v>556</v>
      </c>
      <c r="O70" t="s">
        <v>366</v>
      </c>
      <c r="P70" t="s">
        <v>557</v>
      </c>
      <c r="Q70" t="s">
        <v>85</v>
      </c>
      <c r="R70" t="s">
        <v>86</v>
      </c>
      <c r="S70" t="s">
        <v>16</v>
      </c>
    </row>
    <row r="71" spans="13:19" x14ac:dyDescent="0.45">
      <c r="M71" t="s">
        <v>9</v>
      </c>
      <c r="N71" t="s">
        <v>558</v>
      </c>
      <c r="O71" t="s">
        <v>366</v>
      </c>
      <c r="P71" t="s">
        <v>559</v>
      </c>
      <c r="Q71" t="s">
        <v>85</v>
      </c>
      <c r="R71" t="s">
        <v>86</v>
      </c>
      <c r="S71" t="s">
        <v>16</v>
      </c>
    </row>
    <row r="72" spans="13:19" x14ac:dyDescent="0.45">
      <c r="M72" t="s">
        <v>9</v>
      </c>
      <c r="N72" t="s">
        <v>560</v>
      </c>
      <c r="O72" t="s">
        <v>366</v>
      </c>
      <c r="P72" t="s">
        <v>561</v>
      </c>
      <c r="Q72" t="s">
        <v>85</v>
      </c>
      <c r="R72" t="s">
        <v>86</v>
      </c>
      <c r="S72" t="s">
        <v>16</v>
      </c>
    </row>
    <row r="73" spans="13:19" x14ac:dyDescent="0.45">
      <c r="M73" t="s">
        <v>9</v>
      </c>
      <c r="N73" t="s">
        <v>562</v>
      </c>
      <c r="O73" t="s">
        <v>366</v>
      </c>
      <c r="P73" t="s">
        <v>563</v>
      </c>
      <c r="Q73" t="s">
        <v>85</v>
      </c>
      <c r="R73" t="s">
        <v>86</v>
      </c>
      <c r="S73" t="s">
        <v>16</v>
      </c>
    </row>
    <row r="74" spans="13:19" x14ac:dyDescent="0.45">
      <c r="M74" t="s">
        <v>9</v>
      </c>
      <c r="N74" t="s">
        <v>564</v>
      </c>
      <c r="O74" t="s">
        <v>366</v>
      </c>
      <c r="P74" t="s">
        <v>565</v>
      </c>
      <c r="Q74" t="s">
        <v>85</v>
      </c>
      <c r="R74" t="s">
        <v>86</v>
      </c>
      <c r="S74" t="s">
        <v>16</v>
      </c>
    </row>
    <row r="75" spans="13:19" x14ac:dyDescent="0.45">
      <c r="M75" t="s">
        <v>9</v>
      </c>
      <c r="N75" t="s">
        <v>566</v>
      </c>
      <c r="O75" t="s">
        <v>366</v>
      </c>
      <c r="P75" t="s">
        <v>567</v>
      </c>
      <c r="Q75" t="s">
        <v>85</v>
      </c>
      <c r="R75" t="s">
        <v>86</v>
      </c>
      <c r="S75" t="s">
        <v>16</v>
      </c>
    </row>
    <row r="76" spans="13:19" x14ac:dyDescent="0.45">
      <c r="M76" t="s">
        <v>9</v>
      </c>
      <c r="N76" t="s">
        <v>568</v>
      </c>
      <c r="O76" t="s">
        <v>366</v>
      </c>
      <c r="P76" t="s">
        <v>569</v>
      </c>
      <c r="Q76" t="s">
        <v>85</v>
      </c>
      <c r="R76" t="s">
        <v>86</v>
      </c>
      <c r="S76" t="s">
        <v>16</v>
      </c>
    </row>
    <row r="77" spans="13:19" x14ac:dyDescent="0.45">
      <c r="M77" t="s">
        <v>9</v>
      </c>
      <c r="N77" t="s">
        <v>570</v>
      </c>
      <c r="O77" t="s">
        <v>366</v>
      </c>
      <c r="P77" t="s">
        <v>571</v>
      </c>
      <c r="Q77" t="s">
        <v>85</v>
      </c>
      <c r="R77" t="s">
        <v>86</v>
      </c>
      <c r="S77" t="s">
        <v>16</v>
      </c>
    </row>
    <row r="78" spans="13:19" x14ac:dyDescent="0.45">
      <c r="M78" t="s">
        <v>9</v>
      </c>
      <c r="N78" t="s">
        <v>572</v>
      </c>
      <c r="O78" t="s">
        <v>366</v>
      </c>
      <c r="P78" t="s">
        <v>573</v>
      </c>
      <c r="Q78" t="s">
        <v>85</v>
      </c>
      <c r="R78" t="s">
        <v>86</v>
      </c>
      <c r="S78" t="s">
        <v>16</v>
      </c>
    </row>
    <row r="79" spans="13:19" x14ac:dyDescent="0.45">
      <c r="M79" t="s">
        <v>9</v>
      </c>
      <c r="N79" t="s">
        <v>574</v>
      </c>
      <c r="O79" t="s">
        <v>366</v>
      </c>
      <c r="P79" t="s">
        <v>575</v>
      </c>
      <c r="Q79" t="s">
        <v>85</v>
      </c>
      <c r="R79" t="s">
        <v>86</v>
      </c>
      <c r="S79" t="s">
        <v>16</v>
      </c>
    </row>
    <row r="80" spans="13:19" x14ac:dyDescent="0.45">
      <c r="M80" t="s">
        <v>9</v>
      </c>
      <c r="N80" t="s">
        <v>576</v>
      </c>
      <c r="O80" t="s">
        <v>366</v>
      </c>
      <c r="P80" t="s">
        <v>577</v>
      </c>
      <c r="Q80" t="s">
        <v>85</v>
      </c>
      <c r="R80" t="s">
        <v>86</v>
      </c>
      <c r="S80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8AF8-CCB5-4B2F-8316-571C9A63BBB0}">
  <dimension ref="B3:I15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578</v>
      </c>
      <c r="D5" t="s">
        <v>579</v>
      </c>
      <c r="E5" t="s">
        <v>580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581</v>
      </c>
      <c r="D6" t="s">
        <v>579</v>
      </c>
      <c r="E6" t="s">
        <v>582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583</v>
      </c>
      <c r="D7" t="s">
        <v>579</v>
      </c>
      <c r="E7" t="s">
        <v>584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585</v>
      </c>
      <c r="D8" t="s">
        <v>579</v>
      </c>
      <c r="E8" t="s">
        <v>586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587</v>
      </c>
      <c r="D9" t="s">
        <v>579</v>
      </c>
      <c r="E9" t="s">
        <v>588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589</v>
      </c>
      <c r="D10" t="s">
        <v>579</v>
      </c>
      <c r="E10" t="s">
        <v>590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591</v>
      </c>
      <c r="D11" t="s">
        <v>579</v>
      </c>
      <c r="E11" t="s">
        <v>592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593</v>
      </c>
      <c r="D12" t="s">
        <v>579</v>
      </c>
      <c r="E12" t="s">
        <v>594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595</v>
      </c>
      <c r="D13" t="s">
        <v>579</v>
      </c>
      <c r="E13" t="s">
        <v>596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597</v>
      </c>
      <c r="D14" t="s">
        <v>579</v>
      </c>
      <c r="E14" t="s">
        <v>598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599</v>
      </c>
      <c r="D15" t="s">
        <v>579</v>
      </c>
      <c r="E15" t="s">
        <v>600</v>
      </c>
      <c r="F15" t="s">
        <v>13</v>
      </c>
      <c r="G15" t="s">
        <v>14</v>
      </c>
      <c r="H15" t="s">
        <v>15</v>
      </c>
      <c r="I15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3894-EB8A-458D-8B8E-E6075CBCE214}">
  <dimension ref="B3:I15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601</v>
      </c>
      <c r="D5" t="s">
        <v>579</v>
      </c>
      <c r="E5" t="s">
        <v>602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603</v>
      </c>
      <c r="D6" t="s">
        <v>579</v>
      </c>
      <c r="E6" t="s">
        <v>604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605</v>
      </c>
      <c r="D7" t="s">
        <v>579</v>
      </c>
      <c r="E7" t="s">
        <v>606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607</v>
      </c>
      <c r="D8" t="s">
        <v>579</v>
      </c>
      <c r="E8" t="s">
        <v>608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609</v>
      </c>
      <c r="D9" t="s">
        <v>579</v>
      </c>
      <c r="E9" t="s">
        <v>610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611</v>
      </c>
      <c r="D10" t="s">
        <v>579</v>
      </c>
      <c r="E10" t="s">
        <v>612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613</v>
      </c>
      <c r="D11" t="s">
        <v>579</v>
      </c>
      <c r="E11" t="s">
        <v>614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615</v>
      </c>
      <c r="D12" t="s">
        <v>579</v>
      </c>
      <c r="E12" t="s">
        <v>616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617</v>
      </c>
      <c r="D13" t="s">
        <v>579</v>
      </c>
      <c r="E13" t="s">
        <v>618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619</v>
      </c>
      <c r="D14" t="s">
        <v>579</v>
      </c>
      <c r="E14" t="s">
        <v>620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621</v>
      </c>
      <c r="D15" t="s">
        <v>579</v>
      </c>
      <c r="E15" t="s">
        <v>622</v>
      </c>
      <c r="F15" t="s">
        <v>85</v>
      </c>
      <c r="G15" t="s">
        <v>86</v>
      </c>
      <c r="H15" t="s">
        <v>15</v>
      </c>
      <c r="I15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6E8F-F9FD-425D-AB83-686F0C3199D4}">
  <dimension ref="B3:S43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623</v>
      </c>
      <c r="O5" t="s">
        <v>579</v>
      </c>
      <c r="P5" t="s">
        <v>624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625</v>
      </c>
      <c r="O6" t="s">
        <v>579</v>
      </c>
      <c r="P6" t="s">
        <v>626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627</v>
      </c>
      <c r="O7" t="s">
        <v>579</v>
      </c>
      <c r="P7" t="s">
        <v>628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629</v>
      </c>
      <c r="O8" t="s">
        <v>579</v>
      </c>
      <c r="P8" t="s">
        <v>630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631</v>
      </c>
      <c r="O9" t="s">
        <v>579</v>
      </c>
      <c r="P9" t="s">
        <v>632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633</v>
      </c>
      <c r="O10" t="s">
        <v>579</v>
      </c>
      <c r="P10" t="s">
        <v>634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635</v>
      </c>
      <c r="O11" t="s">
        <v>579</v>
      </c>
      <c r="P11" t="s">
        <v>636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637</v>
      </c>
      <c r="O12" t="s">
        <v>579</v>
      </c>
      <c r="P12" t="s">
        <v>638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639</v>
      </c>
      <c r="O13" t="s">
        <v>579</v>
      </c>
      <c r="P13" t="s">
        <v>640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641</v>
      </c>
      <c r="O14" t="s">
        <v>579</v>
      </c>
      <c r="P14" t="s">
        <v>642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643</v>
      </c>
      <c r="O15" t="s">
        <v>579</v>
      </c>
      <c r="P15" t="s">
        <v>644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645</v>
      </c>
      <c r="O16" t="s">
        <v>579</v>
      </c>
      <c r="P16" t="s">
        <v>646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647</v>
      </c>
      <c r="O17" t="s">
        <v>579</v>
      </c>
      <c r="P17" t="s">
        <v>648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649</v>
      </c>
      <c r="O18" t="s">
        <v>579</v>
      </c>
      <c r="P18" t="s">
        <v>650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651</v>
      </c>
      <c r="O19" t="s">
        <v>579</v>
      </c>
      <c r="P19" t="s">
        <v>652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653</v>
      </c>
      <c r="O20" t="s">
        <v>579</v>
      </c>
      <c r="P20" t="s">
        <v>654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  <c r="M21" t="s">
        <v>9</v>
      </c>
      <c r="N21" t="s">
        <v>655</v>
      </c>
      <c r="O21" t="s">
        <v>579</v>
      </c>
      <c r="P21" t="s">
        <v>656</v>
      </c>
      <c r="Q21" t="s">
        <v>85</v>
      </c>
      <c r="R21" t="s">
        <v>86</v>
      </c>
      <c r="S21" t="s">
        <v>16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  <c r="M22" t="s">
        <v>9</v>
      </c>
      <c r="N22" t="s">
        <v>657</v>
      </c>
      <c r="O22" t="s">
        <v>579</v>
      </c>
      <c r="P22" t="s">
        <v>658</v>
      </c>
      <c r="Q22" t="s">
        <v>85</v>
      </c>
      <c r="R22" t="s">
        <v>86</v>
      </c>
      <c r="S22" t="s">
        <v>16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  <c r="M23" t="s">
        <v>9</v>
      </c>
      <c r="N23" t="s">
        <v>659</v>
      </c>
      <c r="O23" t="s">
        <v>579</v>
      </c>
      <c r="P23" t="s">
        <v>660</v>
      </c>
      <c r="Q23" t="s">
        <v>85</v>
      </c>
      <c r="R23" t="s">
        <v>86</v>
      </c>
      <c r="S23" t="s">
        <v>16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  <c r="M24" t="s">
        <v>9</v>
      </c>
      <c r="N24" t="s">
        <v>661</v>
      </c>
      <c r="O24" t="s">
        <v>579</v>
      </c>
      <c r="P24" t="s">
        <v>662</v>
      </c>
      <c r="Q24" t="s">
        <v>85</v>
      </c>
      <c r="R24" t="s">
        <v>86</v>
      </c>
      <c r="S24" t="s">
        <v>16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</row>
    <row r="26" spans="2:19" x14ac:dyDescent="0.45">
      <c r="B26" t="s">
        <v>229</v>
      </c>
      <c r="C26" t="s">
        <v>235</v>
      </c>
      <c r="E26" t="s">
        <v>232</v>
      </c>
    </row>
    <row r="27" spans="2:19" x14ac:dyDescent="0.45">
      <c r="B27" t="s">
        <v>229</v>
      </c>
      <c r="C27" t="s">
        <v>238</v>
      </c>
      <c r="E27" t="s">
        <v>232</v>
      </c>
    </row>
    <row r="30" spans="2:19" ht="17.25" thickBot="1" x14ac:dyDescent="0.55000000000000004">
      <c r="B30" s="1" t="s">
        <v>245</v>
      </c>
      <c r="C30" s="2"/>
      <c r="D30" s="2"/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</row>
    <row r="32" spans="2:19" x14ac:dyDescent="0.45">
      <c r="B32" t="s">
        <v>253</v>
      </c>
      <c r="C32" t="s">
        <v>254</v>
      </c>
      <c r="D32" t="s">
        <v>255</v>
      </c>
    </row>
    <row r="38" spans="2:7" ht="17.25" thickBot="1" x14ac:dyDescent="0.55000000000000004">
      <c r="B38" s="1" t="s">
        <v>153</v>
      </c>
      <c r="C38" s="2"/>
      <c r="D38" s="2"/>
    </row>
    <row r="39" spans="2:7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</row>
    <row r="40" spans="2:7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</row>
    <row r="41" spans="2:7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</row>
    <row r="42" spans="2:7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</row>
    <row r="43" spans="2:7" x14ac:dyDescent="0.45">
      <c r="C43" t="s">
        <v>287</v>
      </c>
      <c r="D43" t="s">
        <v>288</v>
      </c>
      <c r="E43" t="s">
        <v>289</v>
      </c>
      <c r="F43" t="s">
        <v>290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5033-E22D-4F62-8C81-6EAE55694A0D}">
  <dimension ref="B3:I41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663</v>
      </c>
      <c r="D5" t="s">
        <v>664</v>
      </c>
      <c r="E5" t="s">
        <v>665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666</v>
      </c>
      <c r="D6" t="s">
        <v>664</v>
      </c>
      <c r="E6" t="s">
        <v>667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668</v>
      </c>
      <c r="D7" t="s">
        <v>664</v>
      </c>
      <c r="E7" t="s">
        <v>669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670</v>
      </c>
      <c r="D8" t="s">
        <v>664</v>
      </c>
      <c r="E8" t="s">
        <v>671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672</v>
      </c>
      <c r="D9" t="s">
        <v>664</v>
      </c>
      <c r="E9" t="s">
        <v>673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674</v>
      </c>
      <c r="D10" t="s">
        <v>664</v>
      </c>
      <c r="E10" t="s">
        <v>675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676</v>
      </c>
      <c r="D11" t="s">
        <v>664</v>
      </c>
      <c r="E11" t="s">
        <v>677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678</v>
      </c>
      <c r="D12" t="s">
        <v>664</v>
      </c>
      <c r="E12" t="s">
        <v>679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680</v>
      </c>
      <c r="D13" t="s">
        <v>664</v>
      </c>
      <c r="E13" t="s">
        <v>681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682</v>
      </c>
      <c r="D14" t="s">
        <v>664</v>
      </c>
      <c r="E14" t="s">
        <v>683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684</v>
      </c>
      <c r="D15" t="s">
        <v>664</v>
      </c>
      <c r="E15" t="s">
        <v>685</v>
      </c>
      <c r="F15" t="s">
        <v>13</v>
      </c>
      <c r="G15" t="s">
        <v>14</v>
      </c>
      <c r="H15" t="s">
        <v>15</v>
      </c>
      <c r="I15" t="s">
        <v>16</v>
      </c>
    </row>
    <row r="16" spans="2:9" x14ac:dyDescent="0.45">
      <c r="B16" t="s">
        <v>9</v>
      </c>
      <c r="C16" t="s">
        <v>686</v>
      </c>
      <c r="D16" t="s">
        <v>664</v>
      </c>
      <c r="E16" t="s">
        <v>687</v>
      </c>
      <c r="F16" t="s">
        <v>13</v>
      </c>
      <c r="G16" t="s">
        <v>14</v>
      </c>
      <c r="H16" t="s">
        <v>15</v>
      </c>
      <c r="I16" t="s">
        <v>16</v>
      </c>
    </row>
    <row r="17" spans="2:9" x14ac:dyDescent="0.45">
      <c r="B17" t="s">
        <v>9</v>
      </c>
      <c r="C17" t="s">
        <v>688</v>
      </c>
      <c r="D17" t="s">
        <v>664</v>
      </c>
      <c r="E17" t="s">
        <v>689</v>
      </c>
      <c r="F17" t="s">
        <v>13</v>
      </c>
      <c r="G17" t="s">
        <v>14</v>
      </c>
      <c r="H17" t="s">
        <v>15</v>
      </c>
      <c r="I17" t="s">
        <v>16</v>
      </c>
    </row>
    <row r="18" spans="2:9" x14ac:dyDescent="0.45">
      <c r="B18" t="s">
        <v>9</v>
      </c>
      <c r="C18" t="s">
        <v>690</v>
      </c>
      <c r="D18" t="s">
        <v>664</v>
      </c>
      <c r="E18" t="s">
        <v>691</v>
      </c>
      <c r="F18" t="s">
        <v>13</v>
      </c>
      <c r="G18" t="s">
        <v>14</v>
      </c>
      <c r="H18" t="s">
        <v>15</v>
      </c>
      <c r="I18" t="s">
        <v>16</v>
      </c>
    </row>
    <row r="19" spans="2:9" x14ac:dyDescent="0.45">
      <c r="B19" t="s">
        <v>9</v>
      </c>
      <c r="C19" t="s">
        <v>692</v>
      </c>
      <c r="D19" t="s">
        <v>664</v>
      </c>
      <c r="E19" t="s">
        <v>693</v>
      </c>
      <c r="F19" t="s">
        <v>13</v>
      </c>
      <c r="G19" t="s">
        <v>14</v>
      </c>
      <c r="H19" t="s">
        <v>15</v>
      </c>
      <c r="I19" t="s">
        <v>16</v>
      </c>
    </row>
    <row r="20" spans="2:9" x14ac:dyDescent="0.45">
      <c r="B20" t="s">
        <v>9</v>
      </c>
      <c r="C20" t="s">
        <v>694</v>
      </c>
      <c r="D20" t="s">
        <v>664</v>
      </c>
      <c r="E20" t="s">
        <v>695</v>
      </c>
      <c r="F20" t="s">
        <v>13</v>
      </c>
      <c r="G20" t="s">
        <v>14</v>
      </c>
      <c r="H20" t="s">
        <v>15</v>
      </c>
      <c r="I20" t="s">
        <v>16</v>
      </c>
    </row>
    <row r="21" spans="2:9" x14ac:dyDescent="0.45">
      <c r="B21" t="s">
        <v>9</v>
      </c>
      <c r="C21" t="s">
        <v>696</v>
      </c>
      <c r="D21" t="s">
        <v>664</v>
      </c>
      <c r="E21" t="s">
        <v>697</v>
      </c>
      <c r="F21" t="s">
        <v>13</v>
      </c>
      <c r="G21" t="s">
        <v>14</v>
      </c>
      <c r="H21" t="s">
        <v>15</v>
      </c>
      <c r="I21" t="s">
        <v>16</v>
      </c>
    </row>
    <row r="22" spans="2:9" x14ac:dyDescent="0.45">
      <c r="B22" t="s">
        <v>9</v>
      </c>
      <c r="C22" t="s">
        <v>698</v>
      </c>
      <c r="D22" t="s">
        <v>664</v>
      </c>
      <c r="E22" t="s">
        <v>699</v>
      </c>
      <c r="F22" t="s">
        <v>13</v>
      </c>
      <c r="G22" t="s">
        <v>14</v>
      </c>
      <c r="H22" t="s">
        <v>15</v>
      </c>
      <c r="I22" t="s">
        <v>16</v>
      </c>
    </row>
    <row r="23" spans="2:9" x14ac:dyDescent="0.45">
      <c r="B23" t="s">
        <v>9</v>
      </c>
      <c r="C23" t="s">
        <v>700</v>
      </c>
      <c r="D23" t="s">
        <v>664</v>
      </c>
      <c r="E23" t="s">
        <v>701</v>
      </c>
      <c r="F23" t="s">
        <v>13</v>
      </c>
      <c r="G23" t="s">
        <v>14</v>
      </c>
      <c r="H23" t="s">
        <v>15</v>
      </c>
      <c r="I23" t="s">
        <v>16</v>
      </c>
    </row>
    <row r="24" spans="2:9" x14ac:dyDescent="0.45">
      <c r="B24" t="s">
        <v>9</v>
      </c>
      <c r="C24" t="s">
        <v>702</v>
      </c>
      <c r="D24" t="s">
        <v>664</v>
      </c>
      <c r="E24" t="s">
        <v>703</v>
      </c>
      <c r="F24" t="s">
        <v>13</v>
      </c>
      <c r="G24" t="s">
        <v>14</v>
      </c>
      <c r="H24" t="s">
        <v>15</v>
      </c>
      <c r="I24" t="s">
        <v>16</v>
      </c>
    </row>
    <row r="25" spans="2:9" x14ac:dyDescent="0.45">
      <c r="B25" t="s">
        <v>9</v>
      </c>
      <c r="C25" t="s">
        <v>704</v>
      </c>
      <c r="D25" t="s">
        <v>664</v>
      </c>
      <c r="E25" t="s">
        <v>705</v>
      </c>
      <c r="F25" t="s">
        <v>13</v>
      </c>
      <c r="G25" t="s">
        <v>14</v>
      </c>
      <c r="H25" t="s">
        <v>15</v>
      </c>
      <c r="I25" t="s">
        <v>16</v>
      </c>
    </row>
    <row r="26" spans="2:9" x14ac:dyDescent="0.45">
      <c r="B26" t="s">
        <v>9</v>
      </c>
      <c r="C26" t="s">
        <v>706</v>
      </c>
      <c r="D26" t="s">
        <v>664</v>
      </c>
      <c r="E26" t="s">
        <v>707</v>
      </c>
      <c r="F26" t="s">
        <v>13</v>
      </c>
      <c r="G26" t="s">
        <v>14</v>
      </c>
      <c r="H26" t="s">
        <v>15</v>
      </c>
      <c r="I26" t="s">
        <v>16</v>
      </c>
    </row>
    <row r="27" spans="2:9" x14ac:dyDescent="0.45">
      <c r="B27" t="s">
        <v>9</v>
      </c>
      <c r="C27" t="s">
        <v>708</v>
      </c>
      <c r="D27" t="s">
        <v>664</v>
      </c>
      <c r="E27" t="s">
        <v>709</v>
      </c>
      <c r="F27" t="s">
        <v>13</v>
      </c>
      <c r="G27" t="s">
        <v>14</v>
      </c>
      <c r="H27" t="s">
        <v>15</v>
      </c>
      <c r="I27" t="s">
        <v>16</v>
      </c>
    </row>
    <row r="28" spans="2:9" x14ac:dyDescent="0.45">
      <c r="B28" t="s">
        <v>9</v>
      </c>
      <c r="C28" t="s">
        <v>710</v>
      </c>
      <c r="D28" t="s">
        <v>664</v>
      </c>
      <c r="E28" t="s">
        <v>711</v>
      </c>
      <c r="F28" t="s">
        <v>13</v>
      </c>
      <c r="G28" t="s">
        <v>14</v>
      </c>
      <c r="H28" t="s">
        <v>15</v>
      </c>
      <c r="I28" t="s">
        <v>16</v>
      </c>
    </row>
    <row r="29" spans="2:9" x14ac:dyDescent="0.45">
      <c r="B29" t="s">
        <v>9</v>
      </c>
      <c r="C29" t="s">
        <v>712</v>
      </c>
      <c r="D29" t="s">
        <v>664</v>
      </c>
      <c r="E29" t="s">
        <v>713</v>
      </c>
      <c r="F29" t="s">
        <v>13</v>
      </c>
      <c r="G29" t="s">
        <v>14</v>
      </c>
      <c r="H29" t="s">
        <v>15</v>
      </c>
      <c r="I29" t="s">
        <v>16</v>
      </c>
    </row>
    <row r="30" spans="2:9" x14ac:dyDescent="0.45">
      <c r="B30" t="s">
        <v>9</v>
      </c>
      <c r="C30" t="s">
        <v>714</v>
      </c>
      <c r="D30" t="s">
        <v>664</v>
      </c>
      <c r="E30" t="s">
        <v>715</v>
      </c>
      <c r="F30" t="s">
        <v>13</v>
      </c>
      <c r="G30" t="s">
        <v>14</v>
      </c>
      <c r="H30" t="s">
        <v>15</v>
      </c>
      <c r="I30" t="s">
        <v>16</v>
      </c>
    </row>
    <row r="31" spans="2:9" x14ac:dyDescent="0.45">
      <c r="B31" t="s">
        <v>9</v>
      </c>
      <c r="C31" t="s">
        <v>716</v>
      </c>
      <c r="D31" t="s">
        <v>664</v>
      </c>
      <c r="E31" t="s">
        <v>717</v>
      </c>
      <c r="F31" t="s">
        <v>13</v>
      </c>
      <c r="G31" t="s">
        <v>14</v>
      </c>
      <c r="H31" t="s">
        <v>15</v>
      </c>
      <c r="I31" t="s">
        <v>16</v>
      </c>
    </row>
    <row r="32" spans="2:9" x14ac:dyDescent="0.45">
      <c r="B32" t="s">
        <v>9</v>
      </c>
      <c r="C32" t="s">
        <v>718</v>
      </c>
      <c r="D32" t="s">
        <v>664</v>
      </c>
      <c r="E32" t="s">
        <v>719</v>
      </c>
      <c r="F32" t="s">
        <v>13</v>
      </c>
      <c r="G32" t="s">
        <v>14</v>
      </c>
      <c r="H32" t="s">
        <v>15</v>
      </c>
      <c r="I32" t="s">
        <v>16</v>
      </c>
    </row>
    <row r="33" spans="2:9" x14ac:dyDescent="0.45">
      <c r="B33" t="s">
        <v>9</v>
      </c>
      <c r="C33" t="s">
        <v>720</v>
      </c>
      <c r="D33" t="s">
        <v>664</v>
      </c>
      <c r="E33" t="s">
        <v>721</v>
      </c>
      <c r="F33" t="s">
        <v>13</v>
      </c>
      <c r="G33" t="s">
        <v>14</v>
      </c>
      <c r="H33" t="s">
        <v>15</v>
      </c>
      <c r="I33" t="s">
        <v>16</v>
      </c>
    </row>
    <row r="34" spans="2:9" x14ac:dyDescent="0.45">
      <c r="B34" t="s">
        <v>9</v>
      </c>
      <c r="C34" t="s">
        <v>722</v>
      </c>
      <c r="D34" t="s">
        <v>664</v>
      </c>
      <c r="E34" t="s">
        <v>723</v>
      </c>
      <c r="F34" t="s">
        <v>13</v>
      </c>
      <c r="G34" t="s">
        <v>14</v>
      </c>
      <c r="H34" t="s">
        <v>15</v>
      </c>
      <c r="I34" t="s">
        <v>16</v>
      </c>
    </row>
    <row r="35" spans="2:9" x14ac:dyDescent="0.45">
      <c r="B35" t="s">
        <v>9</v>
      </c>
      <c r="C35" t="s">
        <v>724</v>
      </c>
      <c r="D35" t="s">
        <v>664</v>
      </c>
      <c r="E35" t="s">
        <v>725</v>
      </c>
      <c r="F35" t="s">
        <v>13</v>
      </c>
      <c r="G35" t="s">
        <v>14</v>
      </c>
      <c r="H35" t="s">
        <v>15</v>
      </c>
      <c r="I35" t="s">
        <v>16</v>
      </c>
    </row>
    <row r="36" spans="2:9" x14ac:dyDescent="0.45">
      <c r="B36" t="s">
        <v>9</v>
      </c>
      <c r="C36" t="s">
        <v>726</v>
      </c>
      <c r="D36" t="s">
        <v>664</v>
      </c>
      <c r="E36" t="s">
        <v>727</v>
      </c>
      <c r="F36" t="s">
        <v>13</v>
      </c>
      <c r="G36" t="s">
        <v>14</v>
      </c>
      <c r="H36" t="s">
        <v>15</v>
      </c>
      <c r="I36" t="s">
        <v>16</v>
      </c>
    </row>
    <row r="37" spans="2:9" x14ac:dyDescent="0.45">
      <c r="B37" t="s">
        <v>9</v>
      </c>
      <c r="C37" t="s">
        <v>728</v>
      </c>
      <c r="D37" t="s">
        <v>664</v>
      </c>
      <c r="E37" t="s">
        <v>729</v>
      </c>
      <c r="F37" t="s">
        <v>13</v>
      </c>
      <c r="G37" t="s">
        <v>14</v>
      </c>
      <c r="H37" t="s">
        <v>15</v>
      </c>
      <c r="I37" t="s">
        <v>16</v>
      </c>
    </row>
    <row r="38" spans="2:9" x14ac:dyDescent="0.45">
      <c r="B38" t="s">
        <v>9</v>
      </c>
      <c r="C38" t="s">
        <v>730</v>
      </c>
      <c r="D38" t="s">
        <v>664</v>
      </c>
      <c r="E38" t="s">
        <v>731</v>
      </c>
      <c r="F38" t="s">
        <v>13</v>
      </c>
      <c r="G38" t="s">
        <v>14</v>
      </c>
      <c r="H38" t="s">
        <v>15</v>
      </c>
      <c r="I38" t="s">
        <v>16</v>
      </c>
    </row>
    <row r="39" spans="2:9" x14ac:dyDescent="0.45">
      <c r="B39" t="s">
        <v>9</v>
      </c>
      <c r="C39" t="s">
        <v>732</v>
      </c>
      <c r="D39" t="s">
        <v>664</v>
      </c>
      <c r="E39" t="s">
        <v>733</v>
      </c>
      <c r="F39" t="s">
        <v>13</v>
      </c>
      <c r="G39" t="s">
        <v>14</v>
      </c>
      <c r="H39" t="s">
        <v>15</v>
      </c>
      <c r="I39" t="s">
        <v>16</v>
      </c>
    </row>
    <row r="40" spans="2:9" x14ac:dyDescent="0.45">
      <c r="B40" t="s">
        <v>9</v>
      </c>
      <c r="C40" t="s">
        <v>734</v>
      </c>
      <c r="D40" t="s">
        <v>664</v>
      </c>
      <c r="E40" t="s">
        <v>735</v>
      </c>
      <c r="F40" t="s">
        <v>13</v>
      </c>
      <c r="G40" t="s">
        <v>14</v>
      </c>
      <c r="H40" t="s">
        <v>15</v>
      </c>
      <c r="I40" t="s">
        <v>16</v>
      </c>
    </row>
    <row r="41" spans="2:9" x14ac:dyDescent="0.45">
      <c r="B41" t="s">
        <v>9</v>
      </c>
      <c r="C41" t="s">
        <v>736</v>
      </c>
      <c r="D41" t="s">
        <v>664</v>
      </c>
      <c r="E41" t="s">
        <v>737</v>
      </c>
      <c r="F41" t="s">
        <v>13</v>
      </c>
      <c r="G41" t="s">
        <v>14</v>
      </c>
      <c r="H41" t="s">
        <v>15</v>
      </c>
      <c r="I41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232C-A024-4A71-AB0B-6FAB80A7426D}">
  <dimension ref="B3:I41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738</v>
      </c>
      <c r="D5" t="s">
        <v>664</v>
      </c>
      <c r="E5" t="s">
        <v>739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740</v>
      </c>
      <c r="D6" t="s">
        <v>664</v>
      </c>
      <c r="E6" t="s">
        <v>741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742</v>
      </c>
      <c r="D7" t="s">
        <v>664</v>
      </c>
      <c r="E7" t="s">
        <v>743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744</v>
      </c>
      <c r="D8" t="s">
        <v>664</v>
      </c>
      <c r="E8" t="s">
        <v>745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746</v>
      </c>
      <c r="D9" t="s">
        <v>664</v>
      </c>
      <c r="E9" t="s">
        <v>747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748</v>
      </c>
      <c r="D10" t="s">
        <v>664</v>
      </c>
      <c r="E10" t="s">
        <v>749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750</v>
      </c>
      <c r="D11" t="s">
        <v>664</v>
      </c>
      <c r="E11" t="s">
        <v>751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752</v>
      </c>
      <c r="D12" t="s">
        <v>664</v>
      </c>
      <c r="E12" t="s">
        <v>753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754</v>
      </c>
      <c r="D13" t="s">
        <v>664</v>
      </c>
      <c r="E13" t="s">
        <v>755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756</v>
      </c>
      <c r="D14" t="s">
        <v>664</v>
      </c>
      <c r="E14" t="s">
        <v>757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758</v>
      </c>
      <c r="D15" t="s">
        <v>664</v>
      </c>
      <c r="E15" t="s">
        <v>759</v>
      </c>
      <c r="F15" t="s">
        <v>85</v>
      </c>
      <c r="G15" t="s">
        <v>86</v>
      </c>
      <c r="H15" t="s">
        <v>15</v>
      </c>
      <c r="I15" t="s">
        <v>16</v>
      </c>
    </row>
    <row r="16" spans="2:9" x14ac:dyDescent="0.45">
      <c r="B16" t="s">
        <v>9</v>
      </c>
      <c r="C16" t="s">
        <v>760</v>
      </c>
      <c r="D16" t="s">
        <v>664</v>
      </c>
      <c r="E16" t="s">
        <v>761</v>
      </c>
      <c r="F16" t="s">
        <v>85</v>
      </c>
      <c r="G16" t="s">
        <v>86</v>
      </c>
      <c r="H16" t="s">
        <v>15</v>
      </c>
      <c r="I16" t="s">
        <v>16</v>
      </c>
    </row>
    <row r="17" spans="2:9" x14ac:dyDescent="0.45">
      <c r="B17" t="s">
        <v>9</v>
      </c>
      <c r="C17" t="s">
        <v>762</v>
      </c>
      <c r="D17" t="s">
        <v>664</v>
      </c>
      <c r="E17" t="s">
        <v>763</v>
      </c>
      <c r="F17" t="s">
        <v>85</v>
      </c>
      <c r="G17" t="s">
        <v>86</v>
      </c>
      <c r="H17" t="s">
        <v>15</v>
      </c>
      <c r="I17" t="s">
        <v>16</v>
      </c>
    </row>
    <row r="18" spans="2:9" x14ac:dyDescent="0.45">
      <c r="B18" t="s">
        <v>9</v>
      </c>
      <c r="C18" t="s">
        <v>764</v>
      </c>
      <c r="D18" t="s">
        <v>664</v>
      </c>
      <c r="E18" t="s">
        <v>765</v>
      </c>
      <c r="F18" t="s">
        <v>85</v>
      </c>
      <c r="G18" t="s">
        <v>86</v>
      </c>
      <c r="H18" t="s">
        <v>15</v>
      </c>
      <c r="I18" t="s">
        <v>16</v>
      </c>
    </row>
    <row r="19" spans="2:9" x14ac:dyDescent="0.45">
      <c r="B19" t="s">
        <v>9</v>
      </c>
      <c r="C19" t="s">
        <v>766</v>
      </c>
      <c r="D19" t="s">
        <v>664</v>
      </c>
      <c r="E19" t="s">
        <v>767</v>
      </c>
      <c r="F19" t="s">
        <v>85</v>
      </c>
      <c r="G19" t="s">
        <v>86</v>
      </c>
      <c r="H19" t="s">
        <v>15</v>
      </c>
      <c r="I19" t="s">
        <v>16</v>
      </c>
    </row>
    <row r="20" spans="2:9" x14ac:dyDescent="0.45">
      <c r="B20" t="s">
        <v>9</v>
      </c>
      <c r="C20" t="s">
        <v>768</v>
      </c>
      <c r="D20" t="s">
        <v>664</v>
      </c>
      <c r="E20" t="s">
        <v>769</v>
      </c>
      <c r="F20" t="s">
        <v>85</v>
      </c>
      <c r="G20" t="s">
        <v>86</v>
      </c>
      <c r="H20" t="s">
        <v>15</v>
      </c>
      <c r="I20" t="s">
        <v>16</v>
      </c>
    </row>
    <row r="21" spans="2:9" x14ac:dyDescent="0.45">
      <c r="B21" t="s">
        <v>9</v>
      </c>
      <c r="C21" t="s">
        <v>770</v>
      </c>
      <c r="D21" t="s">
        <v>664</v>
      </c>
      <c r="E21" t="s">
        <v>771</v>
      </c>
      <c r="F21" t="s">
        <v>85</v>
      </c>
      <c r="G21" t="s">
        <v>86</v>
      </c>
      <c r="H21" t="s">
        <v>15</v>
      </c>
      <c r="I21" t="s">
        <v>16</v>
      </c>
    </row>
    <row r="22" spans="2:9" x14ac:dyDescent="0.45">
      <c r="B22" t="s">
        <v>9</v>
      </c>
      <c r="C22" t="s">
        <v>772</v>
      </c>
      <c r="D22" t="s">
        <v>664</v>
      </c>
      <c r="E22" t="s">
        <v>773</v>
      </c>
      <c r="F22" t="s">
        <v>85</v>
      </c>
      <c r="G22" t="s">
        <v>86</v>
      </c>
      <c r="H22" t="s">
        <v>15</v>
      </c>
      <c r="I22" t="s">
        <v>16</v>
      </c>
    </row>
    <row r="23" spans="2:9" x14ac:dyDescent="0.45">
      <c r="B23" t="s">
        <v>9</v>
      </c>
      <c r="C23" t="s">
        <v>774</v>
      </c>
      <c r="D23" t="s">
        <v>664</v>
      </c>
      <c r="E23" t="s">
        <v>775</v>
      </c>
      <c r="F23" t="s">
        <v>85</v>
      </c>
      <c r="G23" t="s">
        <v>86</v>
      </c>
      <c r="H23" t="s">
        <v>15</v>
      </c>
      <c r="I23" t="s">
        <v>16</v>
      </c>
    </row>
    <row r="24" spans="2:9" x14ac:dyDescent="0.45">
      <c r="B24" t="s">
        <v>9</v>
      </c>
      <c r="C24" t="s">
        <v>776</v>
      </c>
      <c r="D24" t="s">
        <v>664</v>
      </c>
      <c r="E24" t="s">
        <v>777</v>
      </c>
      <c r="F24" t="s">
        <v>85</v>
      </c>
      <c r="G24" t="s">
        <v>86</v>
      </c>
      <c r="H24" t="s">
        <v>15</v>
      </c>
      <c r="I24" t="s">
        <v>16</v>
      </c>
    </row>
    <row r="25" spans="2:9" x14ac:dyDescent="0.45">
      <c r="B25" t="s">
        <v>9</v>
      </c>
      <c r="C25" t="s">
        <v>778</v>
      </c>
      <c r="D25" t="s">
        <v>664</v>
      </c>
      <c r="E25" t="s">
        <v>779</v>
      </c>
      <c r="F25" t="s">
        <v>85</v>
      </c>
      <c r="G25" t="s">
        <v>86</v>
      </c>
      <c r="H25" t="s">
        <v>15</v>
      </c>
      <c r="I25" t="s">
        <v>16</v>
      </c>
    </row>
    <row r="26" spans="2:9" x14ac:dyDescent="0.45">
      <c r="B26" t="s">
        <v>9</v>
      </c>
      <c r="C26" t="s">
        <v>780</v>
      </c>
      <c r="D26" t="s">
        <v>664</v>
      </c>
      <c r="E26" t="s">
        <v>781</v>
      </c>
      <c r="F26" t="s">
        <v>85</v>
      </c>
      <c r="G26" t="s">
        <v>86</v>
      </c>
      <c r="H26" t="s">
        <v>15</v>
      </c>
      <c r="I26" t="s">
        <v>16</v>
      </c>
    </row>
    <row r="27" spans="2:9" x14ac:dyDescent="0.45">
      <c r="B27" t="s">
        <v>9</v>
      </c>
      <c r="C27" t="s">
        <v>782</v>
      </c>
      <c r="D27" t="s">
        <v>664</v>
      </c>
      <c r="E27" t="s">
        <v>783</v>
      </c>
      <c r="F27" t="s">
        <v>85</v>
      </c>
      <c r="G27" t="s">
        <v>86</v>
      </c>
      <c r="H27" t="s">
        <v>15</v>
      </c>
      <c r="I27" t="s">
        <v>16</v>
      </c>
    </row>
    <row r="28" spans="2:9" x14ac:dyDescent="0.45">
      <c r="B28" t="s">
        <v>9</v>
      </c>
      <c r="C28" t="s">
        <v>784</v>
      </c>
      <c r="D28" t="s">
        <v>664</v>
      </c>
      <c r="E28" t="s">
        <v>785</v>
      </c>
      <c r="F28" t="s">
        <v>85</v>
      </c>
      <c r="G28" t="s">
        <v>86</v>
      </c>
      <c r="H28" t="s">
        <v>15</v>
      </c>
      <c r="I28" t="s">
        <v>16</v>
      </c>
    </row>
    <row r="29" spans="2:9" x14ac:dyDescent="0.45">
      <c r="B29" t="s">
        <v>9</v>
      </c>
      <c r="C29" t="s">
        <v>786</v>
      </c>
      <c r="D29" t="s">
        <v>664</v>
      </c>
      <c r="E29" t="s">
        <v>787</v>
      </c>
      <c r="F29" t="s">
        <v>85</v>
      </c>
      <c r="G29" t="s">
        <v>86</v>
      </c>
      <c r="H29" t="s">
        <v>15</v>
      </c>
      <c r="I29" t="s">
        <v>16</v>
      </c>
    </row>
    <row r="30" spans="2:9" x14ac:dyDescent="0.45">
      <c r="B30" t="s">
        <v>9</v>
      </c>
      <c r="C30" t="s">
        <v>788</v>
      </c>
      <c r="D30" t="s">
        <v>664</v>
      </c>
      <c r="E30" t="s">
        <v>789</v>
      </c>
      <c r="F30" t="s">
        <v>85</v>
      </c>
      <c r="G30" t="s">
        <v>86</v>
      </c>
      <c r="H30" t="s">
        <v>15</v>
      </c>
      <c r="I30" t="s">
        <v>16</v>
      </c>
    </row>
    <row r="31" spans="2:9" x14ac:dyDescent="0.45">
      <c r="B31" t="s">
        <v>9</v>
      </c>
      <c r="C31" t="s">
        <v>790</v>
      </c>
      <c r="D31" t="s">
        <v>664</v>
      </c>
      <c r="E31" t="s">
        <v>791</v>
      </c>
      <c r="F31" t="s">
        <v>85</v>
      </c>
      <c r="G31" t="s">
        <v>86</v>
      </c>
      <c r="H31" t="s">
        <v>15</v>
      </c>
      <c r="I31" t="s">
        <v>16</v>
      </c>
    </row>
    <row r="32" spans="2:9" x14ac:dyDescent="0.45">
      <c r="B32" t="s">
        <v>9</v>
      </c>
      <c r="C32" t="s">
        <v>792</v>
      </c>
      <c r="D32" t="s">
        <v>664</v>
      </c>
      <c r="E32" t="s">
        <v>793</v>
      </c>
      <c r="F32" t="s">
        <v>85</v>
      </c>
      <c r="G32" t="s">
        <v>86</v>
      </c>
      <c r="H32" t="s">
        <v>15</v>
      </c>
      <c r="I32" t="s">
        <v>16</v>
      </c>
    </row>
    <row r="33" spans="2:9" x14ac:dyDescent="0.45">
      <c r="B33" t="s">
        <v>9</v>
      </c>
      <c r="C33" t="s">
        <v>794</v>
      </c>
      <c r="D33" t="s">
        <v>664</v>
      </c>
      <c r="E33" t="s">
        <v>795</v>
      </c>
      <c r="F33" t="s">
        <v>85</v>
      </c>
      <c r="G33" t="s">
        <v>86</v>
      </c>
      <c r="H33" t="s">
        <v>15</v>
      </c>
      <c r="I33" t="s">
        <v>16</v>
      </c>
    </row>
    <row r="34" spans="2:9" x14ac:dyDescent="0.45">
      <c r="B34" t="s">
        <v>9</v>
      </c>
      <c r="C34" t="s">
        <v>796</v>
      </c>
      <c r="D34" t="s">
        <v>664</v>
      </c>
      <c r="E34" t="s">
        <v>797</v>
      </c>
      <c r="F34" t="s">
        <v>85</v>
      </c>
      <c r="G34" t="s">
        <v>86</v>
      </c>
      <c r="H34" t="s">
        <v>15</v>
      </c>
      <c r="I34" t="s">
        <v>16</v>
      </c>
    </row>
    <row r="35" spans="2:9" x14ac:dyDescent="0.45">
      <c r="B35" t="s">
        <v>9</v>
      </c>
      <c r="C35" t="s">
        <v>798</v>
      </c>
      <c r="D35" t="s">
        <v>664</v>
      </c>
      <c r="E35" t="s">
        <v>799</v>
      </c>
      <c r="F35" t="s">
        <v>85</v>
      </c>
      <c r="G35" t="s">
        <v>86</v>
      </c>
      <c r="H35" t="s">
        <v>15</v>
      </c>
      <c r="I35" t="s">
        <v>16</v>
      </c>
    </row>
    <row r="36" spans="2:9" x14ac:dyDescent="0.45">
      <c r="B36" t="s">
        <v>9</v>
      </c>
      <c r="C36" t="s">
        <v>800</v>
      </c>
      <c r="D36" t="s">
        <v>664</v>
      </c>
      <c r="E36" t="s">
        <v>801</v>
      </c>
      <c r="F36" t="s">
        <v>85</v>
      </c>
      <c r="G36" t="s">
        <v>86</v>
      </c>
      <c r="H36" t="s">
        <v>15</v>
      </c>
      <c r="I36" t="s">
        <v>16</v>
      </c>
    </row>
    <row r="37" spans="2:9" x14ac:dyDescent="0.45">
      <c r="B37" t="s">
        <v>9</v>
      </c>
      <c r="C37" t="s">
        <v>802</v>
      </c>
      <c r="D37" t="s">
        <v>664</v>
      </c>
      <c r="E37" t="s">
        <v>803</v>
      </c>
      <c r="F37" t="s">
        <v>85</v>
      </c>
      <c r="G37" t="s">
        <v>86</v>
      </c>
      <c r="H37" t="s">
        <v>15</v>
      </c>
      <c r="I37" t="s">
        <v>16</v>
      </c>
    </row>
    <row r="38" spans="2:9" x14ac:dyDescent="0.45">
      <c r="B38" t="s">
        <v>9</v>
      </c>
      <c r="C38" t="s">
        <v>804</v>
      </c>
      <c r="D38" t="s">
        <v>664</v>
      </c>
      <c r="E38" t="s">
        <v>805</v>
      </c>
      <c r="F38" t="s">
        <v>85</v>
      </c>
      <c r="G38" t="s">
        <v>86</v>
      </c>
      <c r="H38" t="s">
        <v>15</v>
      </c>
      <c r="I38" t="s">
        <v>16</v>
      </c>
    </row>
    <row r="39" spans="2:9" x14ac:dyDescent="0.45">
      <c r="B39" t="s">
        <v>9</v>
      </c>
      <c r="C39" t="s">
        <v>806</v>
      </c>
      <c r="D39" t="s">
        <v>664</v>
      </c>
      <c r="E39" t="s">
        <v>807</v>
      </c>
      <c r="F39" t="s">
        <v>85</v>
      </c>
      <c r="G39" t="s">
        <v>86</v>
      </c>
      <c r="H39" t="s">
        <v>15</v>
      </c>
      <c r="I39" t="s">
        <v>16</v>
      </c>
    </row>
    <row r="40" spans="2:9" x14ac:dyDescent="0.45">
      <c r="B40" t="s">
        <v>9</v>
      </c>
      <c r="C40" t="s">
        <v>808</v>
      </c>
      <c r="D40" t="s">
        <v>664</v>
      </c>
      <c r="E40" t="s">
        <v>809</v>
      </c>
      <c r="F40" t="s">
        <v>85</v>
      </c>
      <c r="G40" t="s">
        <v>86</v>
      </c>
      <c r="H40" t="s">
        <v>15</v>
      </c>
      <c r="I40" t="s">
        <v>16</v>
      </c>
    </row>
    <row r="41" spans="2:9" x14ac:dyDescent="0.45">
      <c r="B41" t="s">
        <v>9</v>
      </c>
      <c r="C41" t="s">
        <v>810</v>
      </c>
      <c r="D41" t="s">
        <v>664</v>
      </c>
      <c r="E41" t="s">
        <v>811</v>
      </c>
      <c r="F41" t="s">
        <v>85</v>
      </c>
      <c r="G41" t="s">
        <v>86</v>
      </c>
      <c r="H41" t="s">
        <v>15</v>
      </c>
      <c r="I4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F6AA-0C1E-424A-9D13-07F665E7AC45}">
  <dimension ref="B3:S59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812</v>
      </c>
      <c r="O5" t="s">
        <v>664</v>
      </c>
      <c r="P5" t="s">
        <v>813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814</v>
      </c>
      <c r="O6" t="s">
        <v>664</v>
      </c>
      <c r="P6" t="s">
        <v>815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816</v>
      </c>
      <c r="O7" t="s">
        <v>664</v>
      </c>
      <c r="P7" t="s">
        <v>817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818</v>
      </c>
      <c r="O8" t="s">
        <v>664</v>
      </c>
      <c r="P8" t="s">
        <v>819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820</v>
      </c>
      <c r="O9" t="s">
        <v>664</v>
      </c>
      <c r="P9" t="s">
        <v>821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822</v>
      </c>
      <c r="O10" t="s">
        <v>664</v>
      </c>
      <c r="P10" t="s">
        <v>823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824</v>
      </c>
      <c r="O11" t="s">
        <v>664</v>
      </c>
      <c r="P11" t="s">
        <v>825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826</v>
      </c>
      <c r="O12" t="s">
        <v>664</v>
      </c>
      <c r="P12" t="s">
        <v>827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828</v>
      </c>
      <c r="O13" t="s">
        <v>664</v>
      </c>
      <c r="P13" t="s">
        <v>829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830</v>
      </c>
      <c r="O14" t="s">
        <v>664</v>
      </c>
      <c r="P14" t="s">
        <v>831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832</v>
      </c>
      <c r="O15" t="s">
        <v>664</v>
      </c>
      <c r="P15" t="s">
        <v>833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834</v>
      </c>
      <c r="O16" t="s">
        <v>664</v>
      </c>
      <c r="P16" t="s">
        <v>835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836</v>
      </c>
      <c r="O17" t="s">
        <v>664</v>
      </c>
      <c r="P17" t="s">
        <v>837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838</v>
      </c>
      <c r="O18" t="s">
        <v>664</v>
      </c>
      <c r="P18" t="s">
        <v>839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840</v>
      </c>
      <c r="O19" t="s">
        <v>664</v>
      </c>
      <c r="P19" t="s">
        <v>841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842</v>
      </c>
      <c r="O20" t="s">
        <v>664</v>
      </c>
      <c r="P20" t="s">
        <v>843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  <c r="M21" t="s">
        <v>9</v>
      </c>
      <c r="N21" t="s">
        <v>844</v>
      </c>
      <c r="O21" t="s">
        <v>664</v>
      </c>
      <c r="P21" t="s">
        <v>845</v>
      </c>
      <c r="Q21" t="s">
        <v>85</v>
      </c>
      <c r="R21" t="s">
        <v>86</v>
      </c>
      <c r="S21" t="s">
        <v>16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  <c r="M22" t="s">
        <v>9</v>
      </c>
      <c r="N22" t="s">
        <v>846</v>
      </c>
      <c r="O22" t="s">
        <v>664</v>
      </c>
      <c r="P22" t="s">
        <v>847</v>
      </c>
      <c r="Q22" t="s">
        <v>85</v>
      </c>
      <c r="R22" t="s">
        <v>86</v>
      </c>
      <c r="S22" t="s">
        <v>16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  <c r="M23" t="s">
        <v>9</v>
      </c>
      <c r="N23" t="s">
        <v>848</v>
      </c>
      <c r="O23" t="s">
        <v>664</v>
      </c>
      <c r="P23" t="s">
        <v>849</v>
      </c>
      <c r="Q23" t="s">
        <v>85</v>
      </c>
      <c r="R23" t="s">
        <v>86</v>
      </c>
      <c r="S23" t="s">
        <v>16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  <c r="M24" t="s">
        <v>9</v>
      </c>
      <c r="N24" t="s">
        <v>850</v>
      </c>
      <c r="O24" t="s">
        <v>664</v>
      </c>
      <c r="P24" t="s">
        <v>851</v>
      </c>
      <c r="Q24" t="s">
        <v>85</v>
      </c>
      <c r="R24" t="s">
        <v>86</v>
      </c>
      <c r="S24" t="s">
        <v>16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  <c r="M25" t="s">
        <v>9</v>
      </c>
      <c r="N25" t="s">
        <v>852</v>
      </c>
      <c r="O25" t="s">
        <v>664</v>
      </c>
      <c r="P25" t="s">
        <v>853</v>
      </c>
      <c r="Q25" t="s">
        <v>85</v>
      </c>
      <c r="R25" t="s">
        <v>86</v>
      </c>
      <c r="S25" t="s">
        <v>16</v>
      </c>
    </row>
    <row r="26" spans="2:19" x14ac:dyDescent="0.45">
      <c r="B26" t="s">
        <v>229</v>
      </c>
      <c r="C26" t="s">
        <v>235</v>
      </c>
      <c r="E26" t="s">
        <v>232</v>
      </c>
      <c r="M26" t="s">
        <v>9</v>
      </c>
      <c r="N26" t="s">
        <v>854</v>
      </c>
      <c r="O26" t="s">
        <v>664</v>
      </c>
      <c r="P26" t="s">
        <v>855</v>
      </c>
      <c r="Q26" t="s">
        <v>85</v>
      </c>
      <c r="R26" t="s">
        <v>86</v>
      </c>
      <c r="S26" t="s">
        <v>16</v>
      </c>
    </row>
    <row r="27" spans="2:19" x14ac:dyDescent="0.45">
      <c r="B27" t="s">
        <v>229</v>
      </c>
      <c r="C27" t="s">
        <v>238</v>
      </c>
      <c r="E27" t="s">
        <v>232</v>
      </c>
      <c r="M27" t="s">
        <v>9</v>
      </c>
      <c r="N27" t="s">
        <v>856</v>
      </c>
      <c r="O27" t="s">
        <v>664</v>
      </c>
      <c r="P27" t="s">
        <v>857</v>
      </c>
      <c r="Q27" t="s">
        <v>85</v>
      </c>
      <c r="R27" t="s">
        <v>86</v>
      </c>
      <c r="S27" t="s">
        <v>16</v>
      </c>
    </row>
    <row r="28" spans="2:19" x14ac:dyDescent="0.45">
      <c r="M28" t="s">
        <v>9</v>
      </c>
      <c r="N28" t="s">
        <v>858</v>
      </c>
      <c r="O28" t="s">
        <v>664</v>
      </c>
      <c r="P28" t="s">
        <v>859</v>
      </c>
      <c r="Q28" t="s">
        <v>85</v>
      </c>
      <c r="R28" t="s">
        <v>86</v>
      </c>
      <c r="S28" t="s">
        <v>16</v>
      </c>
    </row>
    <row r="29" spans="2:19" x14ac:dyDescent="0.45">
      <c r="M29" t="s">
        <v>9</v>
      </c>
      <c r="N29" t="s">
        <v>860</v>
      </c>
      <c r="O29" t="s">
        <v>664</v>
      </c>
      <c r="P29" t="s">
        <v>861</v>
      </c>
      <c r="Q29" t="s">
        <v>85</v>
      </c>
      <c r="R29" t="s">
        <v>86</v>
      </c>
      <c r="S29" t="s">
        <v>16</v>
      </c>
    </row>
    <row r="30" spans="2:19" ht="17.25" thickBot="1" x14ac:dyDescent="0.55000000000000004">
      <c r="B30" s="1" t="s">
        <v>245</v>
      </c>
      <c r="C30" s="2"/>
      <c r="D30" s="2"/>
      <c r="M30" t="s">
        <v>9</v>
      </c>
      <c r="N30" t="s">
        <v>862</v>
      </c>
      <c r="O30" t="s">
        <v>664</v>
      </c>
      <c r="P30" t="s">
        <v>863</v>
      </c>
      <c r="Q30" t="s">
        <v>85</v>
      </c>
      <c r="R30" t="s">
        <v>86</v>
      </c>
      <c r="S30" t="s">
        <v>16</v>
      </c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  <c r="M31" t="s">
        <v>9</v>
      </c>
      <c r="N31" t="s">
        <v>864</v>
      </c>
      <c r="O31" t="s">
        <v>664</v>
      </c>
      <c r="P31" t="s">
        <v>865</v>
      </c>
      <c r="Q31" t="s">
        <v>85</v>
      </c>
      <c r="R31" t="s">
        <v>86</v>
      </c>
      <c r="S31" t="s">
        <v>16</v>
      </c>
    </row>
    <row r="32" spans="2:19" x14ac:dyDescent="0.45">
      <c r="B32" t="s">
        <v>253</v>
      </c>
      <c r="C32" t="s">
        <v>254</v>
      </c>
      <c r="D32" t="s">
        <v>255</v>
      </c>
      <c r="M32" t="s">
        <v>9</v>
      </c>
      <c r="N32" t="s">
        <v>866</v>
      </c>
      <c r="O32" t="s">
        <v>664</v>
      </c>
      <c r="P32" t="s">
        <v>867</v>
      </c>
      <c r="Q32" t="s">
        <v>85</v>
      </c>
      <c r="R32" t="s">
        <v>86</v>
      </c>
      <c r="S32" t="s">
        <v>16</v>
      </c>
    </row>
    <row r="33" spans="2:19" x14ac:dyDescent="0.45">
      <c r="M33" t="s">
        <v>9</v>
      </c>
      <c r="N33" t="s">
        <v>868</v>
      </c>
      <c r="O33" t="s">
        <v>664</v>
      </c>
      <c r="P33" t="s">
        <v>869</v>
      </c>
      <c r="Q33" t="s">
        <v>85</v>
      </c>
      <c r="R33" t="s">
        <v>86</v>
      </c>
      <c r="S33" t="s">
        <v>16</v>
      </c>
    </row>
    <row r="34" spans="2:19" x14ac:dyDescent="0.45">
      <c r="M34" t="s">
        <v>9</v>
      </c>
      <c r="N34" t="s">
        <v>870</v>
      </c>
      <c r="O34" t="s">
        <v>664</v>
      </c>
      <c r="P34" t="s">
        <v>871</v>
      </c>
      <c r="Q34" t="s">
        <v>85</v>
      </c>
      <c r="R34" t="s">
        <v>86</v>
      </c>
      <c r="S34" t="s">
        <v>16</v>
      </c>
    </row>
    <row r="35" spans="2:19" x14ac:dyDescent="0.45">
      <c r="M35" t="s">
        <v>9</v>
      </c>
      <c r="N35" t="s">
        <v>872</v>
      </c>
      <c r="O35" t="s">
        <v>664</v>
      </c>
      <c r="P35" t="s">
        <v>873</v>
      </c>
      <c r="Q35" t="s">
        <v>85</v>
      </c>
      <c r="R35" t="s">
        <v>86</v>
      </c>
      <c r="S35" t="s">
        <v>16</v>
      </c>
    </row>
    <row r="36" spans="2:19" x14ac:dyDescent="0.45">
      <c r="M36" t="s">
        <v>9</v>
      </c>
      <c r="N36" t="s">
        <v>874</v>
      </c>
      <c r="O36" t="s">
        <v>664</v>
      </c>
      <c r="P36" t="s">
        <v>875</v>
      </c>
      <c r="Q36" t="s">
        <v>85</v>
      </c>
      <c r="R36" t="s">
        <v>86</v>
      </c>
      <c r="S36" t="s">
        <v>16</v>
      </c>
    </row>
    <row r="37" spans="2:19" x14ac:dyDescent="0.45">
      <c r="M37" t="s">
        <v>9</v>
      </c>
      <c r="N37" t="s">
        <v>876</v>
      </c>
      <c r="O37" t="s">
        <v>664</v>
      </c>
      <c r="P37" t="s">
        <v>877</v>
      </c>
      <c r="Q37" t="s">
        <v>85</v>
      </c>
      <c r="R37" t="s">
        <v>86</v>
      </c>
      <c r="S37" t="s">
        <v>16</v>
      </c>
    </row>
    <row r="38" spans="2:19" ht="17.25" thickBot="1" x14ac:dyDescent="0.55000000000000004">
      <c r="B38" s="1" t="s">
        <v>153</v>
      </c>
      <c r="C38" s="2"/>
      <c r="D38" s="2"/>
      <c r="M38" t="s">
        <v>9</v>
      </c>
      <c r="N38" t="s">
        <v>878</v>
      </c>
      <c r="O38" t="s">
        <v>664</v>
      </c>
      <c r="P38" t="s">
        <v>879</v>
      </c>
      <c r="Q38" t="s">
        <v>85</v>
      </c>
      <c r="R38" t="s">
        <v>86</v>
      </c>
      <c r="S38" t="s">
        <v>16</v>
      </c>
    </row>
    <row r="39" spans="2:19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  <c r="M39" t="s">
        <v>9</v>
      </c>
      <c r="N39" t="s">
        <v>880</v>
      </c>
      <c r="O39" t="s">
        <v>664</v>
      </c>
      <c r="P39" t="s">
        <v>881</v>
      </c>
      <c r="Q39" t="s">
        <v>85</v>
      </c>
      <c r="R39" t="s">
        <v>86</v>
      </c>
      <c r="S39" t="s">
        <v>16</v>
      </c>
    </row>
    <row r="40" spans="2:19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  <c r="M40" t="s">
        <v>9</v>
      </c>
      <c r="N40" t="s">
        <v>882</v>
      </c>
      <c r="O40" t="s">
        <v>664</v>
      </c>
      <c r="P40" t="s">
        <v>883</v>
      </c>
      <c r="Q40" t="s">
        <v>85</v>
      </c>
      <c r="R40" t="s">
        <v>86</v>
      </c>
      <c r="S40" t="s">
        <v>16</v>
      </c>
    </row>
    <row r="41" spans="2:19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  <c r="M41" t="s">
        <v>9</v>
      </c>
      <c r="N41" t="s">
        <v>884</v>
      </c>
      <c r="O41" t="s">
        <v>664</v>
      </c>
      <c r="P41" t="s">
        <v>885</v>
      </c>
      <c r="Q41" t="s">
        <v>85</v>
      </c>
      <c r="R41" t="s">
        <v>86</v>
      </c>
      <c r="S41" t="s">
        <v>16</v>
      </c>
    </row>
    <row r="42" spans="2:19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  <c r="M42" t="s">
        <v>9</v>
      </c>
      <c r="N42" t="s">
        <v>886</v>
      </c>
      <c r="O42" t="s">
        <v>664</v>
      </c>
      <c r="P42" t="s">
        <v>887</v>
      </c>
      <c r="Q42" t="s">
        <v>85</v>
      </c>
      <c r="R42" t="s">
        <v>86</v>
      </c>
      <c r="S42" t="s">
        <v>16</v>
      </c>
    </row>
    <row r="43" spans="2:19" x14ac:dyDescent="0.45">
      <c r="C43" t="s">
        <v>287</v>
      </c>
      <c r="D43" t="s">
        <v>288</v>
      </c>
      <c r="E43" t="s">
        <v>289</v>
      </c>
      <c r="F43" t="s">
        <v>290</v>
      </c>
      <c r="M43" t="s">
        <v>9</v>
      </c>
      <c r="N43" t="s">
        <v>888</v>
      </c>
      <c r="O43" t="s">
        <v>664</v>
      </c>
      <c r="P43" t="s">
        <v>889</v>
      </c>
      <c r="Q43" t="s">
        <v>85</v>
      </c>
      <c r="R43" t="s">
        <v>86</v>
      </c>
      <c r="S43" t="s">
        <v>16</v>
      </c>
    </row>
    <row r="44" spans="2:19" x14ac:dyDescent="0.45">
      <c r="M44" t="s">
        <v>9</v>
      </c>
      <c r="N44" t="s">
        <v>890</v>
      </c>
      <c r="O44" t="s">
        <v>664</v>
      </c>
      <c r="P44" t="s">
        <v>891</v>
      </c>
      <c r="Q44" t="s">
        <v>85</v>
      </c>
      <c r="R44" t="s">
        <v>86</v>
      </c>
      <c r="S44" t="s">
        <v>16</v>
      </c>
    </row>
    <row r="45" spans="2:19" x14ac:dyDescent="0.45">
      <c r="M45" t="s">
        <v>9</v>
      </c>
      <c r="N45" t="s">
        <v>892</v>
      </c>
      <c r="O45" t="s">
        <v>664</v>
      </c>
      <c r="P45" t="s">
        <v>893</v>
      </c>
      <c r="Q45" t="s">
        <v>85</v>
      </c>
      <c r="R45" t="s">
        <v>86</v>
      </c>
      <c r="S45" t="s">
        <v>16</v>
      </c>
    </row>
    <row r="46" spans="2:19" x14ac:dyDescent="0.45">
      <c r="M46" t="s">
        <v>9</v>
      </c>
      <c r="N46" t="s">
        <v>894</v>
      </c>
      <c r="O46" t="s">
        <v>664</v>
      </c>
      <c r="P46" t="s">
        <v>895</v>
      </c>
      <c r="Q46" t="s">
        <v>85</v>
      </c>
      <c r="R46" t="s">
        <v>86</v>
      </c>
      <c r="S46" t="s">
        <v>16</v>
      </c>
    </row>
    <row r="47" spans="2:19" x14ac:dyDescent="0.45">
      <c r="M47" t="s">
        <v>9</v>
      </c>
      <c r="N47" t="s">
        <v>896</v>
      </c>
      <c r="O47" t="s">
        <v>664</v>
      </c>
      <c r="P47" t="s">
        <v>897</v>
      </c>
      <c r="Q47" t="s">
        <v>85</v>
      </c>
      <c r="R47" t="s">
        <v>86</v>
      </c>
      <c r="S47" t="s">
        <v>16</v>
      </c>
    </row>
    <row r="48" spans="2:19" x14ac:dyDescent="0.45">
      <c r="M48" t="s">
        <v>9</v>
      </c>
      <c r="N48" t="s">
        <v>898</v>
      </c>
      <c r="O48" t="s">
        <v>664</v>
      </c>
      <c r="P48" t="s">
        <v>899</v>
      </c>
      <c r="Q48" t="s">
        <v>85</v>
      </c>
      <c r="R48" t="s">
        <v>86</v>
      </c>
      <c r="S48" t="s">
        <v>16</v>
      </c>
    </row>
    <row r="49" spans="13:19" x14ac:dyDescent="0.45">
      <c r="M49" t="s">
        <v>9</v>
      </c>
      <c r="N49" t="s">
        <v>900</v>
      </c>
      <c r="O49" t="s">
        <v>664</v>
      </c>
      <c r="P49" t="s">
        <v>901</v>
      </c>
      <c r="Q49" t="s">
        <v>85</v>
      </c>
      <c r="R49" t="s">
        <v>86</v>
      </c>
      <c r="S49" t="s">
        <v>16</v>
      </c>
    </row>
    <row r="50" spans="13:19" x14ac:dyDescent="0.45">
      <c r="M50" t="s">
        <v>9</v>
      </c>
      <c r="N50" t="s">
        <v>902</v>
      </c>
      <c r="O50" t="s">
        <v>664</v>
      </c>
      <c r="P50" t="s">
        <v>903</v>
      </c>
      <c r="Q50" t="s">
        <v>85</v>
      </c>
      <c r="R50" t="s">
        <v>86</v>
      </c>
      <c r="S50" t="s">
        <v>16</v>
      </c>
    </row>
    <row r="51" spans="13:19" x14ac:dyDescent="0.45">
      <c r="M51" t="s">
        <v>9</v>
      </c>
      <c r="N51" t="s">
        <v>904</v>
      </c>
      <c r="O51" t="s">
        <v>664</v>
      </c>
      <c r="P51" t="s">
        <v>905</v>
      </c>
      <c r="Q51" t="s">
        <v>85</v>
      </c>
      <c r="R51" t="s">
        <v>86</v>
      </c>
      <c r="S51" t="s">
        <v>16</v>
      </c>
    </row>
    <row r="52" spans="13:19" x14ac:dyDescent="0.45">
      <c r="M52" t="s">
        <v>9</v>
      </c>
      <c r="N52" t="s">
        <v>906</v>
      </c>
      <c r="O52" t="s">
        <v>664</v>
      </c>
      <c r="P52" t="s">
        <v>907</v>
      </c>
      <c r="Q52" t="s">
        <v>85</v>
      </c>
      <c r="R52" t="s">
        <v>86</v>
      </c>
      <c r="S52" t="s">
        <v>16</v>
      </c>
    </row>
    <row r="53" spans="13:19" x14ac:dyDescent="0.45">
      <c r="M53" t="s">
        <v>9</v>
      </c>
      <c r="N53" t="s">
        <v>908</v>
      </c>
      <c r="O53" t="s">
        <v>664</v>
      </c>
      <c r="P53" t="s">
        <v>909</v>
      </c>
      <c r="Q53" t="s">
        <v>85</v>
      </c>
      <c r="R53" t="s">
        <v>86</v>
      </c>
      <c r="S53" t="s">
        <v>16</v>
      </c>
    </row>
    <row r="54" spans="13:19" x14ac:dyDescent="0.45">
      <c r="M54" t="s">
        <v>9</v>
      </c>
      <c r="N54" t="s">
        <v>910</v>
      </c>
      <c r="O54" t="s">
        <v>664</v>
      </c>
      <c r="P54" t="s">
        <v>911</v>
      </c>
      <c r="Q54" t="s">
        <v>85</v>
      </c>
      <c r="R54" t="s">
        <v>86</v>
      </c>
      <c r="S54" t="s">
        <v>16</v>
      </c>
    </row>
    <row r="55" spans="13:19" x14ac:dyDescent="0.45">
      <c r="M55" t="s">
        <v>9</v>
      </c>
      <c r="N55" t="s">
        <v>912</v>
      </c>
      <c r="O55" t="s">
        <v>664</v>
      </c>
      <c r="P55" t="s">
        <v>913</v>
      </c>
      <c r="Q55" t="s">
        <v>85</v>
      </c>
      <c r="R55" t="s">
        <v>86</v>
      </c>
      <c r="S55" t="s">
        <v>16</v>
      </c>
    </row>
    <row r="56" spans="13:19" x14ac:dyDescent="0.45">
      <c r="M56" t="s">
        <v>9</v>
      </c>
      <c r="N56" t="s">
        <v>914</v>
      </c>
      <c r="O56" t="s">
        <v>664</v>
      </c>
      <c r="P56" t="s">
        <v>915</v>
      </c>
      <c r="Q56" t="s">
        <v>85</v>
      </c>
      <c r="R56" t="s">
        <v>86</v>
      </c>
      <c r="S56" t="s">
        <v>16</v>
      </c>
    </row>
    <row r="57" spans="13:19" x14ac:dyDescent="0.45">
      <c r="M57" t="s">
        <v>9</v>
      </c>
      <c r="N57" t="s">
        <v>916</v>
      </c>
      <c r="O57" t="s">
        <v>664</v>
      </c>
      <c r="P57" t="s">
        <v>917</v>
      </c>
      <c r="Q57" t="s">
        <v>85</v>
      </c>
      <c r="R57" t="s">
        <v>86</v>
      </c>
      <c r="S57" t="s">
        <v>16</v>
      </c>
    </row>
    <row r="58" spans="13:19" x14ac:dyDescent="0.45">
      <c r="M58" t="s">
        <v>9</v>
      </c>
      <c r="N58" t="s">
        <v>918</v>
      </c>
      <c r="O58" t="s">
        <v>664</v>
      </c>
      <c r="P58" t="s">
        <v>919</v>
      </c>
      <c r="Q58" t="s">
        <v>85</v>
      </c>
      <c r="R58" t="s">
        <v>86</v>
      </c>
      <c r="S58" t="s">
        <v>16</v>
      </c>
    </row>
    <row r="59" spans="13:19" x14ac:dyDescent="0.45">
      <c r="M59" t="s">
        <v>9</v>
      </c>
      <c r="N59" t="s">
        <v>920</v>
      </c>
      <c r="O59" t="s">
        <v>664</v>
      </c>
      <c r="P59" t="s">
        <v>921</v>
      </c>
      <c r="Q59" t="s">
        <v>85</v>
      </c>
      <c r="R59" t="s">
        <v>86</v>
      </c>
      <c r="S59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8343-87A6-4BA8-A05E-8EC0AC53E0EA}">
  <dimension ref="B3:I27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922</v>
      </c>
      <c r="D5" t="s">
        <v>923</v>
      </c>
      <c r="E5" t="s">
        <v>924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925</v>
      </c>
      <c r="D6" t="s">
        <v>923</v>
      </c>
      <c r="E6" t="s">
        <v>926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927</v>
      </c>
      <c r="D7" t="s">
        <v>923</v>
      </c>
      <c r="E7" t="s">
        <v>928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929</v>
      </c>
      <c r="D8" t="s">
        <v>923</v>
      </c>
      <c r="E8" t="s">
        <v>930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931</v>
      </c>
      <c r="D9" t="s">
        <v>923</v>
      </c>
      <c r="E9" t="s">
        <v>932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933</v>
      </c>
      <c r="D10" t="s">
        <v>923</v>
      </c>
      <c r="E10" t="s">
        <v>934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935</v>
      </c>
      <c r="D11" t="s">
        <v>923</v>
      </c>
      <c r="E11" t="s">
        <v>936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937</v>
      </c>
      <c r="D12" t="s">
        <v>923</v>
      </c>
      <c r="E12" t="s">
        <v>938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939</v>
      </c>
      <c r="D13" t="s">
        <v>923</v>
      </c>
      <c r="E13" t="s">
        <v>940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941</v>
      </c>
      <c r="D14" t="s">
        <v>923</v>
      </c>
      <c r="E14" t="s">
        <v>942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943</v>
      </c>
      <c r="D15" t="s">
        <v>923</v>
      </c>
      <c r="E15" t="s">
        <v>944</v>
      </c>
      <c r="F15" t="s">
        <v>13</v>
      </c>
      <c r="G15" t="s">
        <v>14</v>
      </c>
      <c r="H15" t="s">
        <v>15</v>
      </c>
      <c r="I15" t="s">
        <v>16</v>
      </c>
    </row>
    <row r="16" spans="2:9" x14ac:dyDescent="0.45">
      <c r="B16" t="s">
        <v>9</v>
      </c>
      <c r="C16" t="s">
        <v>945</v>
      </c>
      <c r="D16" t="s">
        <v>923</v>
      </c>
      <c r="E16" t="s">
        <v>946</v>
      </c>
      <c r="F16" t="s">
        <v>13</v>
      </c>
      <c r="G16" t="s">
        <v>14</v>
      </c>
      <c r="H16" t="s">
        <v>15</v>
      </c>
      <c r="I16" t="s">
        <v>16</v>
      </c>
    </row>
    <row r="17" spans="2:9" x14ac:dyDescent="0.45">
      <c r="B17" t="s">
        <v>9</v>
      </c>
      <c r="C17" t="s">
        <v>947</v>
      </c>
      <c r="D17" t="s">
        <v>923</v>
      </c>
      <c r="E17" t="s">
        <v>948</v>
      </c>
      <c r="F17" t="s">
        <v>13</v>
      </c>
      <c r="G17" t="s">
        <v>14</v>
      </c>
      <c r="H17" t="s">
        <v>15</v>
      </c>
      <c r="I17" t="s">
        <v>16</v>
      </c>
    </row>
    <row r="18" spans="2:9" x14ac:dyDescent="0.45">
      <c r="B18" t="s">
        <v>9</v>
      </c>
      <c r="C18" t="s">
        <v>949</v>
      </c>
      <c r="D18" t="s">
        <v>923</v>
      </c>
      <c r="E18" t="s">
        <v>950</v>
      </c>
      <c r="F18" t="s">
        <v>13</v>
      </c>
      <c r="G18" t="s">
        <v>14</v>
      </c>
      <c r="H18" t="s">
        <v>15</v>
      </c>
      <c r="I18" t="s">
        <v>16</v>
      </c>
    </row>
    <row r="19" spans="2:9" x14ac:dyDescent="0.45">
      <c r="B19" t="s">
        <v>9</v>
      </c>
      <c r="C19" t="s">
        <v>951</v>
      </c>
      <c r="D19" t="s">
        <v>923</v>
      </c>
      <c r="E19" t="s">
        <v>952</v>
      </c>
      <c r="F19" t="s">
        <v>13</v>
      </c>
      <c r="G19" t="s">
        <v>14</v>
      </c>
      <c r="H19" t="s">
        <v>15</v>
      </c>
      <c r="I19" t="s">
        <v>16</v>
      </c>
    </row>
    <row r="20" spans="2:9" x14ac:dyDescent="0.45">
      <c r="B20" t="s">
        <v>9</v>
      </c>
      <c r="C20" t="s">
        <v>953</v>
      </c>
      <c r="D20" t="s">
        <v>923</v>
      </c>
      <c r="E20" t="s">
        <v>954</v>
      </c>
      <c r="F20" t="s">
        <v>13</v>
      </c>
      <c r="G20" t="s">
        <v>14</v>
      </c>
      <c r="H20" t="s">
        <v>15</v>
      </c>
      <c r="I20" t="s">
        <v>16</v>
      </c>
    </row>
    <row r="21" spans="2:9" x14ac:dyDescent="0.45">
      <c r="B21" t="s">
        <v>9</v>
      </c>
      <c r="C21" t="s">
        <v>955</v>
      </c>
      <c r="D21" t="s">
        <v>923</v>
      </c>
      <c r="E21" t="s">
        <v>956</v>
      </c>
      <c r="F21" t="s">
        <v>13</v>
      </c>
      <c r="G21" t="s">
        <v>14</v>
      </c>
      <c r="H21" t="s">
        <v>15</v>
      </c>
      <c r="I21" t="s">
        <v>16</v>
      </c>
    </row>
    <row r="22" spans="2:9" x14ac:dyDescent="0.45">
      <c r="B22" t="s">
        <v>9</v>
      </c>
      <c r="C22" t="s">
        <v>957</v>
      </c>
      <c r="D22" t="s">
        <v>923</v>
      </c>
      <c r="E22" t="s">
        <v>958</v>
      </c>
      <c r="F22" t="s">
        <v>13</v>
      </c>
      <c r="G22" t="s">
        <v>14</v>
      </c>
      <c r="H22" t="s">
        <v>15</v>
      </c>
      <c r="I22" t="s">
        <v>16</v>
      </c>
    </row>
    <row r="23" spans="2:9" x14ac:dyDescent="0.45">
      <c r="B23" t="s">
        <v>9</v>
      </c>
      <c r="C23" t="s">
        <v>959</v>
      </c>
      <c r="D23" t="s">
        <v>923</v>
      </c>
      <c r="E23" t="s">
        <v>960</v>
      </c>
      <c r="F23" t="s">
        <v>13</v>
      </c>
      <c r="G23" t="s">
        <v>14</v>
      </c>
      <c r="H23" t="s">
        <v>15</v>
      </c>
      <c r="I23" t="s">
        <v>16</v>
      </c>
    </row>
    <row r="24" spans="2:9" x14ac:dyDescent="0.45">
      <c r="B24" t="s">
        <v>9</v>
      </c>
      <c r="C24" t="s">
        <v>961</v>
      </c>
      <c r="D24" t="s">
        <v>923</v>
      </c>
      <c r="E24" t="s">
        <v>962</v>
      </c>
      <c r="F24" t="s">
        <v>13</v>
      </c>
      <c r="G24" t="s">
        <v>14</v>
      </c>
      <c r="H24" t="s">
        <v>15</v>
      </c>
      <c r="I24" t="s">
        <v>16</v>
      </c>
    </row>
    <row r="25" spans="2:9" x14ac:dyDescent="0.45">
      <c r="B25" t="s">
        <v>9</v>
      </c>
      <c r="C25" t="s">
        <v>963</v>
      </c>
      <c r="D25" t="s">
        <v>923</v>
      </c>
      <c r="E25" t="s">
        <v>964</v>
      </c>
      <c r="F25" t="s">
        <v>13</v>
      </c>
      <c r="G25" t="s">
        <v>14</v>
      </c>
      <c r="H25" t="s">
        <v>15</v>
      </c>
      <c r="I25" t="s">
        <v>16</v>
      </c>
    </row>
    <row r="26" spans="2:9" x14ac:dyDescent="0.45">
      <c r="B26" t="s">
        <v>9</v>
      </c>
      <c r="C26" t="s">
        <v>965</v>
      </c>
      <c r="D26" t="s">
        <v>923</v>
      </c>
      <c r="E26" t="s">
        <v>966</v>
      </c>
      <c r="F26" t="s">
        <v>13</v>
      </c>
      <c r="G26" t="s">
        <v>14</v>
      </c>
      <c r="H26" t="s">
        <v>15</v>
      </c>
      <c r="I26" t="s">
        <v>16</v>
      </c>
    </row>
    <row r="27" spans="2:9" x14ac:dyDescent="0.45">
      <c r="B27" t="s">
        <v>9</v>
      </c>
      <c r="C27" t="s">
        <v>967</v>
      </c>
      <c r="D27" t="s">
        <v>923</v>
      </c>
      <c r="E27" t="s">
        <v>968</v>
      </c>
      <c r="F27" t="s">
        <v>13</v>
      </c>
      <c r="G27" t="s">
        <v>14</v>
      </c>
      <c r="H27" t="s">
        <v>15</v>
      </c>
      <c r="I27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FE78-6B35-4F4F-B41B-4633D4B9ABE5}">
  <dimension ref="B3:I27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969</v>
      </c>
      <c r="D5" t="s">
        <v>923</v>
      </c>
      <c r="E5" t="s">
        <v>970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971</v>
      </c>
      <c r="D6" t="s">
        <v>923</v>
      </c>
      <c r="E6" t="s">
        <v>972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973</v>
      </c>
      <c r="D7" t="s">
        <v>923</v>
      </c>
      <c r="E7" t="s">
        <v>974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975</v>
      </c>
      <c r="D8" t="s">
        <v>923</v>
      </c>
      <c r="E8" t="s">
        <v>976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977</v>
      </c>
      <c r="D9" t="s">
        <v>923</v>
      </c>
      <c r="E9" t="s">
        <v>978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979</v>
      </c>
      <c r="D10" t="s">
        <v>923</v>
      </c>
      <c r="E10" t="s">
        <v>980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981</v>
      </c>
      <c r="D11" t="s">
        <v>923</v>
      </c>
      <c r="E11" t="s">
        <v>982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983</v>
      </c>
      <c r="D12" t="s">
        <v>923</v>
      </c>
      <c r="E12" t="s">
        <v>984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985</v>
      </c>
      <c r="D13" t="s">
        <v>923</v>
      </c>
      <c r="E13" t="s">
        <v>986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987</v>
      </c>
      <c r="D14" t="s">
        <v>923</v>
      </c>
      <c r="E14" t="s">
        <v>988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989</v>
      </c>
      <c r="D15" t="s">
        <v>923</v>
      </c>
      <c r="E15" t="s">
        <v>990</v>
      </c>
      <c r="F15" t="s">
        <v>85</v>
      </c>
      <c r="G15" t="s">
        <v>86</v>
      </c>
      <c r="H15" t="s">
        <v>15</v>
      </c>
      <c r="I15" t="s">
        <v>16</v>
      </c>
    </row>
    <row r="16" spans="2:9" x14ac:dyDescent="0.45">
      <c r="B16" t="s">
        <v>9</v>
      </c>
      <c r="C16" t="s">
        <v>991</v>
      </c>
      <c r="D16" t="s">
        <v>923</v>
      </c>
      <c r="E16" t="s">
        <v>992</v>
      </c>
      <c r="F16" t="s">
        <v>85</v>
      </c>
      <c r="G16" t="s">
        <v>86</v>
      </c>
      <c r="H16" t="s">
        <v>15</v>
      </c>
      <c r="I16" t="s">
        <v>16</v>
      </c>
    </row>
    <row r="17" spans="2:9" x14ac:dyDescent="0.45">
      <c r="B17" t="s">
        <v>9</v>
      </c>
      <c r="C17" t="s">
        <v>993</v>
      </c>
      <c r="D17" t="s">
        <v>923</v>
      </c>
      <c r="E17" t="s">
        <v>994</v>
      </c>
      <c r="F17" t="s">
        <v>85</v>
      </c>
      <c r="G17" t="s">
        <v>86</v>
      </c>
      <c r="H17" t="s">
        <v>15</v>
      </c>
      <c r="I17" t="s">
        <v>16</v>
      </c>
    </row>
    <row r="18" spans="2:9" x14ac:dyDescent="0.45">
      <c r="B18" t="s">
        <v>9</v>
      </c>
      <c r="C18" t="s">
        <v>995</v>
      </c>
      <c r="D18" t="s">
        <v>923</v>
      </c>
      <c r="E18" t="s">
        <v>996</v>
      </c>
      <c r="F18" t="s">
        <v>85</v>
      </c>
      <c r="G18" t="s">
        <v>86</v>
      </c>
      <c r="H18" t="s">
        <v>15</v>
      </c>
      <c r="I18" t="s">
        <v>16</v>
      </c>
    </row>
    <row r="19" spans="2:9" x14ac:dyDescent="0.45">
      <c r="B19" t="s">
        <v>9</v>
      </c>
      <c r="C19" t="s">
        <v>997</v>
      </c>
      <c r="D19" t="s">
        <v>923</v>
      </c>
      <c r="E19" t="s">
        <v>998</v>
      </c>
      <c r="F19" t="s">
        <v>85</v>
      </c>
      <c r="G19" t="s">
        <v>86</v>
      </c>
      <c r="H19" t="s">
        <v>15</v>
      </c>
      <c r="I19" t="s">
        <v>16</v>
      </c>
    </row>
    <row r="20" spans="2:9" x14ac:dyDescent="0.45">
      <c r="B20" t="s">
        <v>9</v>
      </c>
      <c r="C20" t="s">
        <v>999</v>
      </c>
      <c r="D20" t="s">
        <v>923</v>
      </c>
      <c r="E20" t="s">
        <v>1000</v>
      </c>
      <c r="F20" t="s">
        <v>85</v>
      </c>
      <c r="G20" t="s">
        <v>86</v>
      </c>
      <c r="H20" t="s">
        <v>15</v>
      </c>
      <c r="I20" t="s">
        <v>16</v>
      </c>
    </row>
    <row r="21" spans="2:9" x14ac:dyDescent="0.45">
      <c r="B21" t="s">
        <v>9</v>
      </c>
      <c r="C21" t="s">
        <v>1001</v>
      </c>
      <c r="D21" t="s">
        <v>923</v>
      </c>
      <c r="E21" t="s">
        <v>1002</v>
      </c>
      <c r="F21" t="s">
        <v>85</v>
      </c>
      <c r="G21" t="s">
        <v>86</v>
      </c>
      <c r="H21" t="s">
        <v>15</v>
      </c>
      <c r="I21" t="s">
        <v>16</v>
      </c>
    </row>
    <row r="22" spans="2:9" x14ac:dyDescent="0.45">
      <c r="B22" t="s">
        <v>9</v>
      </c>
      <c r="C22" t="s">
        <v>1003</v>
      </c>
      <c r="D22" t="s">
        <v>923</v>
      </c>
      <c r="E22" t="s">
        <v>1004</v>
      </c>
      <c r="F22" t="s">
        <v>85</v>
      </c>
      <c r="G22" t="s">
        <v>86</v>
      </c>
      <c r="H22" t="s">
        <v>15</v>
      </c>
      <c r="I22" t="s">
        <v>16</v>
      </c>
    </row>
    <row r="23" spans="2:9" x14ac:dyDescent="0.45">
      <c r="B23" t="s">
        <v>9</v>
      </c>
      <c r="C23" t="s">
        <v>1005</v>
      </c>
      <c r="D23" t="s">
        <v>923</v>
      </c>
      <c r="E23" t="s">
        <v>1006</v>
      </c>
      <c r="F23" t="s">
        <v>85</v>
      </c>
      <c r="G23" t="s">
        <v>86</v>
      </c>
      <c r="H23" t="s">
        <v>15</v>
      </c>
      <c r="I23" t="s">
        <v>16</v>
      </c>
    </row>
    <row r="24" spans="2:9" x14ac:dyDescent="0.45">
      <c r="B24" t="s">
        <v>9</v>
      </c>
      <c r="C24" t="s">
        <v>1007</v>
      </c>
      <c r="D24" t="s">
        <v>923</v>
      </c>
      <c r="E24" t="s">
        <v>1008</v>
      </c>
      <c r="F24" t="s">
        <v>85</v>
      </c>
      <c r="G24" t="s">
        <v>86</v>
      </c>
      <c r="H24" t="s">
        <v>15</v>
      </c>
      <c r="I24" t="s">
        <v>16</v>
      </c>
    </row>
    <row r="25" spans="2:9" x14ac:dyDescent="0.45">
      <c r="B25" t="s">
        <v>9</v>
      </c>
      <c r="C25" t="s">
        <v>1009</v>
      </c>
      <c r="D25" t="s">
        <v>923</v>
      </c>
      <c r="E25" t="s">
        <v>1010</v>
      </c>
      <c r="F25" t="s">
        <v>85</v>
      </c>
      <c r="G25" t="s">
        <v>86</v>
      </c>
      <c r="H25" t="s">
        <v>15</v>
      </c>
      <c r="I25" t="s">
        <v>16</v>
      </c>
    </row>
    <row r="26" spans="2:9" x14ac:dyDescent="0.45">
      <c r="B26" t="s">
        <v>9</v>
      </c>
      <c r="C26" t="s">
        <v>1011</v>
      </c>
      <c r="D26" t="s">
        <v>923</v>
      </c>
      <c r="E26" t="s">
        <v>1012</v>
      </c>
      <c r="F26" t="s">
        <v>85</v>
      </c>
      <c r="G26" t="s">
        <v>86</v>
      </c>
      <c r="H26" t="s">
        <v>15</v>
      </c>
      <c r="I26" t="s">
        <v>16</v>
      </c>
    </row>
    <row r="27" spans="2:9" x14ac:dyDescent="0.45">
      <c r="B27" t="s">
        <v>9</v>
      </c>
      <c r="C27" t="s">
        <v>1013</v>
      </c>
      <c r="D27" t="s">
        <v>923</v>
      </c>
      <c r="E27" t="s">
        <v>1014</v>
      </c>
      <c r="F27" t="s">
        <v>85</v>
      </c>
      <c r="G27" t="s">
        <v>86</v>
      </c>
      <c r="H27" t="s">
        <v>15</v>
      </c>
      <c r="I27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30C8-B39F-4C0F-9396-63766FAAEE46}">
  <dimension ref="B3:S43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1015</v>
      </c>
      <c r="O5" t="s">
        <v>923</v>
      </c>
      <c r="P5" t="s">
        <v>1016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1017</v>
      </c>
      <c r="O6" t="s">
        <v>923</v>
      </c>
      <c r="P6" t="s">
        <v>1018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1019</v>
      </c>
      <c r="O7" t="s">
        <v>923</v>
      </c>
      <c r="P7" t="s">
        <v>1020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1021</v>
      </c>
      <c r="O8" t="s">
        <v>923</v>
      </c>
      <c r="P8" t="s">
        <v>1022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1023</v>
      </c>
      <c r="O9" t="s">
        <v>923</v>
      </c>
      <c r="P9" t="s">
        <v>1024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1025</v>
      </c>
      <c r="O10" t="s">
        <v>923</v>
      </c>
      <c r="P10" t="s">
        <v>1026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1027</v>
      </c>
      <c r="O11" t="s">
        <v>923</v>
      </c>
      <c r="P11" t="s">
        <v>1028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1029</v>
      </c>
      <c r="O12" t="s">
        <v>923</v>
      </c>
      <c r="P12" t="s">
        <v>1030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1031</v>
      </c>
      <c r="O13" t="s">
        <v>923</v>
      </c>
      <c r="P13" t="s">
        <v>1032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1033</v>
      </c>
      <c r="O14" t="s">
        <v>923</v>
      </c>
      <c r="P14" t="s">
        <v>1034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1035</v>
      </c>
      <c r="O15" t="s">
        <v>923</v>
      </c>
      <c r="P15" t="s">
        <v>1036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1037</v>
      </c>
      <c r="O16" t="s">
        <v>923</v>
      </c>
      <c r="P16" t="s">
        <v>1038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1039</v>
      </c>
      <c r="O17" t="s">
        <v>923</v>
      </c>
      <c r="P17" t="s">
        <v>1040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1041</v>
      </c>
      <c r="O18" t="s">
        <v>923</v>
      </c>
      <c r="P18" t="s">
        <v>1042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1043</v>
      </c>
      <c r="O19" t="s">
        <v>923</v>
      </c>
      <c r="P19" t="s">
        <v>1044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1045</v>
      </c>
      <c r="O20" t="s">
        <v>923</v>
      </c>
      <c r="P20" t="s">
        <v>1046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</row>
    <row r="26" spans="2:19" x14ac:dyDescent="0.45">
      <c r="B26" t="s">
        <v>229</v>
      </c>
      <c r="C26" t="s">
        <v>235</v>
      </c>
      <c r="E26" t="s">
        <v>232</v>
      </c>
    </row>
    <row r="27" spans="2:19" x14ac:dyDescent="0.45">
      <c r="B27" t="s">
        <v>229</v>
      </c>
      <c r="C27" t="s">
        <v>238</v>
      </c>
      <c r="E27" t="s">
        <v>232</v>
      </c>
    </row>
    <row r="30" spans="2:19" ht="17.25" thickBot="1" x14ac:dyDescent="0.55000000000000004">
      <c r="B30" s="1" t="s">
        <v>245</v>
      </c>
      <c r="C30" s="2"/>
      <c r="D30" s="2"/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</row>
    <row r="32" spans="2:19" x14ac:dyDescent="0.45">
      <c r="B32" t="s">
        <v>253</v>
      </c>
      <c r="C32" t="s">
        <v>254</v>
      </c>
      <c r="D32" t="s">
        <v>255</v>
      </c>
    </row>
    <row r="38" spans="2:7" ht="17.25" thickBot="1" x14ac:dyDescent="0.55000000000000004">
      <c r="B38" s="1" t="s">
        <v>153</v>
      </c>
      <c r="C38" s="2"/>
      <c r="D38" s="2"/>
    </row>
    <row r="39" spans="2:7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</row>
    <row r="40" spans="2:7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</row>
    <row r="41" spans="2:7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</row>
    <row r="42" spans="2:7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</row>
    <row r="43" spans="2:7" x14ac:dyDescent="0.45">
      <c r="C43" t="s">
        <v>287</v>
      </c>
      <c r="D43" t="s">
        <v>288</v>
      </c>
      <c r="E43" t="s">
        <v>289</v>
      </c>
      <c r="F43" t="s">
        <v>290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5141-614F-44C6-9B55-46080A71A7B8}">
  <dimension ref="B3:I29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1047</v>
      </c>
      <c r="D5" t="s">
        <v>1048</v>
      </c>
      <c r="E5" t="s">
        <v>1049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1050</v>
      </c>
      <c r="D6" t="s">
        <v>1048</v>
      </c>
      <c r="E6" t="s">
        <v>1051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1052</v>
      </c>
      <c r="D7" t="s">
        <v>1048</v>
      </c>
      <c r="E7" t="s">
        <v>1053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1054</v>
      </c>
      <c r="D8" t="s">
        <v>1048</v>
      </c>
      <c r="E8" t="s">
        <v>1055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1056</v>
      </c>
      <c r="D9" t="s">
        <v>1048</v>
      </c>
      <c r="E9" t="s">
        <v>1057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1058</v>
      </c>
      <c r="D10" t="s">
        <v>1048</v>
      </c>
      <c r="E10" t="s">
        <v>1059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1060</v>
      </c>
      <c r="D11" t="s">
        <v>1048</v>
      </c>
      <c r="E11" t="s">
        <v>1061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1062</v>
      </c>
      <c r="D12" t="s">
        <v>1048</v>
      </c>
      <c r="E12" t="s">
        <v>1063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1064</v>
      </c>
      <c r="D13" t="s">
        <v>1048</v>
      </c>
      <c r="E13" t="s">
        <v>1065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1066</v>
      </c>
      <c r="D14" t="s">
        <v>1048</v>
      </c>
      <c r="E14" t="s">
        <v>1067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1068</v>
      </c>
      <c r="D15" t="s">
        <v>1048</v>
      </c>
      <c r="E15" t="s">
        <v>1069</v>
      </c>
      <c r="F15" t="s">
        <v>13</v>
      </c>
      <c r="G15" t="s">
        <v>14</v>
      </c>
      <c r="H15" t="s">
        <v>15</v>
      </c>
      <c r="I15" t="s">
        <v>16</v>
      </c>
    </row>
    <row r="16" spans="2:9" x14ac:dyDescent="0.45">
      <c r="B16" t="s">
        <v>9</v>
      </c>
      <c r="C16" t="s">
        <v>1070</v>
      </c>
      <c r="D16" t="s">
        <v>1048</v>
      </c>
      <c r="E16" t="s">
        <v>1071</v>
      </c>
      <c r="F16" t="s">
        <v>13</v>
      </c>
      <c r="G16" t="s">
        <v>14</v>
      </c>
      <c r="H16" t="s">
        <v>15</v>
      </c>
      <c r="I16" t="s">
        <v>16</v>
      </c>
    </row>
    <row r="17" spans="2:9" x14ac:dyDescent="0.45">
      <c r="B17" t="s">
        <v>9</v>
      </c>
      <c r="C17" t="s">
        <v>1072</v>
      </c>
      <c r="D17" t="s">
        <v>1048</v>
      </c>
      <c r="E17" t="s">
        <v>1073</v>
      </c>
      <c r="F17" t="s">
        <v>13</v>
      </c>
      <c r="G17" t="s">
        <v>14</v>
      </c>
      <c r="H17" t="s">
        <v>15</v>
      </c>
      <c r="I17" t="s">
        <v>16</v>
      </c>
    </row>
    <row r="18" spans="2:9" x14ac:dyDescent="0.45">
      <c r="B18" t="s">
        <v>9</v>
      </c>
      <c r="C18" t="s">
        <v>1074</v>
      </c>
      <c r="D18" t="s">
        <v>1048</v>
      </c>
      <c r="E18" t="s">
        <v>1075</v>
      </c>
      <c r="F18" t="s">
        <v>13</v>
      </c>
      <c r="G18" t="s">
        <v>14</v>
      </c>
      <c r="H18" t="s">
        <v>15</v>
      </c>
      <c r="I18" t="s">
        <v>16</v>
      </c>
    </row>
    <row r="19" spans="2:9" x14ac:dyDescent="0.45">
      <c r="B19" t="s">
        <v>9</v>
      </c>
      <c r="C19" t="s">
        <v>1076</v>
      </c>
      <c r="D19" t="s">
        <v>1048</v>
      </c>
      <c r="E19" t="s">
        <v>1077</v>
      </c>
      <c r="F19" t="s">
        <v>13</v>
      </c>
      <c r="G19" t="s">
        <v>14</v>
      </c>
      <c r="H19" t="s">
        <v>15</v>
      </c>
      <c r="I19" t="s">
        <v>16</v>
      </c>
    </row>
    <row r="20" spans="2:9" x14ac:dyDescent="0.45">
      <c r="B20" t="s">
        <v>9</v>
      </c>
      <c r="C20" t="s">
        <v>1078</v>
      </c>
      <c r="D20" t="s">
        <v>1048</v>
      </c>
      <c r="E20" t="s">
        <v>1079</v>
      </c>
      <c r="F20" t="s">
        <v>13</v>
      </c>
      <c r="G20" t="s">
        <v>14</v>
      </c>
      <c r="H20" t="s">
        <v>15</v>
      </c>
      <c r="I20" t="s">
        <v>16</v>
      </c>
    </row>
    <row r="21" spans="2:9" x14ac:dyDescent="0.45">
      <c r="B21" t="s">
        <v>9</v>
      </c>
      <c r="C21" t="s">
        <v>1080</v>
      </c>
      <c r="D21" t="s">
        <v>1048</v>
      </c>
      <c r="E21" t="s">
        <v>1081</v>
      </c>
      <c r="F21" t="s">
        <v>13</v>
      </c>
      <c r="G21" t="s">
        <v>14</v>
      </c>
      <c r="H21" t="s">
        <v>15</v>
      </c>
      <c r="I21" t="s">
        <v>16</v>
      </c>
    </row>
    <row r="22" spans="2:9" x14ac:dyDescent="0.45">
      <c r="B22" t="s">
        <v>9</v>
      </c>
      <c r="C22" t="s">
        <v>1082</v>
      </c>
      <c r="D22" t="s">
        <v>1048</v>
      </c>
      <c r="E22" t="s">
        <v>1083</v>
      </c>
      <c r="F22" t="s">
        <v>13</v>
      </c>
      <c r="G22" t="s">
        <v>14</v>
      </c>
      <c r="H22" t="s">
        <v>15</v>
      </c>
      <c r="I22" t="s">
        <v>16</v>
      </c>
    </row>
    <row r="23" spans="2:9" x14ac:dyDescent="0.45">
      <c r="B23" t="s">
        <v>9</v>
      </c>
      <c r="C23" t="s">
        <v>1084</v>
      </c>
      <c r="D23" t="s">
        <v>1048</v>
      </c>
      <c r="E23" t="s">
        <v>1085</v>
      </c>
      <c r="F23" t="s">
        <v>13</v>
      </c>
      <c r="G23" t="s">
        <v>14</v>
      </c>
      <c r="H23" t="s">
        <v>15</v>
      </c>
      <c r="I23" t="s">
        <v>16</v>
      </c>
    </row>
    <row r="24" spans="2:9" x14ac:dyDescent="0.45">
      <c r="B24" t="s">
        <v>9</v>
      </c>
      <c r="C24" t="s">
        <v>1086</v>
      </c>
      <c r="D24" t="s">
        <v>1048</v>
      </c>
      <c r="E24" t="s">
        <v>1087</v>
      </c>
      <c r="F24" t="s">
        <v>13</v>
      </c>
      <c r="G24" t="s">
        <v>14</v>
      </c>
      <c r="H24" t="s">
        <v>15</v>
      </c>
      <c r="I24" t="s">
        <v>16</v>
      </c>
    </row>
    <row r="25" spans="2:9" x14ac:dyDescent="0.45">
      <c r="B25" t="s">
        <v>9</v>
      </c>
      <c r="C25" t="s">
        <v>1088</v>
      </c>
      <c r="D25" t="s">
        <v>1048</v>
      </c>
      <c r="E25" t="s">
        <v>1089</v>
      </c>
      <c r="F25" t="s">
        <v>13</v>
      </c>
      <c r="G25" t="s">
        <v>14</v>
      </c>
      <c r="H25" t="s">
        <v>15</v>
      </c>
      <c r="I25" t="s">
        <v>16</v>
      </c>
    </row>
    <row r="26" spans="2:9" x14ac:dyDescent="0.45">
      <c r="B26" t="s">
        <v>9</v>
      </c>
      <c r="C26" t="s">
        <v>1090</v>
      </c>
      <c r="D26" t="s">
        <v>1048</v>
      </c>
      <c r="E26" t="s">
        <v>1091</v>
      </c>
      <c r="F26" t="s">
        <v>13</v>
      </c>
      <c r="G26" t="s">
        <v>14</v>
      </c>
      <c r="H26" t="s">
        <v>15</v>
      </c>
      <c r="I26" t="s">
        <v>16</v>
      </c>
    </row>
    <row r="27" spans="2:9" x14ac:dyDescent="0.45">
      <c r="B27" t="s">
        <v>9</v>
      </c>
      <c r="C27" t="s">
        <v>1092</v>
      </c>
      <c r="D27" t="s">
        <v>1048</v>
      </c>
      <c r="E27" t="s">
        <v>1093</v>
      </c>
      <c r="F27" t="s">
        <v>13</v>
      </c>
      <c r="G27" t="s">
        <v>14</v>
      </c>
      <c r="H27" t="s">
        <v>15</v>
      </c>
      <c r="I27" t="s">
        <v>16</v>
      </c>
    </row>
    <row r="28" spans="2:9" x14ac:dyDescent="0.45">
      <c r="B28" t="s">
        <v>9</v>
      </c>
      <c r="C28" t="s">
        <v>1094</v>
      </c>
      <c r="D28" t="s">
        <v>1048</v>
      </c>
      <c r="E28" t="s">
        <v>1095</v>
      </c>
      <c r="F28" t="s">
        <v>13</v>
      </c>
      <c r="G28" t="s">
        <v>14</v>
      </c>
      <c r="H28" t="s">
        <v>15</v>
      </c>
      <c r="I28" t="s">
        <v>16</v>
      </c>
    </row>
    <row r="29" spans="2:9" x14ac:dyDescent="0.45">
      <c r="B29" t="s">
        <v>9</v>
      </c>
      <c r="C29" t="s">
        <v>1096</v>
      </c>
      <c r="D29" t="s">
        <v>1048</v>
      </c>
      <c r="E29" t="s">
        <v>1097</v>
      </c>
      <c r="F29" t="s">
        <v>13</v>
      </c>
      <c r="G29" t="s">
        <v>14</v>
      </c>
      <c r="H29" t="s">
        <v>15</v>
      </c>
      <c r="I29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EE5C-532D-44D7-AE8B-9DF5382FE4A0}">
  <dimension ref="B3:I29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1098</v>
      </c>
      <c r="D5" t="s">
        <v>1048</v>
      </c>
      <c r="E5" t="s">
        <v>1099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1100</v>
      </c>
      <c r="D6" t="s">
        <v>1048</v>
      </c>
      <c r="E6" t="s">
        <v>1101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1102</v>
      </c>
      <c r="D7" t="s">
        <v>1048</v>
      </c>
      <c r="E7" t="s">
        <v>1103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1104</v>
      </c>
      <c r="D8" t="s">
        <v>1048</v>
      </c>
      <c r="E8" t="s">
        <v>1105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1106</v>
      </c>
      <c r="D9" t="s">
        <v>1048</v>
      </c>
      <c r="E9" t="s">
        <v>1107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1108</v>
      </c>
      <c r="D10" t="s">
        <v>1048</v>
      </c>
      <c r="E10" t="s">
        <v>1109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1110</v>
      </c>
      <c r="D11" t="s">
        <v>1048</v>
      </c>
      <c r="E11" t="s">
        <v>1111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1112</v>
      </c>
      <c r="D12" t="s">
        <v>1048</v>
      </c>
      <c r="E12" t="s">
        <v>1113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1114</v>
      </c>
      <c r="D13" t="s">
        <v>1048</v>
      </c>
      <c r="E13" t="s">
        <v>1115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1116</v>
      </c>
      <c r="D14" t="s">
        <v>1048</v>
      </c>
      <c r="E14" t="s">
        <v>1117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1118</v>
      </c>
      <c r="D15" t="s">
        <v>1048</v>
      </c>
      <c r="E15" t="s">
        <v>1119</v>
      </c>
      <c r="F15" t="s">
        <v>85</v>
      </c>
      <c r="G15" t="s">
        <v>86</v>
      </c>
      <c r="H15" t="s">
        <v>15</v>
      </c>
      <c r="I15" t="s">
        <v>16</v>
      </c>
    </row>
    <row r="16" spans="2:9" x14ac:dyDescent="0.45">
      <c r="B16" t="s">
        <v>9</v>
      </c>
      <c r="C16" t="s">
        <v>1120</v>
      </c>
      <c r="D16" t="s">
        <v>1048</v>
      </c>
      <c r="E16" t="s">
        <v>1121</v>
      </c>
      <c r="F16" t="s">
        <v>85</v>
      </c>
      <c r="G16" t="s">
        <v>86</v>
      </c>
      <c r="H16" t="s">
        <v>15</v>
      </c>
      <c r="I16" t="s">
        <v>16</v>
      </c>
    </row>
    <row r="17" spans="2:9" x14ac:dyDescent="0.45">
      <c r="B17" t="s">
        <v>9</v>
      </c>
      <c r="C17" t="s">
        <v>1122</v>
      </c>
      <c r="D17" t="s">
        <v>1048</v>
      </c>
      <c r="E17" t="s">
        <v>1123</v>
      </c>
      <c r="F17" t="s">
        <v>85</v>
      </c>
      <c r="G17" t="s">
        <v>86</v>
      </c>
      <c r="H17" t="s">
        <v>15</v>
      </c>
      <c r="I17" t="s">
        <v>16</v>
      </c>
    </row>
    <row r="18" spans="2:9" x14ac:dyDescent="0.45">
      <c r="B18" t="s">
        <v>9</v>
      </c>
      <c r="C18" t="s">
        <v>1124</v>
      </c>
      <c r="D18" t="s">
        <v>1048</v>
      </c>
      <c r="E18" t="s">
        <v>1125</v>
      </c>
      <c r="F18" t="s">
        <v>85</v>
      </c>
      <c r="G18" t="s">
        <v>86</v>
      </c>
      <c r="H18" t="s">
        <v>15</v>
      </c>
      <c r="I18" t="s">
        <v>16</v>
      </c>
    </row>
    <row r="19" spans="2:9" x14ac:dyDescent="0.45">
      <c r="B19" t="s">
        <v>9</v>
      </c>
      <c r="C19" t="s">
        <v>1126</v>
      </c>
      <c r="D19" t="s">
        <v>1048</v>
      </c>
      <c r="E19" t="s">
        <v>1127</v>
      </c>
      <c r="F19" t="s">
        <v>85</v>
      </c>
      <c r="G19" t="s">
        <v>86</v>
      </c>
      <c r="H19" t="s">
        <v>15</v>
      </c>
      <c r="I19" t="s">
        <v>16</v>
      </c>
    </row>
    <row r="20" spans="2:9" x14ac:dyDescent="0.45">
      <c r="B20" t="s">
        <v>9</v>
      </c>
      <c r="C20" t="s">
        <v>1128</v>
      </c>
      <c r="D20" t="s">
        <v>1048</v>
      </c>
      <c r="E20" t="s">
        <v>1129</v>
      </c>
      <c r="F20" t="s">
        <v>85</v>
      </c>
      <c r="G20" t="s">
        <v>86</v>
      </c>
      <c r="H20" t="s">
        <v>15</v>
      </c>
      <c r="I20" t="s">
        <v>16</v>
      </c>
    </row>
    <row r="21" spans="2:9" x14ac:dyDescent="0.45">
      <c r="B21" t="s">
        <v>9</v>
      </c>
      <c r="C21" t="s">
        <v>1130</v>
      </c>
      <c r="D21" t="s">
        <v>1048</v>
      </c>
      <c r="E21" t="s">
        <v>1131</v>
      </c>
      <c r="F21" t="s">
        <v>85</v>
      </c>
      <c r="G21" t="s">
        <v>86</v>
      </c>
      <c r="H21" t="s">
        <v>15</v>
      </c>
      <c r="I21" t="s">
        <v>16</v>
      </c>
    </row>
    <row r="22" spans="2:9" x14ac:dyDescent="0.45">
      <c r="B22" t="s">
        <v>9</v>
      </c>
      <c r="C22" t="s">
        <v>1132</v>
      </c>
      <c r="D22" t="s">
        <v>1048</v>
      </c>
      <c r="E22" t="s">
        <v>1133</v>
      </c>
      <c r="F22" t="s">
        <v>85</v>
      </c>
      <c r="G22" t="s">
        <v>86</v>
      </c>
      <c r="H22" t="s">
        <v>15</v>
      </c>
      <c r="I22" t="s">
        <v>16</v>
      </c>
    </row>
    <row r="23" spans="2:9" x14ac:dyDescent="0.45">
      <c r="B23" t="s">
        <v>9</v>
      </c>
      <c r="C23" t="s">
        <v>1134</v>
      </c>
      <c r="D23" t="s">
        <v>1048</v>
      </c>
      <c r="E23" t="s">
        <v>1135</v>
      </c>
      <c r="F23" t="s">
        <v>85</v>
      </c>
      <c r="G23" t="s">
        <v>86</v>
      </c>
      <c r="H23" t="s">
        <v>15</v>
      </c>
      <c r="I23" t="s">
        <v>16</v>
      </c>
    </row>
    <row r="24" spans="2:9" x14ac:dyDescent="0.45">
      <c r="B24" t="s">
        <v>9</v>
      </c>
      <c r="C24" t="s">
        <v>1136</v>
      </c>
      <c r="D24" t="s">
        <v>1048</v>
      </c>
      <c r="E24" t="s">
        <v>1137</v>
      </c>
      <c r="F24" t="s">
        <v>85</v>
      </c>
      <c r="G24" t="s">
        <v>86</v>
      </c>
      <c r="H24" t="s">
        <v>15</v>
      </c>
      <c r="I24" t="s">
        <v>16</v>
      </c>
    </row>
    <row r="25" spans="2:9" x14ac:dyDescent="0.45">
      <c r="B25" t="s">
        <v>9</v>
      </c>
      <c r="C25" t="s">
        <v>1138</v>
      </c>
      <c r="D25" t="s">
        <v>1048</v>
      </c>
      <c r="E25" t="s">
        <v>1139</v>
      </c>
      <c r="F25" t="s">
        <v>85</v>
      </c>
      <c r="G25" t="s">
        <v>86</v>
      </c>
      <c r="H25" t="s">
        <v>15</v>
      </c>
      <c r="I25" t="s">
        <v>16</v>
      </c>
    </row>
    <row r="26" spans="2:9" x14ac:dyDescent="0.45">
      <c r="B26" t="s">
        <v>9</v>
      </c>
      <c r="C26" t="s">
        <v>1140</v>
      </c>
      <c r="D26" t="s">
        <v>1048</v>
      </c>
      <c r="E26" t="s">
        <v>1141</v>
      </c>
      <c r="F26" t="s">
        <v>85</v>
      </c>
      <c r="G26" t="s">
        <v>86</v>
      </c>
      <c r="H26" t="s">
        <v>15</v>
      </c>
      <c r="I26" t="s">
        <v>16</v>
      </c>
    </row>
    <row r="27" spans="2:9" x14ac:dyDescent="0.45">
      <c r="B27" t="s">
        <v>9</v>
      </c>
      <c r="C27" t="s">
        <v>1142</v>
      </c>
      <c r="D27" t="s">
        <v>1048</v>
      </c>
      <c r="E27" t="s">
        <v>1143</v>
      </c>
      <c r="F27" t="s">
        <v>85</v>
      </c>
      <c r="G27" t="s">
        <v>86</v>
      </c>
      <c r="H27" t="s">
        <v>15</v>
      </c>
      <c r="I27" t="s">
        <v>16</v>
      </c>
    </row>
    <row r="28" spans="2:9" x14ac:dyDescent="0.45">
      <c r="B28" t="s">
        <v>9</v>
      </c>
      <c r="C28" t="s">
        <v>1144</v>
      </c>
      <c r="D28" t="s">
        <v>1048</v>
      </c>
      <c r="E28" t="s">
        <v>1145</v>
      </c>
      <c r="F28" t="s">
        <v>85</v>
      </c>
      <c r="G28" t="s">
        <v>86</v>
      </c>
      <c r="H28" t="s">
        <v>15</v>
      </c>
      <c r="I28" t="s">
        <v>16</v>
      </c>
    </row>
    <row r="29" spans="2:9" x14ac:dyDescent="0.45">
      <c r="B29" t="s">
        <v>9</v>
      </c>
      <c r="C29" t="s">
        <v>1146</v>
      </c>
      <c r="D29" t="s">
        <v>1048</v>
      </c>
      <c r="E29" t="s">
        <v>1147</v>
      </c>
      <c r="F29" t="s">
        <v>85</v>
      </c>
      <c r="G29" t="s">
        <v>86</v>
      </c>
      <c r="H29" t="s">
        <v>15</v>
      </c>
      <c r="I29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85BD-BFC5-45C9-A961-6B4DF7B17852}">
  <dimension ref="B3:S67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1148</v>
      </c>
      <c r="O5" t="s">
        <v>1048</v>
      </c>
      <c r="P5" t="s">
        <v>1149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1150</v>
      </c>
      <c r="O6" t="s">
        <v>1048</v>
      </c>
      <c r="P6" t="s">
        <v>1151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1152</v>
      </c>
      <c r="O7" t="s">
        <v>1048</v>
      </c>
      <c r="P7" t="s">
        <v>1153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1154</v>
      </c>
      <c r="O8" t="s">
        <v>1048</v>
      </c>
      <c r="P8" t="s">
        <v>1155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1156</v>
      </c>
      <c r="O9" t="s">
        <v>1048</v>
      </c>
      <c r="P9" t="s">
        <v>1157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1158</v>
      </c>
      <c r="O10" t="s">
        <v>1048</v>
      </c>
      <c r="P10" t="s">
        <v>1159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1160</v>
      </c>
      <c r="O11" t="s">
        <v>1048</v>
      </c>
      <c r="P11" t="s">
        <v>1161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1162</v>
      </c>
      <c r="O12" t="s">
        <v>1048</v>
      </c>
      <c r="P12" t="s">
        <v>1163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1164</v>
      </c>
      <c r="O13" t="s">
        <v>1048</v>
      </c>
      <c r="P13" t="s">
        <v>1165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1166</v>
      </c>
      <c r="O14" t="s">
        <v>1048</v>
      </c>
      <c r="P14" t="s">
        <v>1167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1168</v>
      </c>
      <c r="O15" t="s">
        <v>1048</v>
      </c>
      <c r="P15" t="s">
        <v>1169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1170</v>
      </c>
      <c r="O16" t="s">
        <v>1048</v>
      </c>
      <c r="P16" t="s">
        <v>1171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1172</v>
      </c>
      <c r="O17" t="s">
        <v>1048</v>
      </c>
      <c r="P17" t="s">
        <v>1173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1174</v>
      </c>
      <c r="O18" t="s">
        <v>1048</v>
      </c>
      <c r="P18" t="s">
        <v>1175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1176</v>
      </c>
      <c r="O19" t="s">
        <v>1048</v>
      </c>
      <c r="P19" t="s">
        <v>1177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1178</v>
      </c>
      <c r="O20" t="s">
        <v>1048</v>
      </c>
      <c r="P20" t="s">
        <v>1179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  <c r="M21" t="s">
        <v>9</v>
      </c>
      <c r="N21" t="s">
        <v>1180</v>
      </c>
      <c r="O21" t="s">
        <v>1048</v>
      </c>
      <c r="P21" t="s">
        <v>1181</v>
      </c>
      <c r="Q21" t="s">
        <v>85</v>
      </c>
      <c r="R21" t="s">
        <v>86</v>
      </c>
      <c r="S21" t="s">
        <v>16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  <c r="M22" t="s">
        <v>9</v>
      </c>
      <c r="N22" t="s">
        <v>1182</v>
      </c>
      <c r="O22" t="s">
        <v>1048</v>
      </c>
      <c r="P22" t="s">
        <v>1183</v>
      </c>
      <c r="Q22" t="s">
        <v>85</v>
      </c>
      <c r="R22" t="s">
        <v>86</v>
      </c>
      <c r="S22" t="s">
        <v>16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  <c r="M23" t="s">
        <v>9</v>
      </c>
      <c r="N23" t="s">
        <v>1184</v>
      </c>
      <c r="O23" t="s">
        <v>1048</v>
      </c>
      <c r="P23" t="s">
        <v>1185</v>
      </c>
      <c r="Q23" t="s">
        <v>85</v>
      </c>
      <c r="R23" t="s">
        <v>86</v>
      </c>
      <c r="S23" t="s">
        <v>16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  <c r="M24" t="s">
        <v>9</v>
      </c>
      <c r="N24" t="s">
        <v>1186</v>
      </c>
      <c r="O24" t="s">
        <v>1048</v>
      </c>
      <c r="P24" t="s">
        <v>1187</v>
      </c>
      <c r="Q24" t="s">
        <v>85</v>
      </c>
      <c r="R24" t="s">
        <v>86</v>
      </c>
      <c r="S24" t="s">
        <v>16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  <c r="M25" t="s">
        <v>9</v>
      </c>
      <c r="N25" t="s">
        <v>1188</v>
      </c>
      <c r="O25" t="s">
        <v>1048</v>
      </c>
      <c r="P25" t="s">
        <v>1189</v>
      </c>
      <c r="Q25" t="s">
        <v>85</v>
      </c>
      <c r="R25" t="s">
        <v>86</v>
      </c>
      <c r="S25" t="s">
        <v>16</v>
      </c>
    </row>
    <row r="26" spans="2:19" x14ac:dyDescent="0.45">
      <c r="B26" t="s">
        <v>229</v>
      </c>
      <c r="C26" t="s">
        <v>235</v>
      </c>
      <c r="E26" t="s">
        <v>232</v>
      </c>
      <c r="M26" t="s">
        <v>9</v>
      </c>
      <c r="N26" t="s">
        <v>1190</v>
      </c>
      <c r="O26" t="s">
        <v>1048</v>
      </c>
      <c r="P26" t="s">
        <v>1191</v>
      </c>
      <c r="Q26" t="s">
        <v>85</v>
      </c>
      <c r="R26" t="s">
        <v>86</v>
      </c>
      <c r="S26" t="s">
        <v>16</v>
      </c>
    </row>
    <row r="27" spans="2:19" x14ac:dyDescent="0.45">
      <c r="B27" t="s">
        <v>229</v>
      </c>
      <c r="C27" t="s">
        <v>238</v>
      </c>
      <c r="E27" t="s">
        <v>232</v>
      </c>
      <c r="M27" t="s">
        <v>9</v>
      </c>
      <c r="N27" t="s">
        <v>1192</v>
      </c>
      <c r="O27" t="s">
        <v>1048</v>
      </c>
      <c r="P27" t="s">
        <v>1193</v>
      </c>
      <c r="Q27" t="s">
        <v>85</v>
      </c>
      <c r="R27" t="s">
        <v>86</v>
      </c>
      <c r="S27" t="s">
        <v>16</v>
      </c>
    </row>
    <row r="28" spans="2:19" x14ac:dyDescent="0.45">
      <c r="M28" t="s">
        <v>9</v>
      </c>
      <c r="N28" t="s">
        <v>1194</v>
      </c>
      <c r="O28" t="s">
        <v>1048</v>
      </c>
      <c r="P28" t="s">
        <v>1195</v>
      </c>
      <c r="Q28" t="s">
        <v>85</v>
      </c>
      <c r="R28" t="s">
        <v>86</v>
      </c>
      <c r="S28" t="s">
        <v>16</v>
      </c>
    </row>
    <row r="29" spans="2:19" x14ac:dyDescent="0.45">
      <c r="M29" t="s">
        <v>9</v>
      </c>
      <c r="N29" t="s">
        <v>1196</v>
      </c>
      <c r="O29" t="s">
        <v>1048</v>
      </c>
      <c r="P29" t="s">
        <v>1197</v>
      </c>
      <c r="Q29" t="s">
        <v>85</v>
      </c>
      <c r="R29" t="s">
        <v>86</v>
      </c>
      <c r="S29" t="s">
        <v>16</v>
      </c>
    </row>
    <row r="30" spans="2:19" ht="17.25" thickBot="1" x14ac:dyDescent="0.55000000000000004">
      <c r="B30" s="1" t="s">
        <v>245</v>
      </c>
      <c r="C30" s="2"/>
      <c r="D30" s="2"/>
      <c r="M30" t="s">
        <v>9</v>
      </c>
      <c r="N30" t="s">
        <v>1198</v>
      </c>
      <c r="O30" t="s">
        <v>1048</v>
      </c>
      <c r="P30" t="s">
        <v>1199</v>
      </c>
      <c r="Q30" t="s">
        <v>85</v>
      </c>
      <c r="R30" t="s">
        <v>86</v>
      </c>
      <c r="S30" t="s">
        <v>16</v>
      </c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  <c r="M31" t="s">
        <v>9</v>
      </c>
      <c r="N31" t="s">
        <v>1200</v>
      </c>
      <c r="O31" t="s">
        <v>1048</v>
      </c>
      <c r="P31" t="s">
        <v>1201</v>
      </c>
      <c r="Q31" t="s">
        <v>85</v>
      </c>
      <c r="R31" t="s">
        <v>86</v>
      </c>
      <c r="S31" t="s">
        <v>16</v>
      </c>
    </row>
    <row r="32" spans="2:19" x14ac:dyDescent="0.45">
      <c r="B32" t="s">
        <v>253</v>
      </c>
      <c r="C32" t="s">
        <v>254</v>
      </c>
      <c r="D32" t="s">
        <v>255</v>
      </c>
      <c r="M32" t="s">
        <v>9</v>
      </c>
      <c r="N32" t="s">
        <v>1202</v>
      </c>
      <c r="O32" t="s">
        <v>1048</v>
      </c>
      <c r="P32" t="s">
        <v>1203</v>
      </c>
      <c r="Q32" t="s">
        <v>85</v>
      </c>
      <c r="R32" t="s">
        <v>86</v>
      </c>
      <c r="S32" t="s">
        <v>16</v>
      </c>
    </row>
    <row r="33" spans="2:19" x14ac:dyDescent="0.45">
      <c r="M33" t="s">
        <v>9</v>
      </c>
      <c r="N33" t="s">
        <v>1204</v>
      </c>
      <c r="O33" t="s">
        <v>1048</v>
      </c>
      <c r="P33" t="s">
        <v>1205</v>
      </c>
      <c r="Q33" t="s">
        <v>85</v>
      </c>
      <c r="R33" t="s">
        <v>86</v>
      </c>
      <c r="S33" t="s">
        <v>16</v>
      </c>
    </row>
    <row r="34" spans="2:19" x14ac:dyDescent="0.45">
      <c r="M34" t="s">
        <v>9</v>
      </c>
      <c r="N34" t="s">
        <v>1206</v>
      </c>
      <c r="O34" t="s">
        <v>1048</v>
      </c>
      <c r="P34" t="s">
        <v>1207</v>
      </c>
      <c r="Q34" t="s">
        <v>85</v>
      </c>
      <c r="R34" t="s">
        <v>86</v>
      </c>
      <c r="S34" t="s">
        <v>16</v>
      </c>
    </row>
    <row r="35" spans="2:19" x14ac:dyDescent="0.45">
      <c r="M35" t="s">
        <v>9</v>
      </c>
      <c r="N35" t="s">
        <v>1208</v>
      </c>
      <c r="O35" t="s">
        <v>1048</v>
      </c>
      <c r="P35" t="s">
        <v>1209</v>
      </c>
      <c r="Q35" t="s">
        <v>85</v>
      </c>
      <c r="R35" t="s">
        <v>86</v>
      </c>
      <c r="S35" t="s">
        <v>16</v>
      </c>
    </row>
    <row r="36" spans="2:19" x14ac:dyDescent="0.45">
      <c r="M36" t="s">
        <v>9</v>
      </c>
      <c r="N36" t="s">
        <v>1210</v>
      </c>
      <c r="O36" t="s">
        <v>1048</v>
      </c>
      <c r="P36" t="s">
        <v>1211</v>
      </c>
      <c r="Q36" t="s">
        <v>85</v>
      </c>
      <c r="R36" t="s">
        <v>86</v>
      </c>
      <c r="S36" t="s">
        <v>16</v>
      </c>
    </row>
    <row r="37" spans="2:19" x14ac:dyDescent="0.45">
      <c r="M37" t="s">
        <v>9</v>
      </c>
      <c r="N37" t="s">
        <v>1212</v>
      </c>
      <c r="O37" t="s">
        <v>1048</v>
      </c>
      <c r="P37" t="s">
        <v>1213</v>
      </c>
      <c r="Q37" t="s">
        <v>85</v>
      </c>
      <c r="R37" t="s">
        <v>86</v>
      </c>
      <c r="S37" t="s">
        <v>16</v>
      </c>
    </row>
    <row r="38" spans="2:19" ht="17.25" thickBot="1" x14ac:dyDescent="0.55000000000000004">
      <c r="B38" s="1" t="s">
        <v>153</v>
      </c>
      <c r="C38" s="2"/>
      <c r="D38" s="2"/>
      <c r="M38" t="s">
        <v>9</v>
      </c>
      <c r="N38" t="s">
        <v>1214</v>
      </c>
      <c r="O38" t="s">
        <v>1048</v>
      </c>
      <c r="P38" t="s">
        <v>1215</v>
      </c>
      <c r="Q38" t="s">
        <v>85</v>
      </c>
      <c r="R38" t="s">
        <v>86</v>
      </c>
      <c r="S38" t="s">
        <v>16</v>
      </c>
    </row>
    <row r="39" spans="2:19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  <c r="M39" t="s">
        <v>9</v>
      </c>
      <c r="N39" t="s">
        <v>1216</v>
      </c>
      <c r="O39" t="s">
        <v>1048</v>
      </c>
      <c r="P39" t="s">
        <v>1217</v>
      </c>
      <c r="Q39" t="s">
        <v>85</v>
      </c>
      <c r="R39" t="s">
        <v>86</v>
      </c>
      <c r="S39" t="s">
        <v>16</v>
      </c>
    </row>
    <row r="40" spans="2:19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  <c r="M40" t="s">
        <v>9</v>
      </c>
      <c r="N40" t="s">
        <v>1218</v>
      </c>
      <c r="O40" t="s">
        <v>1048</v>
      </c>
      <c r="P40" t="s">
        <v>1219</v>
      </c>
      <c r="Q40" t="s">
        <v>85</v>
      </c>
      <c r="R40" t="s">
        <v>86</v>
      </c>
      <c r="S40" t="s">
        <v>16</v>
      </c>
    </row>
    <row r="41" spans="2:19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  <c r="M41" t="s">
        <v>9</v>
      </c>
      <c r="N41" t="s">
        <v>1220</v>
      </c>
      <c r="O41" t="s">
        <v>1048</v>
      </c>
      <c r="P41" t="s">
        <v>1221</v>
      </c>
      <c r="Q41" t="s">
        <v>85</v>
      </c>
      <c r="R41" t="s">
        <v>86</v>
      </c>
      <c r="S41" t="s">
        <v>16</v>
      </c>
    </row>
    <row r="42" spans="2:19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  <c r="M42" t="s">
        <v>9</v>
      </c>
      <c r="N42" t="s">
        <v>1222</v>
      </c>
      <c r="O42" t="s">
        <v>1048</v>
      </c>
      <c r="P42" t="s">
        <v>1223</v>
      </c>
      <c r="Q42" t="s">
        <v>85</v>
      </c>
      <c r="R42" t="s">
        <v>86</v>
      </c>
      <c r="S42" t="s">
        <v>16</v>
      </c>
    </row>
    <row r="43" spans="2:19" x14ac:dyDescent="0.45">
      <c r="C43" t="s">
        <v>287</v>
      </c>
      <c r="D43" t="s">
        <v>288</v>
      </c>
      <c r="E43" t="s">
        <v>289</v>
      </c>
      <c r="F43" t="s">
        <v>290</v>
      </c>
      <c r="M43" t="s">
        <v>9</v>
      </c>
      <c r="N43" t="s">
        <v>1224</v>
      </c>
      <c r="O43" t="s">
        <v>1048</v>
      </c>
      <c r="P43" t="s">
        <v>1225</v>
      </c>
      <c r="Q43" t="s">
        <v>85</v>
      </c>
      <c r="R43" t="s">
        <v>86</v>
      </c>
      <c r="S43" t="s">
        <v>16</v>
      </c>
    </row>
    <row r="44" spans="2:19" x14ac:dyDescent="0.45">
      <c r="M44" t="s">
        <v>9</v>
      </c>
      <c r="N44" t="s">
        <v>1226</v>
      </c>
      <c r="O44" t="s">
        <v>1048</v>
      </c>
      <c r="P44" t="s">
        <v>1227</v>
      </c>
      <c r="Q44" t="s">
        <v>85</v>
      </c>
      <c r="R44" t="s">
        <v>86</v>
      </c>
      <c r="S44" t="s">
        <v>16</v>
      </c>
    </row>
    <row r="45" spans="2:19" x14ac:dyDescent="0.45">
      <c r="M45" t="s">
        <v>9</v>
      </c>
      <c r="N45" t="s">
        <v>1228</v>
      </c>
      <c r="O45" t="s">
        <v>1048</v>
      </c>
      <c r="P45" t="s">
        <v>1229</v>
      </c>
      <c r="Q45" t="s">
        <v>85</v>
      </c>
      <c r="R45" t="s">
        <v>86</v>
      </c>
      <c r="S45" t="s">
        <v>16</v>
      </c>
    </row>
    <row r="46" spans="2:19" x14ac:dyDescent="0.45">
      <c r="M46" t="s">
        <v>9</v>
      </c>
      <c r="N46" t="s">
        <v>1230</v>
      </c>
      <c r="O46" t="s">
        <v>1048</v>
      </c>
      <c r="P46" t="s">
        <v>1231</v>
      </c>
      <c r="Q46" t="s">
        <v>85</v>
      </c>
      <c r="R46" t="s">
        <v>86</v>
      </c>
      <c r="S46" t="s">
        <v>16</v>
      </c>
    </row>
    <row r="47" spans="2:19" x14ac:dyDescent="0.45">
      <c r="M47" t="s">
        <v>9</v>
      </c>
      <c r="N47" t="s">
        <v>1232</v>
      </c>
      <c r="O47" t="s">
        <v>1048</v>
      </c>
      <c r="P47" t="s">
        <v>1233</v>
      </c>
      <c r="Q47" t="s">
        <v>85</v>
      </c>
      <c r="R47" t="s">
        <v>86</v>
      </c>
      <c r="S47" t="s">
        <v>16</v>
      </c>
    </row>
    <row r="48" spans="2:19" x14ac:dyDescent="0.45">
      <c r="M48" t="s">
        <v>9</v>
      </c>
      <c r="N48" t="s">
        <v>1234</v>
      </c>
      <c r="O48" t="s">
        <v>1048</v>
      </c>
      <c r="P48" t="s">
        <v>1235</v>
      </c>
      <c r="Q48" t="s">
        <v>85</v>
      </c>
      <c r="R48" t="s">
        <v>86</v>
      </c>
      <c r="S48" t="s">
        <v>16</v>
      </c>
    </row>
    <row r="49" spans="13:19" x14ac:dyDescent="0.45">
      <c r="M49" t="s">
        <v>9</v>
      </c>
      <c r="N49" t="s">
        <v>1236</v>
      </c>
      <c r="O49" t="s">
        <v>1048</v>
      </c>
      <c r="P49" t="s">
        <v>1237</v>
      </c>
      <c r="Q49" t="s">
        <v>85</v>
      </c>
      <c r="R49" t="s">
        <v>86</v>
      </c>
      <c r="S49" t="s">
        <v>16</v>
      </c>
    </row>
    <row r="50" spans="13:19" x14ac:dyDescent="0.45">
      <c r="M50" t="s">
        <v>9</v>
      </c>
      <c r="N50" t="s">
        <v>1238</v>
      </c>
      <c r="O50" t="s">
        <v>1048</v>
      </c>
      <c r="P50" t="s">
        <v>1239</v>
      </c>
      <c r="Q50" t="s">
        <v>85</v>
      </c>
      <c r="R50" t="s">
        <v>86</v>
      </c>
      <c r="S50" t="s">
        <v>16</v>
      </c>
    </row>
    <row r="51" spans="13:19" x14ac:dyDescent="0.45">
      <c r="M51" t="s">
        <v>9</v>
      </c>
      <c r="N51" t="s">
        <v>1240</v>
      </c>
      <c r="O51" t="s">
        <v>1048</v>
      </c>
      <c r="P51" t="s">
        <v>1241</v>
      </c>
      <c r="Q51" t="s">
        <v>85</v>
      </c>
      <c r="R51" t="s">
        <v>86</v>
      </c>
      <c r="S51" t="s">
        <v>16</v>
      </c>
    </row>
    <row r="52" spans="13:19" x14ac:dyDescent="0.45">
      <c r="M52" t="s">
        <v>9</v>
      </c>
      <c r="N52" t="s">
        <v>1242</v>
      </c>
      <c r="O52" t="s">
        <v>1048</v>
      </c>
      <c r="P52" t="s">
        <v>1243</v>
      </c>
      <c r="Q52" t="s">
        <v>85</v>
      </c>
      <c r="R52" t="s">
        <v>86</v>
      </c>
      <c r="S52" t="s">
        <v>16</v>
      </c>
    </row>
    <row r="53" spans="13:19" x14ac:dyDescent="0.45">
      <c r="M53" t="s">
        <v>9</v>
      </c>
      <c r="N53" t="s">
        <v>1244</v>
      </c>
      <c r="O53" t="s">
        <v>1048</v>
      </c>
      <c r="P53" t="s">
        <v>1245</v>
      </c>
      <c r="Q53" t="s">
        <v>85</v>
      </c>
      <c r="R53" t="s">
        <v>86</v>
      </c>
      <c r="S53" t="s">
        <v>16</v>
      </c>
    </row>
    <row r="54" spans="13:19" x14ac:dyDescent="0.45">
      <c r="M54" t="s">
        <v>9</v>
      </c>
      <c r="N54" t="s">
        <v>1246</v>
      </c>
      <c r="O54" t="s">
        <v>1048</v>
      </c>
      <c r="P54" t="s">
        <v>1247</v>
      </c>
      <c r="Q54" t="s">
        <v>85</v>
      </c>
      <c r="R54" t="s">
        <v>86</v>
      </c>
      <c r="S54" t="s">
        <v>16</v>
      </c>
    </row>
    <row r="55" spans="13:19" x14ac:dyDescent="0.45">
      <c r="M55" t="s">
        <v>9</v>
      </c>
      <c r="N55" t="s">
        <v>1248</v>
      </c>
      <c r="O55" t="s">
        <v>1048</v>
      </c>
      <c r="P55" t="s">
        <v>1249</v>
      </c>
      <c r="Q55" t="s">
        <v>85</v>
      </c>
      <c r="R55" t="s">
        <v>86</v>
      </c>
      <c r="S55" t="s">
        <v>16</v>
      </c>
    </row>
    <row r="56" spans="13:19" x14ac:dyDescent="0.45">
      <c r="M56" t="s">
        <v>9</v>
      </c>
      <c r="N56" t="s">
        <v>1250</v>
      </c>
      <c r="O56" t="s">
        <v>1048</v>
      </c>
      <c r="P56" t="s">
        <v>1251</v>
      </c>
      <c r="Q56" t="s">
        <v>85</v>
      </c>
      <c r="R56" t="s">
        <v>86</v>
      </c>
      <c r="S56" t="s">
        <v>16</v>
      </c>
    </row>
    <row r="57" spans="13:19" x14ac:dyDescent="0.45">
      <c r="M57" t="s">
        <v>9</v>
      </c>
      <c r="N57" t="s">
        <v>1252</v>
      </c>
      <c r="O57" t="s">
        <v>1048</v>
      </c>
      <c r="P57" t="s">
        <v>1253</v>
      </c>
      <c r="Q57" t="s">
        <v>85</v>
      </c>
      <c r="R57" t="s">
        <v>86</v>
      </c>
      <c r="S57" t="s">
        <v>16</v>
      </c>
    </row>
    <row r="58" spans="13:19" x14ac:dyDescent="0.45">
      <c r="M58" t="s">
        <v>9</v>
      </c>
      <c r="N58" t="s">
        <v>1254</v>
      </c>
      <c r="O58" t="s">
        <v>1048</v>
      </c>
      <c r="P58" t="s">
        <v>1255</v>
      </c>
      <c r="Q58" t="s">
        <v>85</v>
      </c>
      <c r="R58" t="s">
        <v>86</v>
      </c>
      <c r="S58" t="s">
        <v>16</v>
      </c>
    </row>
    <row r="59" spans="13:19" x14ac:dyDescent="0.45">
      <c r="M59" t="s">
        <v>9</v>
      </c>
      <c r="N59" t="s">
        <v>1256</v>
      </c>
      <c r="O59" t="s">
        <v>1048</v>
      </c>
      <c r="P59" t="s">
        <v>1257</v>
      </c>
      <c r="Q59" t="s">
        <v>85</v>
      </c>
      <c r="R59" t="s">
        <v>86</v>
      </c>
      <c r="S59" t="s">
        <v>16</v>
      </c>
    </row>
    <row r="60" spans="13:19" x14ac:dyDescent="0.45">
      <c r="M60" t="s">
        <v>9</v>
      </c>
      <c r="N60" t="s">
        <v>1258</v>
      </c>
      <c r="O60" t="s">
        <v>1048</v>
      </c>
      <c r="P60" t="s">
        <v>1259</v>
      </c>
      <c r="Q60" t="s">
        <v>85</v>
      </c>
      <c r="R60" t="s">
        <v>86</v>
      </c>
      <c r="S60" t="s">
        <v>16</v>
      </c>
    </row>
    <row r="61" spans="13:19" x14ac:dyDescent="0.45">
      <c r="M61" t="s">
        <v>9</v>
      </c>
      <c r="N61" t="s">
        <v>1260</v>
      </c>
      <c r="O61" t="s">
        <v>1048</v>
      </c>
      <c r="P61" t="s">
        <v>1261</v>
      </c>
      <c r="Q61" t="s">
        <v>85</v>
      </c>
      <c r="R61" t="s">
        <v>86</v>
      </c>
      <c r="S61" t="s">
        <v>16</v>
      </c>
    </row>
    <row r="62" spans="13:19" x14ac:dyDescent="0.45">
      <c r="M62" t="s">
        <v>9</v>
      </c>
      <c r="N62" t="s">
        <v>1262</v>
      </c>
      <c r="O62" t="s">
        <v>1048</v>
      </c>
      <c r="P62" t="s">
        <v>1263</v>
      </c>
      <c r="Q62" t="s">
        <v>85</v>
      </c>
      <c r="R62" t="s">
        <v>86</v>
      </c>
      <c r="S62" t="s">
        <v>16</v>
      </c>
    </row>
    <row r="63" spans="13:19" x14ac:dyDescent="0.45">
      <c r="M63" t="s">
        <v>9</v>
      </c>
      <c r="N63" t="s">
        <v>1264</v>
      </c>
      <c r="O63" t="s">
        <v>1048</v>
      </c>
      <c r="P63" t="s">
        <v>1265</v>
      </c>
      <c r="Q63" t="s">
        <v>85</v>
      </c>
      <c r="R63" t="s">
        <v>86</v>
      </c>
      <c r="S63" t="s">
        <v>16</v>
      </c>
    </row>
    <row r="64" spans="13:19" x14ac:dyDescent="0.45">
      <c r="M64" t="s">
        <v>9</v>
      </c>
      <c r="N64" t="s">
        <v>1266</v>
      </c>
      <c r="O64" t="s">
        <v>1048</v>
      </c>
      <c r="P64" t="s">
        <v>1267</v>
      </c>
      <c r="Q64" t="s">
        <v>85</v>
      </c>
      <c r="R64" t="s">
        <v>86</v>
      </c>
      <c r="S64" t="s">
        <v>16</v>
      </c>
    </row>
    <row r="65" spans="13:19" x14ac:dyDescent="0.45">
      <c r="M65" t="s">
        <v>9</v>
      </c>
      <c r="N65" t="s">
        <v>1268</v>
      </c>
      <c r="O65" t="s">
        <v>1048</v>
      </c>
      <c r="P65" t="s">
        <v>1269</v>
      </c>
      <c r="Q65" t="s">
        <v>85</v>
      </c>
      <c r="R65" t="s">
        <v>86</v>
      </c>
      <c r="S65" t="s">
        <v>16</v>
      </c>
    </row>
    <row r="66" spans="13:19" x14ac:dyDescent="0.45">
      <c r="M66" t="s">
        <v>9</v>
      </c>
      <c r="N66" t="s">
        <v>1270</v>
      </c>
      <c r="O66" t="s">
        <v>1048</v>
      </c>
      <c r="P66" t="s">
        <v>1271</v>
      </c>
      <c r="Q66" t="s">
        <v>85</v>
      </c>
      <c r="R66" t="s">
        <v>86</v>
      </c>
      <c r="S66" t="s">
        <v>16</v>
      </c>
    </row>
    <row r="67" spans="13:19" x14ac:dyDescent="0.45">
      <c r="M67" t="s">
        <v>9</v>
      </c>
      <c r="N67" t="s">
        <v>1272</v>
      </c>
      <c r="O67" t="s">
        <v>1048</v>
      </c>
      <c r="P67" t="s">
        <v>1273</v>
      </c>
      <c r="Q67" t="s">
        <v>85</v>
      </c>
      <c r="R67" t="s">
        <v>86</v>
      </c>
      <c r="S67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2921-B610-4097-8764-025C57CD4730}">
  <dimension ref="B3:I21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1274</v>
      </c>
      <c r="D5" t="s">
        <v>1275</v>
      </c>
      <c r="E5" t="s">
        <v>1276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1277</v>
      </c>
      <c r="D6" t="s">
        <v>1275</v>
      </c>
      <c r="E6" t="s">
        <v>1278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1279</v>
      </c>
      <c r="D7" t="s">
        <v>1275</v>
      </c>
      <c r="E7" t="s">
        <v>1280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1281</v>
      </c>
      <c r="D8" t="s">
        <v>1275</v>
      </c>
      <c r="E8" t="s">
        <v>1282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1283</v>
      </c>
      <c r="D9" t="s">
        <v>1275</v>
      </c>
      <c r="E9" t="s">
        <v>1284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1285</v>
      </c>
      <c r="D10" t="s">
        <v>1275</v>
      </c>
      <c r="E10" t="s">
        <v>1286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1287</v>
      </c>
      <c r="D11" t="s">
        <v>1275</v>
      </c>
      <c r="E11" t="s">
        <v>1288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1289</v>
      </c>
      <c r="D12" t="s">
        <v>1275</v>
      </c>
      <c r="E12" t="s">
        <v>1290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1291</v>
      </c>
      <c r="D13" t="s">
        <v>1275</v>
      </c>
      <c r="E13" t="s">
        <v>1292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1293</v>
      </c>
      <c r="D14" t="s">
        <v>1275</v>
      </c>
      <c r="E14" t="s">
        <v>1294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1295</v>
      </c>
      <c r="D15" t="s">
        <v>1275</v>
      </c>
      <c r="E15" t="s">
        <v>1296</v>
      </c>
      <c r="F15" t="s">
        <v>13</v>
      </c>
      <c r="G15" t="s">
        <v>14</v>
      </c>
      <c r="H15" t="s">
        <v>15</v>
      </c>
      <c r="I15" t="s">
        <v>16</v>
      </c>
    </row>
    <row r="16" spans="2:9" x14ac:dyDescent="0.45">
      <c r="B16" t="s">
        <v>9</v>
      </c>
      <c r="C16" t="s">
        <v>1297</v>
      </c>
      <c r="D16" t="s">
        <v>1275</v>
      </c>
      <c r="E16" t="s">
        <v>1298</v>
      </c>
      <c r="F16" t="s">
        <v>13</v>
      </c>
      <c r="G16" t="s">
        <v>14</v>
      </c>
      <c r="H16" t="s">
        <v>15</v>
      </c>
      <c r="I16" t="s">
        <v>16</v>
      </c>
    </row>
    <row r="17" spans="2:9" x14ac:dyDescent="0.45">
      <c r="B17" t="s">
        <v>9</v>
      </c>
      <c r="C17" t="s">
        <v>1299</v>
      </c>
      <c r="D17" t="s">
        <v>1275</v>
      </c>
      <c r="E17" t="s">
        <v>1300</v>
      </c>
      <c r="F17" t="s">
        <v>13</v>
      </c>
      <c r="G17" t="s">
        <v>14</v>
      </c>
      <c r="H17" t="s">
        <v>15</v>
      </c>
      <c r="I17" t="s">
        <v>16</v>
      </c>
    </row>
    <row r="18" spans="2:9" x14ac:dyDescent="0.45">
      <c r="B18" t="s">
        <v>9</v>
      </c>
      <c r="C18" t="s">
        <v>1301</v>
      </c>
      <c r="D18" t="s">
        <v>1275</v>
      </c>
      <c r="E18" t="s">
        <v>1302</v>
      </c>
      <c r="F18" t="s">
        <v>13</v>
      </c>
      <c r="G18" t="s">
        <v>14</v>
      </c>
      <c r="H18" t="s">
        <v>15</v>
      </c>
      <c r="I18" t="s">
        <v>16</v>
      </c>
    </row>
    <row r="19" spans="2:9" x14ac:dyDescent="0.45">
      <c r="B19" t="s">
        <v>9</v>
      </c>
      <c r="C19" t="s">
        <v>1303</v>
      </c>
      <c r="D19" t="s">
        <v>1275</v>
      </c>
      <c r="E19" t="s">
        <v>1304</v>
      </c>
      <c r="F19" t="s">
        <v>13</v>
      </c>
      <c r="G19" t="s">
        <v>14</v>
      </c>
      <c r="H19" t="s">
        <v>15</v>
      </c>
      <c r="I19" t="s">
        <v>16</v>
      </c>
    </row>
    <row r="20" spans="2:9" x14ac:dyDescent="0.45">
      <c r="B20" t="s">
        <v>9</v>
      </c>
      <c r="C20" t="s">
        <v>1305</v>
      </c>
      <c r="D20" t="s">
        <v>1275</v>
      </c>
      <c r="E20" t="s">
        <v>1306</v>
      </c>
      <c r="F20" t="s">
        <v>13</v>
      </c>
      <c r="G20" t="s">
        <v>14</v>
      </c>
      <c r="H20" t="s">
        <v>15</v>
      </c>
      <c r="I20" t="s">
        <v>16</v>
      </c>
    </row>
    <row r="21" spans="2:9" x14ac:dyDescent="0.45">
      <c r="B21" t="s">
        <v>9</v>
      </c>
      <c r="C21" t="s">
        <v>1307</v>
      </c>
      <c r="D21" t="s">
        <v>1275</v>
      </c>
      <c r="E21" t="s">
        <v>1308</v>
      </c>
      <c r="F21" t="s">
        <v>13</v>
      </c>
      <c r="G21" t="s">
        <v>14</v>
      </c>
      <c r="H21" t="s">
        <v>15</v>
      </c>
      <c r="I21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3741-F019-415F-926E-A511D970EBD0}">
  <dimension ref="B3:I21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1309</v>
      </c>
      <c r="D5" t="s">
        <v>1275</v>
      </c>
      <c r="E5" t="s">
        <v>1310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1311</v>
      </c>
      <c r="D6" t="s">
        <v>1275</v>
      </c>
      <c r="E6" t="s">
        <v>1312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1313</v>
      </c>
      <c r="D7" t="s">
        <v>1275</v>
      </c>
      <c r="E7" t="s">
        <v>1314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1315</v>
      </c>
      <c r="D8" t="s">
        <v>1275</v>
      </c>
      <c r="E8" t="s">
        <v>1316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1317</v>
      </c>
      <c r="D9" t="s">
        <v>1275</v>
      </c>
      <c r="E9" t="s">
        <v>1318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1319</v>
      </c>
      <c r="D10" t="s">
        <v>1275</v>
      </c>
      <c r="E10" t="s">
        <v>1320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1321</v>
      </c>
      <c r="D11" t="s">
        <v>1275</v>
      </c>
      <c r="E11" t="s">
        <v>1322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1323</v>
      </c>
      <c r="D12" t="s">
        <v>1275</v>
      </c>
      <c r="E12" t="s">
        <v>1324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1325</v>
      </c>
      <c r="D13" t="s">
        <v>1275</v>
      </c>
      <c r="E13" t="s">
        <v>1326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1327</v>
      </c>
      <c r="D14" t="s">
        <v>1275</v>
      </c>
      <c r="E14" t="s">
        <v>1328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1329</v>
      </c>
      <c r="D15" t="s">
        <v>1275</v>
      </c>
      <c r="E15" t="s">
        <v>1330</v>
      </c>
      <c r="F15" t="s">
        <v>85</v>
      </c>
      <c r="G15" t="s">
        <v>86</v>
      </c>
      <c r="H15" t="s">
        <v>15</v>
      </c>
      <c r="I15" t="s">
        <v>16</v>
      </c>
    </row>
    <row r="16" spans="2:9" x14ac:dyDescent="0.45">
      <c r="B16" t="s">
        <v>9</v>
      </c>
      <c r="C16" t="s">
        <v>1331</v>
      </c>
      <c r="D16" t="s">
        <v>1275</v>
      </c>
      <c r="E16" t="s">
        <v>1332</v>
      </c>
      <c r="F16" t="s">
        <v>85</v>
      </c>
      <c r="G16" t="s">
        <v>86</v>
      </c>
      <c r="H16" t="s">
        <v>15</v>
      </c>
      <c r="I16" t="s">
        <v>16</v>
      </c>
    </row>
    <row r="17" spans="2:9" x14ac:dyDescent="0.45">
      <c r="B17" t="s">
        <v>9</v>
      </c>
      <c r="C17" t="s">
        <v>1333</v>
      </c>
      <c r="D17" t="s">
        <v>1275</v>
      </c>
      <c r="E17" t="s">
        <v>1334</v>
      </c>
      <c r="F17" t="s">
        <v>85</v>
      </c>
      <c r="G17" t="s">
        <v>86</v>
      </c>
      <c r="H17" t="s">
        <v>15</v>
      </c>
      <c r="I17" t="s">
        <v>16</v>
      </c>
    </row>
    <row r="18" spans="2:9" x14ac:dyDescent="0.45">
      <c r="B18" t="s">
        <v>9</v>
      </c>
      <c r="C18" t="s">
        <v>1335</v>
      </c>
      <c r="D18" t="s">
        <v>1275</v>
      </c>
      <c r="E18" t="s">
        <v>1336</v>
      </c>
      <c r="F18" t="s">
        <v>85</v>
      </c>
      <c r="G18" t="s">
        <v>86</v>
      </c>
      <c r="H18" t="s">
        <v>15</v>
      </c>
      <c r="I18" t="s">
        <v>16</v>
      </c>
    </row>
    <row r="19" spans="2:9" x14ac:dyDescent="0.45">
      <c r="B19" t="s">
        <v>9</v>
      </c>
      <c r="C19" t="s">
        <v>1337</v>
      </c>
      <c r="D19" t="s">
        <v>1275</v>
      </c>
      <c r="E19" t="s">
        <v>1338</v>
      </c>
      <c r="F19" t="s">
        <v>85</v>
      </c>
      <c r="G19" t="s">
        <v>86</v>
      </c>
      <c r="H19" t="s">
        <v>15</v>
      </c>
      <c r="I19" t="s">
        <v>16</v>
      </c>
    </row>
    <row r="20" spans="2:9" x14ac:dyDescent="0.45">
      <c r="B20" t="s">
        <v>9</v>
      </c>
      <c r="C20" t="s">
        <v>1339</v>
      </c>
      <c r="D20" t="s">
        <v>1275</v>
      </c>
      <c r="E20" t="s">
        <v>1340</v>
      </c>
      <c r="F20" t="s">
        <v>85</v>
      </c>
      <c r="G20" t="s">
        <v>86</v>
      </c>
      <c r="H20" t="s">
        <v>15</v>
      </c>
      <c r="I20" t="s">
        <v>16</v>
      </c>
    </row>
    <row r="21" spans="2:9" x14ac:dyDescent="0.45">
      <c r="B21" t="s">
        <v>9</v>
      </c>
      <c r="C21" t="s">
        <v>1341</v>
      </c>
      <c r="D21" t="s">
        <v>1275</v>
      </c>
      <c r="E21" t="s">
        <v>1342</v>
      </c>
      <c r="F21" t="s">
        <v>85</v>
      </c>
      <c r="G21" t="s">
        <v>86</v>
      </c>
      <c r="H21" t="s">
        <v>15</v>
      </c>
      <c r="I21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7E90-BD65-4660-9650-49BB77424CDF}">
  <dimension ref="B3:S74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1343</v>
      </c>
      <c r="O5" t="s">
        <v>1275</v>
      </c>
      <c r="P5" t="s">
        <v>1344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1345</v>
      </c>
      <c r="O6" t="s">
        <v>1275</v>
      </c>
      <c r="P6" t="s">
        <v>1346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1347</v>
      </c>
      <c r="O7" t="s">
        <v>1275</v>
      </c>
      <c r="P7" t="s">
        <v>1348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1349</v>
      </c>
      <c r="O8" t="s">
        <v>1275</v>
      </c>
      <c r="P8" t="s">
        <v>1350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1351</v>
      </c>
      <c r="O9" t="s">
        <v>1275</v>
      </c>
      <c r="P9" t="s">
        <v>1352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1353</v>
      </c>
      <c r="O10" t="s">
        <v>1275</v>
      </c>
      <c r="P10" t="s">
        <v>1354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1355</v>
      </c>
      <c r="O11" t="s">
        <v>1275</v>
      </c>
      <c r="P11" t="s">
        <v>1356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1357</v>
      </c>
      <c r="O12" t="s">
        <v>1275</v>
      </c>
      <c r="P12" t="s">
        <v>1358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1359</v>
      </c>
      <c r="O13" t="s">
        <v>1275</v>
      </c>
      <c r="P13" t="s">
        <v>1360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1361</v>
      </c>
      <c r="O14" t="s">
        <v>1275</v>
      </c>
      <c r="P14" t="s">
        <v>1362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1363</v>
      </c>
      <c r="O15" t="s">
        <v>1275</v>
      </c>
      <c r="P15" t="s">
        <v>1364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1365</v>
      </c>
      <c r="O16" t="s">
        <v>1275</v>
      </c>
      <c r="P16" t="s">
        <v>1366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1367</v>
      </c>
      <c r="O17" t="s">
        <v>1275</v>
      </c>
      <c r="P17" t="s">
        <v>1368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1369</v>
      </c>
      <c r="O18" t="s">
        <v>1275</v>
      </c>
      <c r="P18" t="s">
        <v>1370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1371</v>
      </c>
      <c r="O19" t="s">
        <v>1275</v>
      </c>
      <c r="P19" t="s">
        <v>1372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1373</v>
      </c>
      <c r="O20" t="s">
        <v>1275</v>
      </c>
      <c r="P20" t="s">
        <v>1374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  <c r="M21" t="s">
        <v>9</v>
      </c>
      <c r="N21" t="s">
        <v>1375</v>
      </c>
      <c r="O21" t="s">
        <v>1275</v>
      </c>
      <c r="P21" t="s">
        <v>1376</v>
      </c>
      <c r="Q21" t="s">
        <v>85</v>
      </c>
      <c r="R21" t="s">
        <v>86</v>
      </c>
      <c r="S21" t="s">
        <v>16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  <c r="M22" t="s">
        <v>9</v>
      </c>
      <c r="N22" t="s">
        <v>1377</v>
      </c>
      <c r="O22" t="s">
        <v>1275</v>
      </c>
      <c r="P22" t="s">
        <v>1378</v>
      </c>
      <c r="Q22" t="s">
        <v>85</v>
      </c>
      <c r="R22" t="s">
        <v>86</v>
      </c>
      <c r="S22" t="s">
        <v>16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  <c r="M23" t="s">
        <v>9</v>
      </c>
      <c r="N23" t="s">
        <v>1379</v>
      </c>
      <c r="O23" t="s">
        <v>1275</v>
      </c>
      <c r="P23" t="s">
        <v>1380</v>
      </c>
      <c r="Q23" t="s">
        <v>85</v>
      </c>
      <c r="R23" t="s">
        <v>86</v>
      </c>
      <c r="S23" t="s">
        <v>16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  <c r="M24" t="s">
        <v>9</v>
      </c>
      <c r="N24" t="s">
        <v>1381</v>
      </c>
      <c r="O24" t="s">
        <v>1275</v>
      </c>
      <c r="P24" t="s">
        <v>1382</v>
      </c>
      <c r="Q24" t="s">
        <v>85</v>
      </c>
      <c r="R24" t="s">
        <v>86</v>
      </c>
      <c r="S24" t="s">
        <v>16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  <c r="M25" t="s">
        <v>9</v>
      </c>
      <c r="N25" t="s">
        <v>1383</v>
      </c>
      <c r="O25" t="s">
        <v>1275</v>
      </c>
      <c r="P25" t="s">
        <v>1384</v>
      </c>
      <c r="Q25" t="s">
        <v>85</v>
      </c>
      <c r="R25" t="s">
        <v>86</v>
      </c>
      <c r="S25" t="s">
        <v>16</v>
      </c>
    </row>
    <row r="26" spans="2:19" x14ac:dyDescent="0.45">
      <c r="B26" t="s">
        <v>229</v>
      </c>
      <c r="C26" t="s">
        <v>235</v>
      </c>
      <c r="E26" t="s">
        <v>232</v>
      </c>
      <c r="M26" t="s">
        <v>9</v>
      </c>
      <c r="N26" t="s">
        <v>1385</v>
      </c>
      <c r="O26" t="s">
        <v>1275</v>
      </c>
      <c r="P26" t="s">
        <v>1386</v>
      </c>
      <c r="Q26" t="s">
        <v>85</v>
      </c>
      <c r="R26" t="s">
        <v>86</v>
      </c>
      <c r="S26" t="s">
        <v>16</v>
      </c>
    </row>
    <row r="27" spans="2:19" x14ac:dyDescent="0.45">
      <c r="B27" t="s">
        <v>229</v>
      </c>
      <c r="C27" t="s">
        <v>238</v>
      </c>
      <c r="E27" t="s">
        <v>232</v>
      </c>
      <c r="M27" t="s">
        <v>9</v>
      </c>
      <c r="N27" t="s">
        <v>1387</v>
      </c>
      <c r="O27" t="s">
        <v>1275</v>
      </c>
      <c r="P27" t="s">
        <v>1388</v>
      </c>
      <c r="Q27" t="s">
        <v>85</v>
      </c>
      <c r="R27" t="s">
        <v>86</v>
      </c>
      <c r="S27" t="s">
        <v>16</v>
      </c>
    </row>
    <row r="28" spans="2:19" x14ac:dyDescent="0.45">
      <c r="M28" t="s">
        <v>9</v>
      </c>
      <c r="N28" t="s">
        <v>1389</v>
      </c>
      <c r="O28" t="s">
        <v>1275</v>
      </c>
      <c r="P28" t="s">
        <v>1390</v>
      </c>
      <c r="Q28" t="s">
        <v>85</v>
      </c>
      <c r="R28" t="s">
        <v>86</v>
      </c>
      <c r="S28" t="s">
        <v>16</v>
      </c>
    </row>
    <row r="29" spans="2:19" x14ac:dyDescent="0.45">
      <c r="M29" t="s">
        <v>9</v>
      </c>
      <c r="N29" t="s">
        <v>1391</v>
      </c>
      <c r="O29" t="s">
        <v>1275</v>
      </c>
      <c r="P29" t="s">
        <v>1392</v>
      </c>
      <c r="Q29" t="s">
        <v>85</v>
      </c>
      <c r="R29" t="s">
        <v>86</v>
      </c>
      <c r="S29" t="s">
        <v>16</v>
      </c>
    </row>
    <row r="30" spans="2:19" ht="17.25" thickBot="1" x14ac:dyDescent="0.55000000000000004">
      <c r="B30" s="1" t="s">
        <v>245</v>
      </c>
      <c r="C30" s="2"/>
      <c r="D30" s="2"/>
      <c r="M30" t="s">
        <v>9</v>
      </c>
      <c r="N30" t="s">
        <v>1393</v>
      </c>
      <c r="O30" t="s">
        <v>1275</v>
      </c>
      <c r="P30" t="s">
        <v>1394</v>
      </c>
      <c r="Q30" t="s">
        <v>85</v>
      </c>
      <c r="R30" t="s">
        <v>86</v>
      </c>
      <c r="S30" t="s">
        <v>16</v>
      </c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  <c r="M31" t="s">
        <v>9</v>
      </c>
      <c r="N31" t="s">
        <v>1395</v>
      </c>
      <c r="O31" t="s">
        <v>1275</v>
      </c>
      <c r="P31" t="s">
        <v>1396</v>
      </c>
      <c r="Q31" t="s">
        <v>85</v>
      </c>
      <c r="R31" t="s">
        <v>86</v>
      </c>
      <c r="S31" t="s">
        <v>16</v>
      </c>
    </row>
    <row r="32" spans="2:19" x14ac:dyDescent="0.45">
      <c r="B32" t="s">
        <v>253</v>
      </c>
      <c r="C32" t="s">
        <v>254</v>
      </c>
      <c r="D32" t="s">
        <v>255</v>
      </c>
      <c r="M32" t="s">
        <v>9</v>
      </c>
      <c r="N32" t="s">
        <v>1397</v>
      </c>
      <c r="O32" t="s">
        <v>1275</v>
      </c>
      <c r="P32" t="s">
        <v>1398</v>
      </c>
      <c r="Q32" t="s">
        <v>85</v>
      </c>
      <c r="R32" t="s">
        <v>86</v>
      </c>
      <c r="S32" t="s">
        <v>16</v>
      </c>
    </row>
    <row r="33" spans="2:19" x14ac:dyDescent="0.45">
      <c r="M33" t="s">
        <v>9</v>
      </c>
      <c r="N33" t="s">
        <v>1399</v>
      </c>
      <c r="O33" t="s">
        <v>1275</v>
      </c>
      <c r="P33" t="s">
        <v>1400</v>
      </c>
      <c r="Q33" t="s">
        <v>85</v>
      </c>
      <c r="R33" t="s">
        <v>86</v>
      </c>
      <c r="S33" t="s">
        <v>16</v>
      </c>
    </row>
    <row r="34" spans="2:19" x14ac:dyDescent="0.45">
      <c r="M34" t="s">
        <v>9</v>
      </c>
      <c r="N34" t="s">
        <v>1401</v>
      </c>
      <c r="O34" t="s">
        <v>1275</v>
      </c>
      <c r="P34" t="s">
        <v>1402</v>
      </c>
      <c r="Q34" t="s">
        <v>85</v>
      </c>
      <c r="R34" t="s">
        <v>86</v>
      </c>
      <c r="S34" t="s">
        <v>16</v>
      </c>
    </row>
    <row r="35" spans="2:19" x14ac:dyDescent="0.45">
      <c r="M35" t="s">
        <v>9</v>
      </c>
      <c r="N35" t="s">
        <v>1403</v>
      </c>
      <c r="O35" t="s">
        <v>1275</v>
      </c>
      <c r="P35" t="s">
        <v>1404</v>
      </c>
      <c r="Q35" t="s">
        <v>85</v>
      </c>
      <c r="R35" t="s">
        <v>86</v>
      </c>
      <c r="S35" t="s">
        <v>16</v>
      </c>
    </row>
    <row r="36" spans="2:19" x14ac:dyDescent="0.45">
      <c r="M36" t="s">
        <v>9</v>
      </c>
      <c r="N36" t="s">
        <v>1405</v>
      </c>
      <c r="O36" t="s">
        <v>1275</v>
      </c>
      <c r="P36" t="s">
        <v>1406</v>
      </c>
      <c r="Q36" t="s">
        <v>85</v>
      </c>
      <c r="R36" t="s">
        <v>86</v>
      </c>
      <c r="S36" t="s">
        <v>16</v>
      </c>
    </row>
    <row r="37" spans="2:19" x14ac:dyDescent="0.45">
      <c r="M37" t="s">
        <v>9</v>
      </c>
      <c r="N37" t="s">
        <v>1407</v>
      </c>
      <c r="O37" t="s">
        <v>1275</v>
      </c>
      <c r="P37" t="s">
        <v>1408</v>
      </c>
      <c r="Q37" t="s">
        <v>85</v>
      </c>
      <c r="R37" t="s">
        <v>86</v>
      </c>
      <c r="S37" t="s">
        <v>16</v>
      </c>
    </row>
    <row r="38" spans="2:19" ht="17.25" thickBot="1" x14ac:dyDescent="0.55000000000000004">
      <c r="B38" s="1" t="s">
        <v>153</v>
      </c>
      <c r="C38" s="2"/>
      <c r="D38" s="2"/>
      <c r="M38" t="s">
        <v>9</v>
      </c>
      <c r="N38" t="s">
        <v>1409</v>
      </c>
      <c r="O38" t="s">
        <v>1275</v>
      </c>
      <c r="P38" t="s">
        <v>1410</v>
      </c>
      <c r="Q38" t="s">
        <v>85</v>
      </c>
      <c r="R38" t="s">
        <v>86</v>
      </c>
      <c r="S38" t="s">
        <v>16</v>
      </c>
    </row>
    <row r="39" spans="2:19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  <c r="M39" t="s">
        <v>9</v>
      </c>
      <c r="N39" t="s">
        <v>1411</v>
      </c>
      <c r="O39" t="s">
        <v>1275</v>
      </c>
      <c r="P39" t="s">
        <v>1412</v>
      </c>
      <c r="Q39" t="s">
        <v>85</v>
      </c>
      <c r="R39" t="s">
        <v>86</v>
      </c>
      <c r="S39" t="s">
        <v>16</v>
      </c>
    </row>
    <row r="40" spans="2:19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  <c r="M40" t="s">
        <v>9</v>
      </c>
      <c r="N40" t="s">
        <v>1413</v>
      </c>
      <c r="O40" t="s">
        <v>1275</v>
      </c>
      <c r="P40" t="s">
        <v>1414</v>
      </c>
      <c r="Q40" t="s">
        <v>85</v>
      </c>
      <c r="R40" t="s">
        <v>86</v>
      </c>
      <c r="S40" t="s">
        <v>16</v>
      </c>
    </row>
    <row r="41" spans="2:19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  <c r="M41" t="s">
        <v>9</v>
      </c>
      <c r="N41" t="s">
        <v>1415</v>
      </c>
      <c r="O41" t="s">
        <v>1275</v>
      </c>
      <c r="P41" t="s">
        <v>1416</v>
      </c>
      <c r="Q41" t="s">
        <v>85</v>
      </c>
      <c r="R41" t="s">
        <v>86</v>
      </c>
      <c r="S41" t="s">
        <v>16</v>
      </c>
    </row>
    <row r="42" spans="2:19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  <c r="M42" t="s">
        <v>9</v>
      </c>
      <c r="N42" t="s">
        <v>1417</v>
      </c>
      <c r="O42" t="s">
        <v>1275</v>
      </c>
      <c r="P42" t="s">
        <v>1418</v>
      </c>
      <c r="Q42" t="s">
        <v>85</v>
      </c>
      <c r="R42" t="s">
        <v>86</v>
      </c>
      <c r="S42" t="s">
        <v>16</v>
      </c>
    </row>
    <row r="43" spans="2:19" x14ac:dyDescent="0.45">
      <c r="C43" t="s">
        <v>287</v>
      </c>
      <c r="D43" t="s">
        <v>288</v>
      </c>
      <c r="E43" t="s">
        <v>289</v>
      </c>
      <c r="F43" t="s">
        <v>290</v>
      </c>
      <c r="M43" t="s">
        <v>9</v>
      </c>
      <c r="N43" t="s">
        <v>1419</v>
      </c>
      <c r="O43" t="s">
        <v>1275</v>
      </c>
      <c r="P43" t="s">
        <v>1420</v>
      </c>
      <c r="Q43" t="s">
        <v>85</v>
      </c>
      <c r="R43" t="s">
        <v>86</v>
      </c>
      <c r="S43" t="s">
        <v>16</v>
      </c>
    </row>
    <row r="44" spans="2:19" x14ac:dyDescent="0.45">
      <c r="M44" t="s">
        <v>9</v>
      </c>
      <c r="N44" t="s">
        <v>1421</v>
      </c>
      <c r="O44" t="s">
        <v>1275</v>
      </c>
      <c r="P44" t="s">
        <v>1422</v>
      </c>
      <c r="Q44" t="s">
        <v>85</v>
      </c>
      <c r="R44" t="s">
        <v>86</v>
      </c>
      <c r="S44" t="s">
        <v>16</v>
      </c>
    </row>
    <row r="45" spans="2:19" x14ac:dyDescent="0.45">
      <c r="M45" t="s">
        <v>9</v>
      </c>
      <c r="N45" t="s">
        <v>1423</v>
      </c>
      <c r="O45" t="s">
        <v>1275</v>
      </c>
      <c r="P45" t="s">
        <v>1424</v>
      </c>
      <c r="Q45" t="s">
        <v>85</v>
      </c>
      <c r="R45" t="s">
        <v>86</v>
      </c>
      <c r="S45" t="s">
        <v>16</v>
      </c>
    </row>
    <row r="46" spans="2:19" x14ac:dyDescent="0.45">
      <c r="M46" t="s">
        <v>9</v>
      </c>
      <c r="N46" t="s">
        <v>1425</v>
      </c>
      <c r="O46" t="s">
        <v>1275</v>
      </c>
      <c r="P46" t="s">
        <v>1426</v>
      </c>
      <c r="Q46" t="s">
        <v>85</v>
      </c>
      <c r="R46" t="s">
        <v>86</v>
      </c>
      <c r="S46" t="s">
        <v>16</v>
      </c>
    </row>
    <row r="47" spans="2:19" x14ac:dyDescent="0.45">
      <c r="M47" t="s">
        <v>9</v>
      </c>
      <c r="N47" t="s">
        <v>1427</v>
      </c>
      <c r="O47" t="s">
        <v>1275</v>
      </c>
      <c r="P47" t="s">
        <v>1428</v>
      </c>
      <c r="Q47" t="s">
        <v>85</v>
      </c>
      <c r="R47" t="s">
        <v>86</v>
      </c>
      <c r="S47" t="s">
        <v>16</v>
      </c>
    </row>
    <row r="48" spans="2:19" x14ac:dyDescent="0.45">
      <c r="M48" t="s">
        <v>9</v>
      </c>
      <c r="N48" t="s">
        <v>1429</v>
      </c>
      <c r="O48" t="s">
        <v>1275</v>
      </c>
      <c r="P48" t="s">
        <v>1430</v>
      </c>
      <c r="Q48" t="s">
        <v>85</v>
      </c>
      <c r="R48" t="s">
        <v>86</v>
      </c>
      <c r="S48" t="s">
        <v>16</v>
      </c>
    </row>
    <row r="49" spans="13:19" x14ac:dyDescent="0.45">
      <c r="M49" t="s">
        <v>9</v>
      </c>
      <c r="N49" t="s">
        <v>1431</v>
      </c>
      <c r="O49" t="s">
        <v>1275</v>
      </c>
      <c r="P49" t="s">
        <v>1432</v>
      </c>
      <c r="Q49" t="s">
        <v>85</v>
      </c>
      <c r="R49" t="s">
        <v>86</v>
      </c>
      <c r="S49" t="s">
        <v>16</v>
      </c>
    </row>
    <row r="50" spans="13:19" x14ac:dyDescent="0.45">
      <c r="M50" t="s">
        <v>9</v>
      </c>
      <c r="N50" t="s">
        <v>1433</v>
      </c>
      <c r="O50" t="s">
        <v>1275</v>
      </c>
      <c r="P50" t="s">
        <v>1434</v>
      </c>
      <c r="Q50" t="s">
        <v>85</v>
      </c>
      <c r="R50" t="s">
        <v>86</v>
      </c>
      <c r="S50" t="s">
        <v>16</v>
      </c>
    </row>
    <row r="51" spans="13:19" x14ac:dyDescent="0.45">
      <c r="M51" t="s">
        <v>9</v>
      </c>
      <c r="N51" t="s">
        <v>1435</v>
      </c>
      <c r="O51" t="s">
        <v>1275</v>
      </c>
      <c r="P51" t="s">
        <v>1436</v>
      </c>
      <c r="Q51" t="s">
        <v>85</v>
      </c>
      <c r="R51" t="s">
        <v>86</v>
      </c>
      <c r="S51" t="s">
        <v>16</v>
      </c>
    </row>
    <row r="52" spans="13:19" x14ac:dyDescent="0.45">
      <c r="M52" t="s">
        <v>9</v>
      </c>
      <c r="N52" t="s">
        <v>1437</v>
      </c>
      <c r="O52" t="s">
        <v>1275</v>
      </c>
      <c r="P52" t="s">
        <v>1438</v>
      </c>
      <c r="Q52" t="s">
        <v>85</v>
      </c>
      <c r="R52" t="s">
        <v>86</v>
      </c>
      <c r="S52" t="s">
        <v>16</v>
      </c>
    </row>
    <row r="53" spans="13:19" x14ac:dyDescent="0.45">
      <c r="M53" t="s">
        <v>9</v>
      </c>
      <c r="N53" t="s">
        <v>1439</v>
      </c>
      <c r="O53" t="s">
        <v>1275</v>
      </c>
      <c r="P53" t="s">
        <v>1440</v>
      </c>
      <c r="Q53" t="s">
        <v>85</v>
      </c>
      <c r="R53" t="s">
        <v>86</v>
      </c>
      <c r="S53" t="s">
        <v>16</v>
      </c>
    </row>
    <row r="54" spans="13:19" x14ac:dyDescent="0.45">
      <c r="M54" t="s">
        <v>9</v>
      </c>
      <c r="N54" t="s">
        <v>1441</v>
      </c>
      <c r="O54" t="s">
        <v>1275</v>
      </c>
      <c r="P54" t="s">
        <v>1442</v>
      </c>
      <c r="Q54" t="s">
        <v>85</v>
      </c>
      <c r="R54" t="s">
        <v>86</v>
      </c>
      <c r="S54" t="s">
        <v>16</v>
      </c>
    </row>
    <row r="55" spans="13:19" x14ac:dyDescent="0.45">
      <c r="M55" t="s">
        <v>9</v>
      </c>
      <c r="N55" t="s">
        <v>1443</v>
      </c>
      <c r="O55" t="s">
        <v>1275</v>
      </c>
      <c r="P55" t="s">
        <v>1444</v>
      </c>
      <c r="Q55" t="s">
        <v>85</v>
      </c>
      <c r="R55" t="s">
        <v>86</v>
      </c>
      <c r="S55" t="s">
        <v>16</v>
      </c>
    </row>
    <row r="56" spans="13:19" x14ac:dyDescent="0.45">
      <c r="M56" t="s">
        <v>9</v>
      </c>
      <c r="N56" t="s">
        <v>1445</v>
      </c>
      <c r="O56" t="s">
        <v>1275</v>
      </c>
      <c r="P56" t="s">
        <v>1446</v>
      </c>
      <c r="Q56" t="s">
        <v>85</v>
      </c>
      <c r="R56" t="s">
        <v>86</v>
      </c>
      <c r="S56" t="s">
        <v>16</v>
      </c>
    </row>
    <row r="57" spans="13:19" x14ac:dyDescent="0.45">
      <c r="M57" t="s">
        <v>9</v>
      </c>
      <c r="N57" t="s">
        <v>1447</v>
      </c>
      <c r="O57" t="s">
        <v>1275</v>
      </c>
      <c r="P57" t="s">
        <v>1448</v>
      </c>
      <c r="Q57" t="s">
        <v>85</v>
      </c>
      <c r="R57" t="s">
        <v>86</v>
      </c>
      <c r="S57" t="s">
        <v>16</v>
      </c>
    </row>
    <row r="58" spans="13:19" x14ac:dyDescent="0.45">
      <c r="M58" t="s">
        <v>9</v>
      </c>
      <c r="N58" t="s">
        <v>1449</v>
      </c>
      <c r="O58" t="s">
        <v>1275</v>
      </c>
      <c r="P58" t="s">
        <v>1450</v>
      </c>
      <c r="Q58" t="s">
        <v>85</v>
      </c>
      <c r="R58" t="s">
        <v>86</v>
      </c>
      <c r="S58" t="s">
        <v>16</v>
      </c>
    </row>
    <row r="59" spans="13:19" x14ac:dyDescent="0.45">
      <c r="M59" t="s">
        <v>9</v>
      </c>
      <c r="N59" t="s">
        <v>1451</v>
      </c>
      <c r="O59" t="s">
        <v>1275</v>
      </c>
      <c r="P59" t="s">
        <v>1452</v>
      </c>
      <c r="Q59" t="s">
        <v>85</v>
      </c>
      <c r="R59" t="s">
        <v>86</v>
      </c>
      <c r="S59" t="s">
        <v>16</v>
      </c>
    </row>
    <row r="60" spans="13:19" x14ac:dyDescent="0.45">
      <c r="M60" t="s">
        <v>9</v>
      </c>
      <c r="N60" t="s">
        <v>1453</v>
      </c>
      <c r="O60" t="s">
        <v>1275</v>
      </c>
      <c r="P60" t="s">
        <v>1454</v>
      </c>
      <c r="Q60" t="s">
        <v>85</v>
      </c>
      <c r="R60" t="s">
        <v>86</v>
      </c>
      <c r="S60" t="s">
        <v>16</v>
      </c>
    </row>
    <row r="61" spans="13:19" x14ac:dyDescent="0.45">
      <c r="M61" t="s">
        <v>9</v>
      </c>
      <c r="N61" t="s">
        <v>1455</v>
      </c>
      <c r="O61" t="s">
        <v>1275</v>
      </c>
      <c r="P61" t="s">
        <v>1456</v>
      </c>
      <c r="Q61" t="s">
        <v>85</v>
      </c>
      <c r="R61" t="s">
        <v>86</v>
      </c>
      <c r="S61" t="s">
        <v>16</v>
      </c>
    </row>
    <row r="62" spans="13:19" x14ac:dyDescent="0.45">
      <c r="M62" t="s">
        <v>9</v>
      </c>
      <c r="N62" t="s">
        <v>1457</v>
      </c>
      <c r="O62" t="s">
        <v>1275</v>
      </c>
      <c r="P62" t="s">
        <v>1458</v>
      </c>
      <c r="Q62" t="s">
        <v>85</v>
      </c>
      <c r="R62" t="s">
        <v>86</v>
      </c>
      <c r="S62" t="s">
        <v>16</v>
      </c>
    </row>
    <row r="63" spans="13:19" x14ac:dyDescent="0.45">
      <c r="M63" t="s">
        <v>9</v>
      </c>
      <c r="N63" t="s">
        <v>1459</v>
      </c>
      <c r="O63" t="s">
        <v>1275</v>
      </c>
      <c r="P63" t="s">
        <v>1460</v>
      </c>
      <c r="Q63" t="s">
        <v>85</v>
      </c>
      <c r="R63" t="s">
        <v>86</v>
      </c>
      <c r="S63" t="s">
        <v>16</v>
      </c>
    </row>
    <row r="64" spans="13:19" x14ac:dyDescent="0.45">
      <c r="M64" t="s">
        <v>9</v>
      </c>
      <c r="N64" t="s">
        <v>1461</v>
      </c>
      <c r="O64" t="s">
        <v>1275</v>
      </c>
      <c r="P64" t="s">
        <v>1462</v>
      </c>
      <c r="Q64" t="s">
        <v>85</v>
      </c>
      <c r="R64" t="s">
        <v>86</v>
      </c>
      <c r="S64" t="s">
        <v>16</v>
      </c>
    </row>
    <row r="65" spans="13:19" x14ac:dyDescent="0.45">
      <c r="M65" t="s">
        <v>9</v>
      </c>
      <c r="N65" t="s">
        <v>1463</v>
      </c>
      <c r="O65" t="s">
        <v>1275</v>
      </c>
      <c r="P65" t="s">
        <v>1464</v>
      </c>
      <c r="Q65" t="s">
        <v>85</v>
      </c>
      <c r="R65" t="s">
        <v>86</v>
      </c>
      <c r="S65" t="s">
        <v>16</v>
      </c>
    </row>
    <row r="66" spans="13:19" x14ac:dyDescent="0.45">
      <c r="M66" t="s">
        <v>9</v>
      </c>
      <c r="N66" t="s">
        <v>1465</v>
      </c>
      <c r="O66" t="s">
        <v>1275</v>
      </c>
      <c r="P66" t="s">
        <v>1466</v>
      </c>
      <c r="Q66" t="s">
        <v>85</v>
      </c>
      <c r="R66" t="s">
        <v>86</v>
      </c>
      <c r="S66" t="s">
        <v>16</v>
      </c>
    </row>
    <row r="67" spans="13:19" x14ac:dyDescent="0.45">
      <c r="M67" t="s">
        <v>9</v>
      </c>
      <c r="N67" t="s">
        <v>1467</v>
      </c>
      <c r="O67" t="s">
        <v>1275</v>
      </c>
      <c r="P67" t="s">
        <v>1468</v>
      </c>
      <c r="Q67" t="s">
        <v>85</v>
      </c>
      <c r="R67" t="s">
        <v>86</v>
      </c>
      <c r="S67" t="s">
        <v>16</v>
      </c>
    </row>
    <row r="68" spans="13:19" x14ac:dyDescent="0.45">
      <c r="M68" t="s">
        <v>9</v>
      </c>
      <c r="N68" t="s">
        <v>1469</v>
      </c>
      <c r="O68" t="s">
        <v>1275</v>
      </c>
      <c r="P68" t="s">
        <v>1470</v>
      </c>
      <c r="Q68" t="s">
        <v>85</v>
      </c>
      <c r="R68" t="s">
        <v>86</v>
      </c>
      <c r="S68" t="s">
        <v>16</v>
      </c>
    </row>
    <row r="69" spans="13:19" x14ac:dyDescent="0.45">
      <c r="M69" t="s">
        <v>9</v>
      </c>
      <c r="N69" t="s">
        <v>1471</v>
      </c>
      <c r="O69" t="s">
        <v>1275</v>
      </c>
      <c r="P69" t="s">
        <v>1472</v>
      </c>
      <c r="Q69" t="s">
        <v>85</v>
      </c>
      <c r="R69" t="s">
        <v>86</v>
      </c>
      <c r="S69" t="s">
        <v>16</v>
      </c>
    </row>
    <row r="70" spans="13:19" x14ac:dyDescent="0.45">
      <c r="M70" t="s">
        <v>9</v>
      </c>
      <c r="N70" t="s">
        <v>1473</v>
      </c>
      <c r="O70" t="s">
        <v>1275</v>
      </c>
      <c r="P70" t="s">
        <v>1474</v>
      </c>
      <c r="Q70" t="s">
        <v>85</v>
      </c>
      <c r="R70" t="s">
        <v>86</v>
      </c>
      <c r="S70" t="s">
        <v>16</v>
      </c>
    </row>
    <row r="71" spans="13:19" x14ac:dyDescent="0.45">
      <c r="M71" t="s">
        <v>9</v>
      </c>
      <c r="N71" t="s">
        <v>1475</v>
      </c>
      <c r="O71" t="s">
        <v>1275</v>
      </c>
      <c r="P71" t="s">
        <v>1476</v>
      </c>
      <c r="Q71" t="s">
        <v>85</v>
      </c>
      <c r="R71" t="s">
        <v>86</v>
      </c>
      <c r="S71" t="s">
        <v>16</v>
      </c>
    </row>
    <row r="72" spans="13:19" x14ac:dyDescent="0.45">
      <c r="M72" t="s">
        <v>9</v>
      </c>
      <c r="N72" t="s">
        <v>1477</v>
      </c>
      <c r="O72" t="s">
        <v>1275</v>
      </c>
      <c r="P72" t="s">
        <v>1478</v>
      </c>
      <c r="Q72" t="s">
        <v>85</v>
      </c>
      <c r="R72" t="s">
        <v>86</v>
      </c>
      <c r="S72" t="s">
        <v>16</v>
      </c>
    </row>
    <row r="73" spans="13:19" x14ac:dyDescent="0.45">
      <c r="M73" t="s">
        <v>9</v>
      </c>
      <c r="N73" t="s">
        <v>1479</v>
      </c>
      <c r="O73" t="s">
        <v>1275</v>
      </c>
      <c r="P73" t="s">
        <v>1480</v>
      </c>
      <c r="Q73" t="s">
        <v>85</v>
      </c>
      <c r="R73" t="s">
        <v>86</v>
      </c>
      <c r="S73" t="s">
        <v>16</v>
      </c>
    </row>
    <row r="74" spans="13:19" x14ac:dyDescent="0.45">
      <c r="M74" t="s">
        <v>9</v>
      </c>
      <c r="N74" t="s">
        <v>1481</v>
      </c>
      <c r="O74" t="s">
        <v>1275</v>
      </c>
      <c r="P74" t="s">
        <v>1482</v>
      </c>
      <c r="Q74" t="s">
        <v>85</v>
      </c>
      <c r="R74" t="s">
        <v>86</v>
      </c>
      <c r="S74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22E4-AAD9-438E-AD71-7FFBAA7E2742}">
  <dimension ref="B3:I17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1483</v>
      </c>
      <c r="D5" t="s">
        <v>1484</v>
      </c>
      <c r="E5" t="s">
        <v>1485</v>
      </c>
      <c r="F5" t="s">
        <v>13</v>
      </c>
      <c r="G5" t="s">
        <v>14</v>
      </c>
      <c r="H5" t="s">
        <v>15</v>
      </c>
      <c r="I5" t="s">
        <v>16</v>
      </c>
    </row>
    <row r="6" spans="2:9" x14ac:dyDescent="0.45">
      <c r="B6" t="s">
        <v>9</v>
      </c>
      <c r="C6" t="s">
        <v>1486</v>
      </c>
      <c r="D6" t="s">
        <v>1484</v>
      </c>
      <c r="E6" t="s">
        <v>1487</v>
      </c>
      <c r="F6" t="s">
        <v>13</v>
      </c>
      <c r="G6" t="s">
        <v>14</v>
      </c>
      <c r="H6" t="s">
        <v>15</v>
      </c>
      <c r="I6" t="s">
        <v>16</v>
      </c>
    </row>
    <row r="7" spans="2:9" x14ac:dyDescent="0.45">
      <c r="B7" t="s">
        <v>9</v>
      </c>
      <c r="C7" t="s">
        <v>1488</v>
      </c>
      <c r="D7" t="s">
        <v>1484</v>
      </c>
      <c r="E7" t="s">
        <v>1489</v>
      </c>
      <c r="F7" t="s">
        <v>13</v>
      </c>
      <c r="G7" t="s">
        <v>14</v>
      </c>
      <c r="H7" t="s">
        <v>15</v>
      </c>
      <c r="I7" t="s">
        <v>16</v>
      </c>
    </row>
    <row r="8" spans="2:9" x14ac:dyDescent="0.45">
      <c r="B8" t="s">
        <v>9</v>
      </c>
      <c r="C8" t="s">
        <v>1490</v>
      </c>
      <c r="D8" t="s">
        <v>1484</v>
      </c>
      <c r="E8" t="s">
        <v>1491</v>
      </c>
      <c r="F8" t="s">
        <v>13</v>
      </c>
      <c r="G8" t="s">
        <v>14</v>
      </c>
      <c r="H8" t="s">
        <v>15</v>
      </c>
      <c r="I8" t="s">
        <v>16</v>
      </c>
    </row>
    <row r="9" spans="2:9" x14ac:dyDescent="0.45">
      <c r="B9" t="s">
        <v>9</v>
      </c>
      <c r="C9" t="s">
        <v>1492</v>
      </c>
      <c r="D9" t="s">
        <v>1484</v>
      </c>
      <c r="E9" t="s">
        <v>1493</v>
      </c>
      <c r="F9" t="s">
        <v>13</v>
      </c>
      <c r="G9" t="s">
        <v>14</v>
      </c>
      <c r="H9" t="s">
        <v>15</v>
      </c>
      <c r="I9" t="s">
        <v>16</v>
      </c>
    </row>
    <row r="10" spans="2:9" x14ac:dyDescent="0.45">
      <c r="B10" t="s">
        <v>9</v>
      </c>
      <c r="C10" t="s">
        <v>1494</v>
      </c>
      <c r="D10" t="s">
        <v>1484</v>
      </c>
      <c r="E10" t="s">
        <v>1495</v>
      </c>
      <c r="F10" t="s">
        <v>13</v>
      </c>
      <c r="G10" t="s">
        <v>14</v>
      </c>
      <c r="H10" t="s">
        <v>15</v>
      </c>
      <c r="I10" t="s">
        <v>16</v>
      </c>
    </row>
    <row r="11" spans="2:9" x14ac:dyDescent="0.45">
      <c r="B11" t="s">
        <v>9</v>
      </c>
      <c r="C11" t="s">
        <v>1496</v>
      </c>
      <c r="D11" t="s">
        <v>1484</v>
      </c>
      <c r="E11" t="s">
        <v>1497</v>
      </c>
      <c r="F11" t="s">
        <v>13</v>
      </c>
      <c r="G11" t="s">
        <v>14</v>
      </c>
      <c r="H11" t="s">
        <v>15</v>
      </c>
      <c r="I11" t="s">
        <v>16</v>
      </c>
    </row>
    <row r="12" spans="2:9" x14ac:dyDescent="0.45">
      <c r="B12" t="s">
        <v>9</v>
      </c>
      <c r="C12" t="s">
        <v>1498</v>
      </c>
      <c r="D12" t="s">
        <v>1484</v>
      </c>
      <c r="E12" t="s">
        <v>1499</v>
      </c>
      <c r="F12" t="s">
        <v>13</v>
      </c>
      <c r="G12" t="s">
        <v>14</v>
      </c>
      <c r="H12" t="s">
        <v>15</v>
      </c>
      <c r="I12" t="s">
        <v>16</v>
      </c>
    </row>
    <row r="13" spans="2:9" x14ac:dyDescent="0.45">
      <c r="B13" t="s">
        <v>9</v>
      </c>
      <c r="C13" t="s">
        <v>1500</v>
      </c>
      <c r="D13" t="s">
        <v>1484</v>
      </c>
      <c r="E13" t="s">
        <v>1501</v>
      </c>
      <c r="F13" t="s">
        <v>13</v>
      </c>
      <c r="G13" t="s">
        <v>14</v>
      </c>
      <c r="H13" t="s">
        <v>15</v>
      </c>
      <c r="I13" t="s">
        <v>16</v>
      </c>
    </row>
    <row r="14" spans="2:9" x14ac:dyDescent="0.45">
      <c r="B14" t="s">
        <v>9</v>
      </c>
      <c r="C14" t="s">
        <v>1502</v>
      </c>
      <c r="D14" t="s">
        <v>1484</v>
      </c>
      <c r="E14" t="s">
        <v>1503</v>
      </c>
      <c r="F14" t="s">
        <v>13</v>
      </c>
      <c r="G14" t="s">
        <v>14</v>
      </c>
      <c r="H14" t="s">
        <v>15</v>
      </c>
      <c r="I14" t="s">
        <v>16</v>
      </c>
    </row>
    <row r="15" spans="2:9" x14ac:dyDescent="0.45">
      <c r="B15" t="s">
        <v>9</v>
      </c>
      <c r="C15" t="s">
        <v>1504</v>
      </c>
      <c r="D15" t="s">
        <v>1484</v>
      </c>
      <c r="E15" t="s">
        <v>1505</v>
      </c>
      <c r="F15" t="s">
        <v>13</v>
      </c>
      <c r="G15" t="s">
        <v>14</v>
      </c>
      <c r="H15" t="s">
        <v>15</v>
      </c>
      <c r="I15" t="s">
        <v>16</v>
      </c>
    </row>
    <row r="16" spans="2:9" x14ac:dyDescent="0.45">
      <c r="B16" t="s">
        <v>9</v>
      </c>
      <c r="C16" t="s">
        <v>1506</v>
      </c>
      <c r="D16" t="s">
        <v>1484</v>
      </c>
      <c r="E16" t="s">
        <v>1507</v>
      </c>
      <c r="F16" t="s">
        <v>13</v>
      </c>
      <c r="G16" t="s">
        <v>14</v>
      </c>
      <c r="H16" t="s">
        <v>15</v>
      </c>
      <c r="I16" t="s">
        <v>16</v>
      </c>
    </row>
    <row r="17" spans="2:9" x14ac:dyDescent="0.45">
      <c r="B17" t="s">
        <v>9</v>
      </c>
      <c r="C17" t="s">
        <v>1508</v>
      </c>
      <c r="D17" t="s">
        <v>1484</v>
      </c>
      <c r="E17" t="s">
        <v>1509</v>
      </c>
      <c r="F17" t="s">
        <v>13</v>
      </c>
      <c r="G17" t="s">
        <v>14</v>
      </c>
      <c r="H17" t="s">
        <v>15</v>
      </c>
      <c r="I17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2C48-39C9-466F-9A83-B76C95E1F8C6}">
  <dimension ref="B3:I17"/>
  <sheetViews>
    <sheetView workbookViewId="0"/>
  </sheetViews>
  <sheetFormatPr defaultRowHeight="14.25" x14ac:dyDescent="0.45"/>
  <sheetData>
    <row r="3" spans="2:9" x14ac:dyDescent="0.45">
      <c r="B3" t="s">
        <v>0</v>
      </c>
    </row>
    <row r="4" spans="2: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45">
      <c r="B5" t="s">
        <v>9</v>
      </c>
      <c r="C5" t="s">
        <v>1510</v>
      </c>
      <c r="D5" t="s">
        <v>1484</v>
      </c>
      <c r="E5" t="s">
        <v>1511</v>
      </c>
      <c r="F5" t="s">
        <v>85</v>
      </c>
      <c r="G5" t="s">
        <v>86</v>
      </c>
      <c r="H5" t="s">
        <v>15</v>
      </c>
      <c r="I5" t="s">
        <v>16</v>
      </c>
    </row>
    <row r="6" spans="2:9" x14ac:dyDescent="0.45">
      <c r="B6" t="s">
        <v>9</v>
      </c>
      <c r="C6" t="s">
        <v>1512</v>
      </c>
      <c r="D6" t="s">
        <v>1484</v>
      </c>
      <c r="E6" t="s">
        <v>1513</v>
      </c>
      <c r="F6" t="s">
        <v>85</v>
      </c>
      <c r="G6" t="s">
        <v>86</v>
      </c>
      <c r="H6" t="s">
        <v>15</v>
      </c>
      <c r="I6" t="s">
        <v>16</v>
      </c>
    </row>
    <row r="7" spans="2:9" x14ac:dyDescent="0.45">
      <c r="B7" t="s">
        <v>9</v>
      </c>
      <c r="C7" t="s">
        <v>1514</v>
      </c>
      <c r="D7" t="s">
        <v>1484</v>
      </c>
      <c r="E7" t="s">
        <v>1515</v>
      </c>
      <c r="F7" t="s">
        <v>85</v>
      </c>
      <c r="G7" t="s">
        <v>86</v>
      </c>
      <c r="H7" t="s">
        <v>15</v>
      </c>
      <c r="I7" t="s">
        <v>16</v>
      </c>
    </row>
    <row r="8" spans="2:9" x14ac:dyDescent="0.45">
      <c r="B8" t="s">
        <v>9</v>
      </c>
      <c r="C8" t="s">
        <v>1516</v>
      </c>
      <c r="D8" t="s">
        <v>1484</v>
      </c>
      <c r="E8" t="s">
        <v>1517</v>
      </c>
      <c r="F8" t="s">
        <v>85</v>
      </c>
      <c r="G8" t="s">
        <v>86</v>
      </c>
      <c r="H8" t="s">
        <v>15</v>
      </c>
      <c r="I8" t="s">
        <v>16</v>
      </c>
    </row>
    <row r="9" spans="2:9" x14ac:dyDescent="0.45">
      <c r="B9" t="s">
        <v>9</v>
      </c>
      <c r="C9" t="s">
        <v>1518</v>
      </c>
      <c r="D9" t="s">
        <v>1484</v>
      </c>
      <c r="E9" t="s">
        <v>1519</v>
      </c>
      <c r="F9" t="s">
        <v>85</v>
      </c>
      <c r="G9" t="s">
        <v>86</v>
      </c>
      <c r="H9" t="s">
        <v>15</v>
      </c>
      <c r="I9" t="s">
        <v>16</v>
      </c>
    </row>
    <row r="10" spans="2:9" x14ac:dyDescent="0.45">
      <c r="B10" t="s">
        <v>9</v>
      </c>
      <c r="C10" t="s">
        <v>1520</v>
      </c>
      <c r="D10" t="s">
        <v>1484</v>
      </c>
      <c r="E10" t="s">
        <v>1521</v>
      </c>
      <c r="F10" t="s">
        <v>85</v>
      </c>
      <c r="G10" t="s">
        <v>86</v>
      </c>
      <c r="H10" t="s">
        <v>15</v>
      </c>
      <c r="I10" t="s">
        <v>16</v>
      </c>
    </row>
    <row r="11" spans="2:9" x14ac:dyDescent="0.45">
      <c r="B11" t="s">
        <v>9</v>
      </c>
      <c r="C11" t="s">
        <v>1522</v>
      </c>
      <c r="D11" t="s">
        <v>1484</v>
      </c>
      <c r="E11" t="s">
        <v>1523</v>
      </c>
      <c r="F11" t="s">
        <v>85</v>
      </c>
      <c r="G11" t="s">
        <v>86</v>
      </c>
      <c r="H11" t="s">
        <v>15</v>
      </c>
      <c r="I11" t="s">
        <v>16</v>
      </c>
    </row>
    <row r="12" spans="2:9" x14ac:dyDescent="0.45">
      <c r="B12" t="s">
        <v>9</v>
      </c>
      <c r="C12" t="s">
        <v>1524</v>
      </c>
      <c r="D12" t="s">
        <v>1484</v>
      </c>
      <c r="E12" t="s">
        <v>1525</v>
      </c>
      <c r="F12" t="s">
        <v>85</v>
      </c>
      <c r="G12" t="s">
        <v>86</v>
      </c>
      <c r="H12" t="s">
        <v>15</v>
      </c>
      <c r="I12" t="s">
        <v>16</v>
      </c>
    </row>
    <row r="13" spans="2:9" x14ac:dyDescent="0.45">
      <c r="B13" t="s">
        <v>9</v>
      </c>
      <c r="C13" t="s">
        <v>1526</v>
      </c>
      <c r="D13" t="s">
        <v>1484</v>
      </c>
      <c r="E13" t="s">
        <v>1527</v>
      </c>
      <c r="F13" t="s">
        <v>85</v>
      </c>
      <c r="G13" t="s">
        <v>86</v>
      </c>
      <c r="H13" t="s">
        <v>15</v>
      </c>
      <c r="I13" t="s">
        <v>16</v>
      </c>
    </row>
    <row r="14" spans="2:9" x14ac:dyDescent="0.45">
      <c r="B14" t="s">
        <v>9</v>
      </c>
      <c r="C14" t="s">
        <v>1528</v>
      </c>
      <c r="D14" t="s">
        <v>1484</v>
      </c>
      <c r="E14" t="s">
        <v>1529</v>
      </c>
      <c r="F14" t="s">
        <v>85</v>
      </c>
      <c r="G14" t="s">
        <v>86</v>
      </c>
      <c r="H14" t="s">
        <v>15</v>
      </c>
      <c r="I14" t="s">
        <v>16</v>
      </c>
    </row>
    <row r="15" spans="2:9" x14ac:dyDescent="0.45">
      <c r="B15" t="s">
        <v>9</v>
      </c>
      <c r="C15" t="s">
        <v>1530</v>
      </c>
      <c r="D15" t="s">
        <v>1484</v>
      </c>
      <c r="E15" t="s">
        <v>1531</v>
      </c>
      <c r="F15" t="s">
        <v>85</v>
      </c>
      <c r="G15" t="s">
        <v>86</v>
      </c>
      <c r="H15" t="s">
        <v>15</v>
      </c>
      <c r="I15" t="s">
        <v>16</v>
      </c>
    </row>
    <row r="16" spans="2:9" x14ac:dyDescent="0.45">
      <c r="B16" t="s">
        <v>9</v>
      </c>
      <c r="C16" t="s">
        <v>1532</v>
      </c>
      <c r="D16" t="s">
        <v>1484</v>
      </c>
      <c r="E16" t="s">
        <v>1533</v>
      </c>
      <c r="F16" t="s">
        <v>85</v>
      </c>
      <c r="G16" t="s">
        <v>86</v>
      </c>
      <c r="H16" t="s">
        <v>15</v>
      </c>
      <c r="I16" t="s">
        <v>16</v>
      </c>
    </row>
    <row r="17" spans="2:9" x14ac:dyDescent="0.45">
      <c r="B17" t="s">
        <v>9</v>
      </c>
      <c r="C17" t="s">
        <v>1534</v>
      </c>
      <c r="D17" t="s">
        <v>1484</v>
      </c>
      <c r="E17" t="s">
        <v>1535</v>
      </c>
      <c r="F17" t="s">
        <v>85</v>
      </c>
      <c r="G17" t="s">
        <v>86</v>
      </c>
      <c r="H17" t="s">
        <v>15</v>
      </c>
      <c r="I17" t="s">
        <v>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39FD-BF0C-49DD-91B5-98ABA6FCB2BA}">
  <dimension ref="B3:S43"/>
  <sheetViews>
    <sheetView workbookViewId="0">
      <selection activeCell="D25" sqref="D25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 x14ac:dyDescent="0.55000000000000004">
      <c r="B3" s="1" t="s">
        <v>153</v>
      </c>
      <c r="C3" s="2"/>
      <c r="D3" s="2"/>
      <c r="E3" s="2"/>
      <c r="F3" s="2"/>
      <c r="G3" s="2"/>
      <c r="H3" s="3"/>
      <c r="I3" s="3"/>
      <c r="M3" s="1" t="s">
        <v>153</v>
      </c>
      <c r="N3" s="2"/>
      <c r="O3" s="2"/>
      <c r="P3" s="2"/>
      <c r="Q3" s="2"/>
    </row>
    <row r="4" spans="2:19" ht="15" thickTop="1" thickBot="1" x14ac:dyDescent="0.5">
      <c r="B4" s="4" t="s">
        <v>154</v>
      </c>
      <c r="C4" s="4" t="s">
        <v>2</v>
      </c>
      <c r="D4" s="4" t="s">
        <v>4</v>
      </c>
      <c r="E4" s="4" t="s">
        <v>8</v>
      </c>
      <c r="F4" s="4" t="s">
        <v>6</v>
      </c>
      <c r="G4" s="4" t="s">
        <v>5</v>
      </c>
      <c r="H4" s="4" t="s">
        <v>7</v>
      </c>
      <c r="I4" s="5" t="s">
        <v>155</v>
      </c>
      <c r="M4" s="4" t="s">
        <v>1</v>
      </c>
      <c r="N4" s="4" t="s">
        <v>2</v>
      </c>
      <c r="O4" s="4" t="s">
        <v>3</v>
      </c>
      <c r="P4" s="4" t="s">
        <v>4</v>
      </c>
      <c r="Q4" s="4" t="s">
        <v>5</v>
      </c>
      <c r="R4" t="s">
        <v>6</v>
      </c>
      <c r="S4" t="s">
        <v>8</v>
      </c>
    </row>
    <row r="5" spans="2:19" x14ac:dyDescent="0.45">
      <c r="B5" t="s">
        <v>9</v>
      </c>
      <c r="C5" t="s">
        <v>156</v>
      </c>
      <c r="E5" t="s">
        <v>157</v>
      </c>
      <c r="M5" t="s">
        <v>9</v>
      </c>
      <c r="N5" t="s">
        <v>1536</v>
      </c>
      <c r="O5" t="s">
        <v>1484</v>
      </c>
      <c r="P5" t="s">
        <v>1537</v>
      </c>
      <c r="Q5" t="s">
        <v>85</v>
      </c>
      <c r="R5" t="s">
        <v>86</v>
      </c>
      <c r="S5" t="s">
        <v>16</v>
      </c>
    </row>
    <row r="6" spans="2:19" x14ac:dyDescent="0.45">
      <c r="B6" t="s">
        <v>9</v>
      </c>
      <c r="C6" t="s">
        <v>160</v>
      </c>
      <c r="E6" t="s">
        <v>157</v>
      </c>
      <c r="M6" t="s">
        <v>9</v>
      </c>
      <c r="N6" t="s">
        <v>1538</v>
      </c>
      <c r="O6" t="s">
        <v>1484</v>
      </c>
      <c r="P6" t="s">
        <v>1539</v>
      </c>
      <c r="Q6" t="s">
        <v>85</v>
      </c>
      <c r="R6" t="s">
        <v>86</v>
      </c>
      <c r="S6" t="s">
        <v>16</v>
      </c>
    </row>
    <row r="7" spans="2:19" x14ac:dyDescent="0.45">
      <c r="B7" t="s">
        <v>9</v>
      </c>
      <c r="C7" t="s">
        <v>163</v>
      </c>
      <c r="E7" t="s">
        <v>157</v>
      </c>
      <c r="M7" t="s">
        <v>9</v>
      </c>
      <c r="N7" t="s">
        <v>1540</v>
      </c>
      <c r="O7" t="s">
        <v>1484</v>
      </c>
      <c r="P7" t="s">
        <v>1541</v>
      </c>
      <c r="Q7" t="s">
        <v>85</v>
      </c>
      <c r="R7" t="s">
        <v>86</v>
      </c>
      <c r="S7" t="s">
        <v>16</v>
      </c>
    </row>
    <row r="8" spans="2:19" x14ac:dyDescent="0.45">
      <c r="B8" t="s">
        <v>9</v>
      </c>
      <c r="C8" t="s">
        <v>166</v>
      </c>
      <c r="E8" t="s">
        <v>157</v>
      </c>
      <c r="M8" t="s">
        <v>9</v>
      </c>
      <c r="N8" t="s">
        <v>1542</v>
      </c>
      <c r="O8" t="s">
        <v>1484</v>
      </c>
      <c r="P8" t="s">
        <v>1543</v>
      </c>
      <c r="Q8" t="s">
        <v>85</v>
      </c>
      <c r="R8" t="s">
        <v>86</v>
      </c>
      <c r="S8" t="s">
        <v>16</v>
      </c>
    </row>
    <row r="9" spans="2:19" x14ac:dyDescent="0.45">
      <c r="B9" t="s">
        <v>9</v>
      </c>
      <c r="C9" t="s">
        <v>169</v>
      </c>
      <c r="E9" t="s">
        <v>157</v>
      </c>
      <c r="M9" t="s">
        <v>9</v>
      </c>
      <c r="N9" t="s">
        <v>1544</v>
      </c>
      <c r="O9" t="s">
        <v>1484</v>
      </c>
      <c r="P9" t="s">
        <v>1545</v>
      </c>
      <c r="Q9" t="s">
        <v>85</v>
      </c>
      <c r="R9" t="s">
        <v>86</v>
      </c>
      <c r="S9" t="s">
        <v>16</v>
      </c>
    </row>
    <row r="10" spans="2:19" x14ac:dyDescent="0.45">
      <c r="B10" t="s">
        <v>9</v>
      </c>
      <c r="C10" t="s">
        <v>172</v>
      </c>
      <c r="E10" t="s">
        <v>157</v>
      </c>
      <c r="M10" t="s">
        <v>9</v>
      </c>
      <c r="N10" t="s">
        <v>1546</v>
      </c>
      <c r="O10" t="s">
        <v>1484</v>
      </c>
      <c r="P10" t="s">
        <v>1547</v>
      </c>
      <c r="Q10" t="s">
        <v>85</v>
      </c>
      <c r="R10" t="s">
        <v>86</v>
      </c>
      <c r="S10" t="s">
        <v>16</v>
      </c>
    </row>
    <row r="11" spans="2:19" x14ac:dyDescent="0.45">
      <c r="B11" t="s">
        <v>9</v>
      </c>
      <c r="C11" t="s">
        <v>175</v>
      </c>
      <c r="E11" t="s">
        <v>157</v>
      </c>
      <c r="M11" t="s">
        <v>9</v>
      </c>
      <c r="N11" t="s">
        <v>1548</v>
      </c>
      <c r="O11" t="s">
        <v>1484</v>
      </c>
      <c r="P11" t="s">
        <v>1549</v>
      </c>
      <c r="Q11" t="s">
        <v>85</v>
      </c>
      <c r="R11" t="s">
        <v>86</v>
      </c>
      <c r="S11" t="s">
        <v>16</v>
      </c>
    </row>
    <row r="12" spans="2:19" x14ac:dyDescent="0.45">
      <c r="B12" t="s">
        <v>9</v>
      </c>
      <c r="C12" t="s">
        <v>178</v>
      </c>
      <c r="E12" t="s">
        <v>157</v>
      </c>
      <c r="M12" t="s">
        <v>9</v>
      </c>
      <c r="N12" t="s">
        <v>1550</v>
      </c>
      <c r="O12" t="s">
        <v>1484</v>
      </c>
      <c r="P12" t="s">
        <v>1551</v>
      </c>
      <c r="Q12" t="s">
        <v>85</v>
      </c>
      <c r="R12" t="s">
        <v>86</v>
      </c>
      <c r="S12" t="s">
        <v>16</v>
      </c>
    </row>
    <row r="13" spans="2:19" x14ac:dyDescent="0.45">
      <c r="B13" t="s">
        <v>9</v>
      </c>
      <c r="C13" t="s">
        <v>181</v>
      </c>
      <c r="E13" t="s">
        <v>157</v>
      </c>
      <c r="M13" t="s">
        <v>9</v>
      </c>
      <c r="N13" t="s">
        <v>1552</v>
      </c>
      <c r="O13" t="s">
        <v>1484</v>
      </c>
      <c r="P13" t="s">
        <v>1553</v>
      </c>
      <c r="Q13" t="s">
        <v>85</v>
      </c>
      <c r="R13" t="s">
        <v>86</v>
      </c>
      <c r="S13" t="s">
        <v>16</v>
      </c>
    </row>
    <row r="14" spans="2:19" x14ac:dyDescent="0.45">
      <c r="B14" t="s">
        <v>9</v>
      </c>
      <c r="C14" t="s">
        <v>184</v>
      </c>
      <c r="D14" t="s">
        <v>185</v>
      </c>
      <c r="E14" t="s">
        <v>157</v>
      </c>
      <c r="M14" t="s">
        <v>9</v>
      </c>
      <c r="N14" t="s">
        <v>1554</v>
      </c>
      <c r="O14" t="s">
        <v>1484</v>
      </c>
      <c r="P14" t="s">
        <v>1555</v>
      </c>
      <c r="Q14" t="s">
        <v>85</v>
      </c>
      <c r="R14" t="s">
        <v>86</v>
      </c>
      <c r="S14" t="s">
        <v>16</v>
      </c>
    </row>
    <row r="15" spans="2:19" x14ac:dyDescent="0.45">
      <c r="B15" t="s">
        <v>9</v>
      </c>
      <c r="C15" t="s">
        <v>188</v>
      </c>
      <c r="D15" t="s">
        <v>189</v>
      </c>
      <c r="E15" t="s">
        <v>157</v>
      </c>
      <c r="M15" t="s">
        <v>9</v>
      </c>
      <c r="N15" t="s">
        <v>1556</v>
      </c>
      <c r="O15" t="s">
        <v>1484</v>
      </c>
      <c r="P15" t="s">
        <v>1557</v>
      </c>
      <c r="Q15" t="s">
        <v>85</v>
      </c>
      <c r="R15" t="s">
        <v>86</v>
      </c>
      <c r="S15" t="s">
        <v>16</v>
      </c>
    </row>
    <row r="16" spans="2:19" x14ac:dyDescent="0.45">
      <c r="B16" t="s">
        <v>9</v>
      </c>
      <c r="C16" t="s">
        <v>85</v>
      </c>
      <c r="D16" t="s">
        <v>192</v>
      </c>
      <c r="E16" t="s">
        <v>157</v>
      </c>
      <c r="F16" t="s">
        <v>86</v>
      </c>
      <c r="G16" t="s">
        <v>85</v>
      </c>
      <c r="I16" t="s">
        <v>193</v>
      </c>
      <c r="M16" t="s">
        <v>9</v>
      </c>
      <c r="N16" t="s">
        <v>1558</v>
      </c>
      <c r="O16" t="s">
        <v>1484</v>
      </c>
      <c r="P16" t="s">
        <v>1559</v>
      </c>
      <c r="Q16" t="s">
        <v>85</v>
      </c>
      <c r="R16" t="s">
        <v>86</v>
      </c>
      <c r="S16" t="s">
        <v>16</v>
      </c>
    </row>
    <row r="17" spans="2:19" x14ac:dyDescent="0.45">
      <c r="B17" t="s">
        <v>9</v>
      </c>
      <c r="C17" t="s">
        <v>196</v>
      </c>
      <c r="D17" t="s">
        <v>197</v>
      </c>
      <c r="E17" t="s">
        <v>157</v>
      </c>
      <c r="F17" t="s">
        <v>14</v>
      </c>
      <c r="G17" t="s">
        <v>13</v>
      </c>
      <c r="M17" t="s">
        <v>9</v>
      </c>
      <c r="N17" t="s">
        <v>1560</v>
      </c>
      <c r="O17" t="s">
        <v>1484</v>
      </c>
      <c r="P17" t="s">
        <v>1561</v>
      </c>
      <c r="Q17" t="s">
        <v>85</v>
      </c>
      <c r="R17" t="s">
        <v>86</v>
      </c>
      <c r="S17" t="s">
        <v>16</v>
      </c>
    </row>
    <row r="18" spans="2:19" x14ac:dyDescent="0.45">
      <c r="B18" t="s">
        <v>200</v>
      </c>
      <c r="C18" t="s">
        <v>201</v>
      </c>
      <c r="D18" t="s">
        <v>202</v>
      </c>
      <c r="E18" t="s">
        <v>157</v>
      </c>
      <c r="M18" t="s">
        <v>9</v>
      </c>
      <c r="N18" t="s">
        <v>1562</v>
      </c>
      <c r="O18" t="s">
        <v>1484</v>
      </c>
      <c r="P18" t="s">
        <v>1563</v>
      </c>
      <c r="Q18" t="s">
        <v>85</v>
      </c>
      <c r="R18" t="s">
        <v>86</v>
      </c>
      <c r="S18" t="s">
        <v>16</v>
      </c>
    </row>
    <row r="19" spans="2:19" x14ac:dyDescent="0.45">
      <c r="B19" t="s">
        <v>200</v>
      </c>
      <c r="C19" t="s">
        <v>205</v>
      </c>
      <c r="D19" t="s">
        <v>206</v>
      </c>
      <c r="E19" t="s">
        <v>157</v>
      </c>
      <c r="M19" t="s">
        <v>9</v>
      </c>
      <c r="N19" t="s">
        <v>1564</v>
      </c>
      <c r="O19" t="s">
        <v>1484</v>
      </c>
      <c r="P19" t="s">
        <v>1565</v>
      </c>
      <c r="Q19" t="s">
        <v>85</v>
      </c>
      <c r="R19" t="s">
        <v>86</v>
      </c>
      <c r="S19" t="s">
        <v>16</v>
      </c>
    </row>
    <row r="20" spans="2:19" x14ac:dyDescent="0.45">
      <c r="B20" t="s">
        <v>200</v>
      </c>
      <c r="C20" t="s">
        <v>209</v>
      </c>
      <c r="D20" t="s">
        <v>210</v>
      </c>
      <c r="E20" t="s">
        <v>157</v>
      </c>
      <c r="M20" t="s">
        <v>9</v>
      </c>
      <c r="N20" t="s">
        <v>1566</v>
      </c>
      <c r="O20" t="s">
        <v>1484</v>
      </c>
      <c r="P20" t="s">
        <v>1567</v>
      </c>
      <c r="Q20" t="s">
        <v>85</v>
      </c>
      <c r="R20" t="s">
        <v>86</v>
      </c>
      <c r="S20" t="s">
        <v>16</v>
      </c>
    </row>
    <row r="21" spans="2:19" x14ac:dyDescent="0.45">
      <c r="B21" t="s">
        <v>200</v>
      </c>
      <c r="C21" t="s">
        <v>213</v>
      </c>
      <c r="D21" t="s">
        <v>214</v>
      </c>
      <c r="E21" t="s">
        <v>157</v>
      </c>
      <c r="M21" t="s">
        <v>9</v>
      </c>
      <c r="N21" t="s">
        <v>1568</v>
      </c>
      <c r="O21" t="s">
        <v>1484</v>
      </c>
      <c r="P21" t="s">
        <v>1569</v>
      </c>
      <c r="Q21" t="s">
        <v>85</v>
      </c>
      <c r="R21" t="s">
        <v>86</v>
      </c>
      <c r="S21" t="s">
        <v>16</v>
      </c>
    </row>
    <row r="22" spans="2:19" x14ac:dyDescent="0.45">
      <c r="B22" t="s">
        <v>9</v>
      </c>
      <c r="C22" t="s">
        <v>217</v>
      </c>
      <c r="D22" t="s">
        <v>218</v>
      </c>
      <c r="E22" t="s">
        <v>157</v>
      </c>
      <c r="F22" t="s">
        <v>86</v>
      </c>
      <c r="G22" t="s">
        <v>85</v>
      </c>
      <c r="M22" t="s">
        <v>9</v>
      </c>
      <c r="N22" t="s">
        <v>1570</v>
      </c>
      <c r="O22" t="s">
        <v>1484</v>
      </c>
      <c r="P22" t="s">
        <v>1571</v>
      </c>
      <c r="Q22" t="s">
        <v>85</v>
      </c>
      <c r="R22" t="s">
        <v>86</v>
      </c>
      <c r="S22" t="s">
        <v>16</v>
      </c>
    </row>
    <row r="23" spans="2:19" x14ac:dyDescent="0.45">
      <c r="B23" t="s">
        <v>200</v>
      </c>
      <c r="C23" t="s">
        <v>221</v>
      </c>
      <c r="D23" t="s">
        <v>222</v>
      </c>
      <c r="E23" t="s">
        <v>157</v>
      </c>
      <c r="M23" t="s">
        <v>9</v>
      </c>
      <c r="N23" t="s">
        <v>1572</v>
      </c>
      <c r="O23" t="s">
        <v>1484</v>
      </c>
      <c r="P23" t="s">
        <v>1573</v>
      </c>
      <c r="Q23" t="s">
        <v>85</v>
      </c>
      <c r="R23" t="s">
        <v>86</v>
      </c>
      <c r="S23" t="s">
        <v>16</v>
      </c>
    </row>
    <row r="24" spans="2:19" x14ac:dyDescent="0.45">
      <c r="B24" t="s">
        <v>200</v>
      </c>
      <c r="C24" t="s">
        <v>225</v>
      </c>
      <c r="D24" t="s">
        <v>226</v>
      </c>
      <c r="E24" t="s">
        <v>157</v>
      </c>
      <c r="M24" t="s">
        <v>9</v>
      </c>
      <c r="N24" t="s">
        <v>1574</v>
      </c>
      <c r="O24" t="s">
        <v>1484</v>
      </c>
      <c r="P24" t="s">
        <v>1575</v>
      </c>
      <c r="Q24" t="s">
        <v>85</v>
      </c>
      <c r="R24" t="s">
        <v>86</v>
      </c>
      <c r="S24" t="s">
        <v>16</v>
      </c>
    </row>
    <row r="25" spans="2:19" x14ac:dyDescent="0.45">
      <c r="B25" t="s">
        <v>229</v>
      </c>
      <c r="C25" t="s">
        <v>230</v>
      </c>
      <c r="D25" t="s">
        <v>231</v>
      </c>
      <c r="E25" t="s">
        <v>232</v>
      </c>
      <c r="M25" t="s">
        <v>9</v>
      </c>
      <c r="N25" t="s">
        <v>1576</v>
      </c>
      <c r="O25" t="s">
        <v>1484</v>
      </c>
      <c r="P25" t="s">
        <v>1577</v>
      </c>
      <c r="Q25" t="s">
        <v>85</v>
      </c>
      <c r="R25" t="s">
        <v>86</v>
      </c>
      <c r="S25" t="s">
        <v>16</v>
      </c>
    </row>
    <row r="26" spans="2:19" x14ac:dyDescent="0.45">
      <c r="B26" t="s">
        <v>229</v>
      </c>
      <c r="C26" t="s">
        <v>235</v>
      </c>
      <c r="E26" t="s">
        <v>232</v>
      </c>
      <c r="M26" t="s">
        <v>9</v>
      </c>
      <c r="N26" t="s">
        <v>1578</v>
      </c>
      <c r="O26" t="s">
        <v>1484</v>
      </c>
      <c r="P26" t="s">
        <v>1579</v>
      </c>
      <c r="Q26" t="s">
        <v>85</v>
      </c>
      <c r="R26" t="s">
        <v>86</v>
      </c>
      <c r="S26" t="s">
        <v>16</v>
      </c>
    </row>
    <row r="27" spans="2:19" x14ac:dyDescent="0.45">
      <c r="B27" t="s">
        <v>229</v>
      </c>
      <c r="C27" t="s">
        <v>238</v>
      </c>
      <c r="E27" t="s">
        <v>232</v>
      </c>
      <c r="M27" t="s">
        <v>9</v>
      </c>
      <c r="N27" t="s">
        <v>1580</v>
      </c>
      <c r="O27" t="s">
        <v>1484</v>
      </c>
      <c r="P27" t="s">
        <v>1581</v>
      </c>
      <c r="Q27" t="s">
        <v>85</v>
      </c>
      <c r="R27" t="s">
        <v>86</v>
      </c>
      <c r="S27" t="s">
        <v>16</v>
      </c>
    </row>
    <row r="28" spans="2:19" x14ac:dyDescent="0.45">
      <c r="M28" t="s">
        <v>9</v>
      </c>
      <c r="N28" t="s">
        <v>1582</v>
      </c>
      <c r="O28" t="s">
        <v>1484</v>
      </c>
      <c r="P28" t="s">
        <v>1583</v>
      </c>
      <c r="Q28" t="s">
        <v>85</v>
      </c>
      <c r="R28" t="s">
        <v>86</v>
      </c>
      <c r="S28" t="s">
        <v>16</v>
      </c>
    </row>
    <row r="29" spans="2:19" x14ac:dyDescent="0.45">
      <c r="M29" t="s">
        <v>9</v>
      </c>
      <c r="N29" t="s">
        <v>1584</v>
      </c>
      <c r="O29" t="s">
        <v>1484</v>
      </c>
      <c r="P29" t="s">
        <v>1585</v>
      </c>
      <c r="Q29" t="s">
        <v>85</v>
      </c>
      <c r="R29" t="s">
        <v>86</v>
      </c>
      <c r="S29" t="s">
        <v>16</v>
      </c>
    </row>
    <row r="30" spans="2:19" ht="17.25" thickBot="1" x14ac:dyDescent="0.55000000000000004">
      <c r="B30" s="1" t="s">
        <v>245</v>
      </c>
      <c r="C30" s="2"/>
      <c r="D30" s="2"/>
    </row>
    <row r="31" spans="2:19" ht="15" thickTop="1" thickBot="1" x14ac:dyDescent="0.5">
      <c r="B31" s="4" t="s">
        <v>248</v>
      </c>
      <c r="C31" s="4" t="s">
        <v>249</v>
      </c>
      <c r="D31" s="4" t="s">
        <v>250</v>
      </c>
    </row>
    <row r="32" spans="2:19" x14ac:dyDescent="0.45">
      <c r="B32" t="s">
        <v>253</v>
      </c>
      <c r="C32" t="s">
        <v>254</v>
      </c>
      <c r="D32" t="s">
        <v>255</v>
      </c>
    </row>
    <row r="38" spans="2:7" ht="17.25" thickBot="1" x14ac:dyDescent="0.55000000000000004">
      <c r="B38" s="1" t="s">
        <v>153</v>
      </c>
      <c r="C38" s="2"/>
      <c r="D38" s="2"/>
    </row>
    <row r="39" spans="2:7" ht="15" thickTop="1" thickBot="1" x14ac:dyDescent="0.5">
      <c r="B39" s="4" t="s">
        <v>1</v>
      </c>
      <c r="C39" s="4" t="s">
        <v>2</v>
      </c>
      <c r="D39" s="4" t="s">
        <v>4</v>
      </c>
      <c r="E39" s="4" t="s">
        <v>8</v>
      </c>
      <c r="F39" s="4" t="s">
        <v>6</v>
      </c>
      <c r="G39" s="4" t="s">
        <v>270</v>
      </c>
    </row>
    <row r="40" spans="2:7" x14ac:dyDescent="0.45">
      <c r="B40" t="s">
        <v>9</v>
      </c>
      <c r="C40" t="s">
        <v>273</v>
      </c>
      <c r="D40" t="s">
        <v>274</v>
      </c>
      <c r="E40" t="s">
        <v>275</v>
      </c>
      <c r="F40" t="s">
        <v>276</v>
      </c>
      <c r="G40" t="s">
        <v>85</v>
      </c>
    </row>
    <row r="41" spans="2:7" x14ac:dyDescent="0.45">
      <c r="C41" t="s">
        <v>279</v>
      </c>
      <c r="D41" t="s">
        <v>280</v>
      </c>
      <c r="E41" t="s">
        <v>275</v>
      </c>
      <c r="F41" t="s">
        <v>276</v>
      </c>
      <c r="G41" t="s">
        <v>85</v>
      </c>
    </row>
    <row r="42" spans="2:7" x14ac:dyDescent="0.45">
      <c r="B42" t="s">
        <v>229</v>
      </c>
      <c r="C42" t="s">
        <v>283</v>
      </c>
      <c r="D42" t="s">
        <v>284</v>
      </c>
      <c r="E42" t="s">
        <v>275</v>
      </c>
      <c r="F42" t="s">
        <v>276</v>
      </c>
    </row>
    <row r="43" spans="2:7" x14ac:dyDescent="0.45">
      <c r="C43" t="s">
        <v>287</v>
      </c>
      <c r="D43" t="s">
        <v>288</v>
      </c>
      <c r="E43" t="s">
        <v>289</v>
      </c>
      <c r="F43" t="s">
        <v>290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34BD-4AD8-46BE-9C7D-C2904D20C99E}">
  <dimension ref="B2:H11"/>
  <sheetViews>
    <sheetView workbookViewId="0"/>
  </sheetViews>
  <sheetFormatPr defaultRowHeight="14.25" x14ac:dyDescent="0.4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 x14ac:dyDescent="0.45">
      <c r="B2" t="s">
        <v>1586</v>
      </c>
      <c r="F2" t="s">
        <v>1587</v>
      </c>
    </row>
    <row r="3" spans="2:8" x14ac:dyDescent="0.45">
      <c r="B3" t="s">
        <v>1588</v>
      </c>
      <c r="C3" t="s">
        <v>1589</v>
      </c>
      <c r="F3" t="s">
        <v>1590</v>
      </c>
      <c r="G3" t="s">
        <v>1591</v>
      </c>
      <c r="H3" t="s">
        <v>1592</v>
      </c>
    </row>
    <row r="4" spans="2:8" x14ac:dyDescent="0.45">
      <c r="B4" t="s">
        <v>1752</v>
      </c>
      <c r="C4" t="s">
        <v>11</v>
      </c>
      <c r="F4" t="s">
        <v>1593</v>
      </c>
      <c r="H4" t="s">
        <v>1594</v>
      </c>
    </row>
    <row r="5" spans="2:8" x14ac:dyDescent="0.45">
      <c r="C5" t="s">
        <v>366</v>
      </c>
      <c r="F5" t="s">
        <v>1595</v>
      </c>
      <c r="H5" t="s">
        <v>1596</v>
      </c>
    </row>
    <row r="6" spans="2:8" x14ac:dyDescent="0.45">
      <c r="C6" t="s">
        <v>579</v>
      </c>
    </row>
    <row r="7" spans="2:8" x14ac:dyDescent="0.45">
      <c r="C7" t="s">
        <v>664</v>
      </c>
    </row>
    <row r="8" spans="2:8" x14ac:dyDescent="0.45">
      <c r="C8" t="s">
        <v>923</v>
      </c>
    </row>
    <row r="9" spans="2:8" x14ac:dyDescent="0.45">
      <c r="C9" t="s">
        <v>1048</v>
      </c>
    </row>
    <row r="10" spans="2:8" x14ac:dyDescent="0.45">
      <c r="C10" t="s">
        <v>1275</v>
      </c>
    </row>
    <row r="11" spans="2:8" x14ac:dyDescent="0.45">
      <c r="C11" t="s">
        <v>1484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562E-E4D4-4A09-9F4D-407C641C82A7}">
  <dimension ref="B3:G33"/>
  <sheetViews>
    <sheetView workbookViewId="0"/>
  </sheetViews>
  <sheetFormatPr defaultColWidth="11.3984375" defaultRowHeight="12.75" x14ac:dyDescent="0.3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 x14ac:dyDescent="0.35">
      <c r="B3" s="6" t="s">
        <v>1597</v>
      </c>
    </row>
    <row r="4" spans="2:7" x14ac:dyDescent="0.35">
      <c r="B4" s="6">
        <v>2022</v>
      </c>
    </row>
    <row r="7" spans="2:7" x14ac:dyDescent="0.35">
      <c r="B7" s="6" t="s">
        <v>1598</v>
      </c>
    </row>
    <row r="8" spans="2:7" x14ac:dyDescent="0.35">
      <c r="B8" s="6" t="s">
        <v>1599</v>
      </c>
    </row>
    <row r="11" spans="2:7" x14ac:dyDescent="0.35">
      <c r="B11" s="6" t="s">
        <v>1600</v>
      </c>
      <c r="D11" s="6" t="s">
        <v>1601</v>
      </c>
    </row>
    <row r="12" spans="2:7" ht="14.25" x14ac:dyDescent="0.45">
      <c r="B12" s="7" t="s">
        <v>1599</v>
      </c>
      <c r="D12" s="8" t="s">
        <v>1602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 x14ac:dyDescent="0.45">
      <c r="B13" s="9">
        <v>1</v>
      </c>
      <c r="D13" s="6" t="s">
        <v>1603</v>
      </c>
    </row>
    <row r="14" spans="2:7" ht="14.25" x14ac:dyDescent="0.45">
      <c r="B14" s="9">
        <v>5</v>
      </c>
      <c r="D14" s="6" t="s">
        <v>1604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 x14ac:dyDescent="0.45">
      <c r="B15" s="9">
        <v>5</v>
      </c>
      <c r="D15" s="6" t="s">
        <v>1604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 x14ac:dyDescent="0.45">
      <c r="B16" s="9">
        <v>10</v>
      </c>
      <c r="D16" s="6" t="s">
        <v>1604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 x14ac:dyDescent="0.45">
      <c r="B17" s="9">
        <v>10</v>
      </c>
      <c r="D17" s="6" t="s">
        <v>1604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 x14ac:dyDescent="0.45">
      <c r="B18" s="9">
        <v>10</v>
      </c>
      <c r="D18" s="6" t="s">
        <v>1604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 x14ac:dyDescent="0.45">
      <c r="B19" s="9">
        <v>10</v>
      </c>
      <c r="D19" s="6" t="s">
        <v>1604</v>
      </c>
      <c r="E19" s="6">
        <f t="shared" si="2"/>
        <v>2045</v>
      </c>
      <c r="F19" s="6">
        <f>F18+10</f>
        <v>2050</v>
      </c>
    </row>
    <row r="20" spans="2:7" ht="14.25" x14ac:dyDescent="0.45">
      <c r="B20" s="9">
        <v>10</v>
      </c>
      <c r="D20" s="6" t="s">
        <v>1604</v>
      </c>
      <c r="E20" s="6">
        <f t="shared" si="2"/>
        <v>2050</v>
      </c>
    </row>
    <row r="21" spans="2:7" ht="14.25" x14ac:dyDescent="0.45">
      <c r="B21" s="9">
        <v>10</v>
      </c>
      <c r="D21" s="6" t="s">
        <v>1604</v>
      </c>
    </row>
    <row r="22" spans="2:7" ht="14.25" x14ac:dyDescent="0.45">
      <c r="B22" s="9">
        <v>10</v>
      </c>
      <c r="D22" s="6" t="s">
        <v>1604</v>
      </c>
    </row>
    <row r="23" spans="2:7" ht="14.25" x14ac:dyDescent="0.45">
      <c r="B23" s="9">
        <v>10</v>
      </c>
      <c r="D23" s="6" t="s">
        <v>1604</v>
      </c>
    </row>
    <row r="24" spans="2:7" ht="14.25" x14ac:dyDescent="0.45">
      <c r="B24" s="9">
        <v>10</v>
      </c>
      <c r="D24" s="6" t="s">
        <v>1604</v>
      </c>
    </row>
    <row r="25" spans="2:7" ht="14.25" x14ac:dyDescent="0.45">
      <c r="B25" s="9"/>
      <c r="D25" s="6" t="s">
        <v>1604</v>
      </c>
    </row>
    <row r="26" spans="2:7" ht="14.25" x14ac:dyDescent="0.45">
      <c r="B26" s="9"/>
      <c r="D26" s="6" t="s">
        <v>1604</v>
      </c>
    </row>
    <row r="27" spans="2:7" ht="14.25" x14ac:dyDescent="0.45">
      <c r="B27" s="9"/>
      <c r="D27" s="6" t="s">
        <v>1604</v>
      </c>
    </row>
    <row r="28" spans="2:7" ht="14.25" x14ac:dyDescent="0.45">
      <c r="B28" s="9"/>
      <c r="D28" s="6" t="s">
        <v>1604</v>
      </c>
    </row>
    <row r="29" spans="2:7" ht="14.25" x14ac:dyDescent="0.45">
      <c r="B29" s="9"/>
      <c r="D29" s="6" t="s">
        <v>1604</v>
      </c>
    </row>
    <row r="30" spans="2:7" ht="14.25" x14ac:dyDescent="0.45">
      <c r="B30" s="9"/>
    </row>
    <row r="31" spans="2:7" ht="14.25" x14ac:dyDescent="0.45">
      <c r="B31" s="9"/>
    </row>
    <row r="32" spans="2:7" ht="14.25" x14ac:dyDescent="0.45">
      <c r="B32" s="9"/>
    </row>
    <row r="33" spans="2:2" ht="14.25" x14ac:dyDescent="0.45">
      <c r="B33" s="9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EEB0-F105-4766-9E90-59146712B636}">
  <dimension ref="B1:N42"/>
  <sheetViews>
    <sheetView zoomScaleNormal="100" workbookViewId="0"/>
  </sheetViews>
  <sheetFormatPr defaultColWidth="11.3984375" defaultRowHeight="11.65" x14ac:dyDescent="0.3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 x14ac:dyDescent="0.35">
      <c r="B1" s="6"/>
      <c r="C1" s="10"/>
    </row>
    <row r="2" spans="2:12" ht="12.75" x14ac:dyDescent="0.35">
      <c r="B2" s="12"/>
      <c r="C2" s="13"/>
      <c r="D2" s="13"/>
      <c r="E2" s="13"/>
      <c r="F2" s="13"/>
      <c r="G2" s="13"/>
      <c r="H2" s="13"/>
      <c r="I2" s="13"/>
      <c r="J2" s="13"/>
    </row>
    <row r="3" spans="2:12" ht="12.75" x14ac:dyDescent="0.35">
      <c r="B3" s="13"/>
      <c r="C3" s="13"/>
      <c r="D3" s="13"/>
      <c r="E3" s="6"/>
      <c r="F3" s="6"/>
      <c r="G3" s="6"/>
      <c r="H3" s="13"/>
      <c r="I3" s="13"/>
      <c r="J3" s="13"/>
    </row>
    <row r="4" spans="2:12" x14ac:dyDescent="0.35">
      <c r="B4" s="14" t="s">
        <v>1605</v>
      </c>
      <c r="G4" s="14"/>
      <c r="H4" s="14"/>
      <c r="I4" s="14"/>
    </row>
    <row r="5" spans="2:12" x14ac:dyDescent="0.35">
      <c r="B5" s="15" t="s">
        <v>1606</v>
      </c>
      <c r="C5" s="15" t="s">
        <v>1607</v>
      </c>
      <c r="D5" s="15" t="s">
        <v>1608</v>
      </c>
      <c r="E5" s="15" t="s">
        <v>1609</v>
      </c>
      <c r="F5" s="15" t="s">
        <v>1610</v>
      </c>
      <c r="G5" s="15" t="s">
        <v>1611</v>
      </c>
      <c r="H5" s="15" t="s">
        <v>1612</v>
      </c>
      <c r="I5" s="15" t="s">
        <v>1613</v>
      </c>
      <c r="J5" s="15" t="s">
        <v>1614</v>
      </c>
      <c r="K5" s="15" t="s">
        <v>1615</v>
      </c>
      <c r="L5" s="15" t="s">
        <v>1616</v>
      </c>
    </row>
    <row r="6" spans="2:12" x14ac:dyDescent="0.35">
      <c r="D6" s="11" t="s">
        <v>1617</v>
      </c>
      <c r="E6" s="11">
        <v>0</v>
      </c>
      <c r="F6" s="11">
        <v>3</v>
      </c>
    </row>
    <row r="7" spans="2:12" x14ac:dyDescent="0.35">
      <c r="D7" s="11" t="s">
        <v>1618</v>
      </c>
      <c r="E7" s="11">
        <v>0</v>
      </c>
      <c r="F7" s="11">
        <v>3</v>
      </c>
    </row>
    <row r="8" spans="2:12" x14ac:dyDescent="0.35">
      <c r="D8" s="11" t="s">
        <v>1619</v>
      </c>
      <c r="E8" s="11">
        <v>0</v>
      </c>
      <c r="F8" s="11">
        <v>3</v>
      </c>
    </row>
    <row r="9" spans="2:12" x14ac:dyDescent="0.35">
      <c r="D9" s="11" t="s">
        <v>1620</v>
      </c>
      <c r="E9" s="11">
        <v>0</v>
      </c>
      <c r="F9" s="11">
        <v>3</v>
      </c>
    </row>
    <row r="10" spans="2:12" x14ac:dyDescent="0.35">
      <c r="D10" s="11" t="s">
        <v>1621</v>
      </c>
      <c r="E10" s="11">
        <v>0</v>
      </c>
      <c r="F10" s="11">
        <v>5</v>
      </c>
    </row>
    <row r="11" spans="2:12" x14ac:dyDescent="0.35">
      <c r="D11" s="11" t="s">
        <v>1622</v>
      </c>
      <c r="E11" s="11">
        <v>0</v>
      </c>
      <c r="F11" s="11">
        <v>3</v>
      </c>
    </row>
    <row r="14" spans="2:12" x14ac:dyDescent="0.35">
      <c r="B14" s="14" t="s">
        <v>1623</v>
      </c>
      <c r="G14" s="14"/>
      <c r="H14" s="14"/>
      <c r="I14" s="14"/>
    </row>
    <row r="15" spans="2:12" x14ac:dyDescent="0.35">
      <c r="B15" s="15" t="s">
        <v>1606</v>
      </c>
      <c r="C15" s="15" t="s">
        <v>1607</v>
      </c>
      <c r="D15" s="15" t="s">
        <v>1608</v>
      </c>
      <c r="E15" s="15" t="s">
        <v>1624</v>
      </c>
      <c r="F15" s="15" t="s">
        <v>1610</v>
      </c>
      <c r="G15" s="15" t="s">
        <v>1625</v>
      </c>
      <c r="H15" s="15" t="s">
        <v>1612</v>
      </c>
      <c r="I15" s="15" t="s">
        <v>1613</v>
      </c>
    </row>
    <row r="16" spans="2:12" x14ac:dyDescent="0.35">
      <c r="D16" s="11" t="s">
        <v>1626</v>
      </c>
      <c r="F16" s="11">
        <v>2222</v>
      </c>
      <c r="G16" s="11" t="s">
        <v>1627</v>
      </c>
    </row>
    <row r="17" spans="2:14" x14ac:dyDescent="0.35">
      <c r="D17" s="11" t="s">
        <v>1626</v>
      </c>
      <c r="F17" s="11">
        <v>8888</v>
      </c>
      <c r="G17" s="11" t="s">
        <v>1628</v>
      </c>
    </row>
    <row r="18" spans="2:14" ht="12.75" x14ac:dyDescent="0.35">
      <c r="B18" s="13"/>
      <c r="C18" s="13"/>
      <c r="D18" s="11" t="s">
        <v>1629</v>
      </c>
      <c r="F18" s="11">
        <v>8888</v>
      </c>
      <c r="G18" s="11" t="s">
        <v>1630</v>
      </c>
      <c r="H18" s="13"/>
      <c r="I18" s="13"/>
      <c r="J18" s="13"/>
    </row>
    <row r="19" spans="2:14" ht="12.75" x14ac:dyDescent="0.3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 x14ac:dyDescent="0.3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 x14ac:dyDescent="0.4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 x14ac:dyDescent="0.4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 x14ac:dyDescent="0.4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 x14ac:dyDescent="0.4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 x14ac:dyDescent="0.4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 x14ac:dyDescent="0.4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 x14ac:dyDescent="0.4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 x14ac:dyDescent="0.4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 x14ac:dyDescent="0.4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 x14ac:dyDescent="0.4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 x14ac:dyDescent="0.4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 x14ac:dyDescent="0.4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 x14ac:dyDescent="0.4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 x14ac:dyDescent="0.4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 x14ac:dyDescent="0.4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 x14ac:dyDescent="0.4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 x14ac:dyDescent="0.4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 x14ac:dyDescent="0.4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 x14ac:dyDescent="0.4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 x14ac:dyDescent="0.4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 x14ac:dyDescent="0.4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 x14ac:dyDescent="0.4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488-CF56-4802-BBAE-447110612217}">
  <dimension ref="A2:N102"/>
  <sheetViews>
    <sheetView workbookViewId="0"/>
  </sheetViews>
  <sheetFormatPr defaultColWidth="11.3984375" defaultRowHeight="11.65" x14ac:dyDescent="0.3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 x14ac:dyDescent="0.55000000000000004">
      <c r="A2" s="13"/>
      <c r="B2" s="16" t="s">
        <v>1631</v>
      </c>
      <c r="E2" s="16" t="s">
        <v>1632</v>
      </c>
      <c r="L2" s="16" t="s">
        <v>1633</v>
      </c>
      <c r="M2" s="6"/>
      <c r="N2" s="6"/>
    </row>
    <row r="3" spans="1:14" ht="15" thickTop="1" thickBot="1" x14ac:dyDescent="0.5">
      <c r="A3" s="13"/>
      <c r="B3" s="5" t="s">
        <v>1634</v>
      </c>
      <c r="E3" s="5" t="s">
        <v>1606</v>
      </c>
      <c r="F3" s="5" t="s">
        <v>1608</v>
      </c>
      <c r="G3" s="5" t="s">
        <v>1635</v>
      </c>
      <c r="H3" s="5" t="s">
        <v>1636</v>
      </c>
      <c r="I3" s="5">
        <v>2022</v>
      </c>
      <c r="J3" s="5" t="s">
        <v>1613</v>
      </c>
      <c r="L3" s="5" t="s">
        <v>1637</v>
      </c>
      <c r="M3" s="5" t="s">
        <v>1638</v>
      </c>
      <c r="N3" s="5" t="s">
        <v>1639</v>
      </c>
    </row>
    <row r="4" spans="1:14" ht="13.15" x14ac:dyDescent="0.4">
      <c r="A4" s="13"/>
      <c r="B4" s="17" t="s">
        <v>1640</v>
      </c>
      <c r="C4" s="6"/>
      <c r="F4" s="11" t="s">
        <v>1641</v>
      </c>
      <c r="I4" s="11">
        <v>0.05</v>
      </c>
      <c r="J4" s="11" t="s">
        <v>85</v>
      </c>
      <c r="L4" s="6" t="s">
        <v>1642</v>
      </c>
      <c r="M4" s="6" t="s">
        <v>275</v>
      </c>
      <c r="N4" s="6">
        <v>1055.55</v>
      </c>
    </row>
    <row r="5" spans="1:14" ht="13.15" x14ac:dyDescent="0.4">
      <c r="A5" s="13"/>
      <c r="B5" s="17" t="s">
        <v>1643</v>
      </c>
      <c r="E5" s="11" t="s">
        <v>290</v>
      </c>
      <c r="F5" s="11" t="s">
        <v>1644</v>
      </c>
      <c r="I5" s="11">
        <v>1</v>
      </c>
      <c r="J5" s="11" t="s">
        <v>85</v>
      </c>
      <c r="L5" s="6" t="s">
        <v>1645</v>
      </c>
      <c r="M5" s="6" t="s">
        <v>275</v>
      </c>
      <c r="N5" s="6">
        <v>3.6</v>
      </c>
    </row>
    <row r="6" spans="1:14" ht="13.15" x14ac:dyDescent="0.4">
      <c r="A6" s="13"/>
      <c r="B6" s="17" t="s">
        <v>1646</v>
      </c>
      <c r="F6" s="11" t="s">
        <v>1647</v>
      </c>
      <c r="I6" s="11">
        <v>2025</v>
      </c>
      <c r="L6" s="6" t="s">
        <v>1648</v>
      </c>
      <c r="M6" s="6" t="s">
        <v>1649</v>
      </c>
      <c r="N6" s="6">
        <v>1000</v>
      </c>
    </row>
    <row r="7" spans="1:14" ht="13.15" x14ac:dyDescent="0.4">
      <c r="A7" s="13"/>
      <c r="B7" s="17" t="s">
        <v>1650</v>
      </c>
      <c r="F7" s="11" t="s">
        <v>1651</v>
      </c>
      <c r="I7" s="11">
        <v>1</v>
      </c>
      <c r="L7" s="6" t="s">
        <v>1652</v>
      </c>
      <c r="M7" s="6" t="s">
        <v>1653</v>
      </c>
      <c r="N7" s="6">
        <v>1000</v>
      </c>
    </row>
    <row r="8" spans="1:14" ht="13.15" x14ac:dyDescent="0.4">
      <c r="A8" s="13"/>
      <c r="B8" s="17" t="s">
        <v>1654</v>
      </c>
      <c r="F8" s="11" t="s">
        <v>1655</v>
      </c>
      <c r="G8" s="11" t="s">
        <v>1656</v>
      </c>
      <c r="H8" s="11" t="s">
        <v>1657</v>
      </c>
      <c r="I8" s="11">
        <v>2.2201</v>
      </c>
      <c r="L8" s="6" t="s">
        <v>1658</v>
      </c>
      <c r="M8" s="6" t="s">
        <v>275</v>
      </c>
      <c r="N8" s="6">
        <v>1.05555</v>
      </c>
    </row>
    <row r="9" spans="1:14" ht="13.15" x14ac:dyDescent="0.4">
      <c r="A9" s="13"/>
      <c r="B9" s="17" t="s">
        <v>1659</v>
      </c>
      <c r="F9" s="11" t="s">
        <v>1655</v>
      </c>
      <c r="G9" s="11" t="s">
        <v>1656</v>
      </c>
      <c r="H9" s="11" t="s">
        <v>1660</v>
      </c>
      <c r="I9" s="11">
        <v>2.1427</v>
      </c>
      <c r="L9" s="6" t="s">
        <v>1661</v>
      </c>
      <c r="M9" s="6" t="s">
        <v>275</v>
      </c>
      <c r="N9" s="6">
        <v>4.1868000000000002E-2</v>
      </c>
    </row>
    <row r="10" spans="1:14" ht="13.15" x14ac:dyDescent="0.4">
      <c r="A10" s="13"/>
      <c r="B10" s="17" t="s">
        <v>1662</v>
      </c>
      <c r="F10" s="11" t="s">
        <v>1655</v>
      </c>
      <c r="G10" s="11" t="s">
        <v>1656</v>
      </c>
      <c r="H10" s="11" t="s">
        <v>1663</v>
      </c>
      <c r="I10" s="11">
        <v>2.077</v>
      </c>
      <c r="L10" s="6" t="s">
        <v>1664</v>
      </c>
      <c r="M10" s="6" t="s">
        <v>275</v>
      </c>
      <c r="N10" s="6">
        <v>41.868000000000002</v>
      </c>
    </row>
    <row r="11" spans="1:14" ht="13.15" x14ac:dyDescent="0.4">
      <c r="A11" s="13"/>
      <c r="B11" s="17" t="s">
        <v>1665</v>
      </c>
      <c r="F11" s="11" t="s">
        <v>1655</v>
      </c>
      <c r="G11" s="11" t="s">
        <v>1656</v>
      </c>
      <c r="H11" s="11" t="s">
        <v>1666</v>
      </c>
      <c r="I11" s="11">
        <v>2.0358000000000001</v>
      </c>
      <c r="L11" s="6" t="s">
        <v>1667</v>
      </c>
      <c r="M11" s="6" t="s">
        <v>275</v>
      </c>
      <c r="N11" s="6">
        <v>3.5999999999999999E-3</v>
      </c>
    </row>
    <row r="12" spans="1:14" ht="13.15" x14ac:dyDescent="0.4">
      <c r="A12" s="13"/>
      <c r="B12" s="17" t="s">
        <v>1668</v>
      </c>
      <c r="F12" s="11" t="s">
        <v>1655</v>
      </c>
      <c r="G12" s="11" t="s">
        <v>1656</v>
      </c>
      <c r="H12" s="11" t="s">
        <v>1669</v>
      </c>
      <c r="I12" s="11">
        <v>1.9870000000000001</v>
      </c>
      <c r="L12" s="6" t="s">
        <v>1670</v>
      </c>
      <c r="M12" s="6" t="s">
        <v>1649</v>
      </c>
      <c r="N12" s="6">
        <v>1000000</v>
      </c>
    </row>
    <row r="13" spans="1:14" ht="13.15" x14ac:dyDescent="0.4">
      <c r="A13" s="13"/>
      <c r="B13" s="17" t="s">
        <v>1671</v>
      </c>
      <c r="F13" s="11" t="s">
        <v>1655</v>
      </c>
      <c r="G13" s="11" t="s">
        <v>1656</v>
      </c>
      <c r="H13" s="11" t="s">
        <v>1672</v>
      </c>
      <c r="I13" s="11">
        <v>1.9192</v>
      </c>
      <c r="L13" s="6" t="s">
        <v>1673</v>
      </c>
      <c r="M13" s="6" t="s">
        <v>1674</v>
      </c>
      <c r="N13" s="6">
        <v>1000</v>
      </c>
    </row>
    <row r="14" spans="1:14" ht="13.15" x14ac:dyDescent="0.4">
      <c r="A14" s="13"/>
      <c r="B14" s="17" t="s">
        <v>1675</v>
      </c>
      <c r="F14" s="11" t="s">
        <v>1655</v>
      </c>
      <c r="G14" s="11" t="s">
        <v>1656</v>
      </c>
      <c r="H14" s="11" t="s">
        <v>1676</v>
      </c>
      <c r="I14" s="11">
        <v>1.8468</v>
      </c>
      <c r="L14" s="6" t="s">
        <v>1677</v>
      </c>
      <c r="M14" s="6" t="s">
        <v>1678</v>
      </c>
      <c r="N14" s="6">
        <v>5.8615199999999996</v>
      </c>
    </row>
    <row r="15" spans="1:14" ht="13.15" x14ac:dyDescent="0.4">
      <c r="A15" s="13"/>
      <c r="B15" s="17" t="s">
        <v>1679</v>
      </c>
      <c r="F15" s="11" t="s">
        <v>1655</v>
      </c>
      <c r="G15" s="11" t="s">
        <v>1656</v>
      </c>
      <c r="H15" s="11" t="s">
        <v>1680</v>
      </c>
      <c r="I15" s="11">
        <v>1.7799</v>
      </c>
      <c r="L15" s="6" t="s">
        <v>1681</v>
      </c>
      <c r="M15" s="6" t="s">
        <v>1682</v>
      </c>
      <c r="N15" s="6">
        <v>1E-3</v>
      </c>
    </row>
    <row r="16" spans="1:14" ht="13.15" x14ac:dyDescent="0.4">
      <c r="A16" s="13"/>
      <c r="B16" s="17" t="s">
        <v>1683</v>
      </c>
      <c r="F16" s="11" t="s">
        <v>1655</v>
      </c>
      <c r="G16" s="11" t="s">
        <v>1656</v>
      </c>
      <c r="H16" s="11" t="s">
        <v>1684</v>
      </c>
      <c r="I16" s="11">
        <v>1.722</v>
      </c>
      <c r="L16" s="6" t="s">
        <v>1685</v>
      </c>
      <c r="M16" s="6" t="s">
        <v>275</v>
      </c>
      <c r="N16" s="6">
        <v>1000</v>
      </c>
    </row>
    <row r="17" spans="1:14" ht="13.15" x14ac:dyDescent="0.4">
      <c r="A17" s="13"/>
      <c r="B17" s="17" t="s">
        <v>1686</v>
      </c>
      <c r="F17" s="11" t="s">
        <v>1655</v>
      </c>
      <c r="G17" s="11" t="s">
        <v>1656</v>
      </c>
      <c r="H17" s="11" t="s">
        <v>1687</v>
      </c>
      <c r="I17" s="11">
        <v>1.6836</v>
      </c>
      <c r="L17" s="6" t="s">
        <v>1688</v>
      </c>
      <c r="M17" s="6" t="s">
        <v>275</v>
      </c>
      <c r="N17" s="6">
        <v>37.68</v>
      </c>
    </row>
    <row r="18" spans="1:14" ht="13.15" x14ac:dyDescent="0.4">
      <c r="B18" s="17" t="s">
        <v>1689</v>
      </c>
      <c r="F18" s="11" t="s">
        <v>1655</v>
      </c>
      <c r="G18" s="11" t="s">
        <v>1656</v>
      </c>
      <c r="H18" s="11" t="s">
        <v>1690</v>
      </c>
      <c r="I18" s="11">
        <v>1.6446000000000001</v>
      </c>
      <c r="L18" s="6" t="s">
        <v>1691</v>
      </c>
      <c r="M18" s="6" t="s">
        <v>275</v>
      </c>
      <c r="N18" s="6">
        <v>2139.4548</v>
      </c>
    </row>
    <row r="19" spans="1:14" ht="13.15" x14ac:dyDescent="0.4">
      <c r="B19" s="17" t="s">
        <v>1692</v>
      </c>
      <c r="F19" s="11" t="s">
        <v>1655</v>
      </c>
      <c r="G19" s="11" t="s">
        <v>1656</v>
      </c>
      <c r="H19" s="11" t="s">
        <v>1693</v>
      </c>
      <c r="I19" s="11">
        <v>1.6102000000000001</v>
      </c>
      <c r="L19" s="6" t="s">
        <v>1694</v>
      </c>
      <c r="M19" s="6" t="s">
        <v>1695</v>
      </c>
      <c r="N19" s="6">
        <v>2.78</v>
      </c>
    </row>
    <row r="20" spans="1:14" ht="13.15" x14ac:dyDescent="0.4">
      <c r="B20" s="17" t="s">
        <v>1696</v>
      </c>
      <c r="F20" s="11" t="s">
        <v>1655</v>
      </c>
      <c r="G20" s="11" t="s">
        <v>1656</v>
      </c>
      <c r="H20" s="11" t="s">
        <v>1697</v>
      </c>
      <c r="I20" s="11">
        <v>1.5770999999999999</v>
      </c>
      <c r="L20" s="6" t="s">
        <v>1698</v>
      </c>
      <c r="M20" s="6" t="s">
        <v>275</v>
      </c>
      <c r="N20" s="6">
        <v>3.6</v>
      </c>
    </row>
    <row r="21" spans="1:14" ht="13.15" x14ac:dyDescent="0.4">
      <c r="B21" s="17" t="s">
        <v>1699</v>
      </c>
      <c r="F21" s="11" t="s">
        <v>1655</v>
      </c>
      <c r="G21" s="11" t="s">
        <v>1656</v>
      </c>
      <c r="H21" s="11" t="s">
        <v>1700</v>
      </c>
      <c r="I21" s="11">
        <v>1.5488</v>
      </c>
      <c r="L21" s="6" t="s">
        <v>275</v>
      </c>
      <c r="M21" s="6" t="s">
        <v>275</v>
      </c>
      <c r="N21" s="6">
        <v>1</v>
      </c>
    </row>
    <row r="22" spans="1:14" ht="13.15" x14ac:dyDescent="0.4">
      <c r="B22" s="17" t="s">
        <v>1701</v>
      </c>
      <c r="F22" s="11" t="s">
        <v>1655</v>
      </c>
      <c r="G22" s="11" t="s">
        <v>1656</v>
      </c>
      <c r="H22" s="11" t="s">
        <v>1702</v>
      </c>
      <c r="I22" s="11">
        <v>1.5224</v>
      </c>
      <c r="L22" s="6" t="s">
        <v>1703</v>
      </c>
      <c r="M22" s="6" t="s">
        <v>275</v>
      </c>
      <c r="N22" s="6">
        <v>31.536000000000001</v>
      </c>
    </row>
    <row r="23" spans="1:14" ht="13.15" x14ac:dyDescent="0.4">
      <c r="B23" s="17" t="s">
        <v>1704</v>
      </c>
      <c r="F23" s="11" t="s">
        <v>1655</v>
      </c>
      <c r="G23" s="11" t="s">
        <v>1656</v>
      </c>
      <c r="H23" s="11" t="s">
        <v>1705</v>
      </c>
      <c r="I23" s="11">
        <v>1.5058</v>
      </c>
      <c r="L23" s="6" t="s">
        <v>1706</v>
      </c>
      <c r="M23" s="6" t="s">
        <v>275</v>
      </c>
      <c r="N23" s="6">
        <v>120</v>
      </c>
    </row>
    <row r="24" spans="1:14" ht="13.15" x14ac:dyDescent="0.4">
      <c r="B24" s="17" t="s">
        <v>1707</v>
      </c>
      <c r="F24" s="11" t="s">
        <v>1655</v>
      </c>
      <c r="G24" s="11" t="s">
        <v>1656</v>
      </c>
      <c r="H24" s="11" t="s">
        <v>1708</v>
      </c>
      <c r="I24" s="11">
        <v>1.4844999999999999</v>
      </c>
      <c r="L24" s="11" t="s">
        <v>1709</v>
      </c>
      <c r="M24" s="11" t="s">
        <v>275</v>
      </c>
      <c r="N24" s="11">
        <v>5.8615199999999996</v>
      </c>
    </row>
    <row r="25" spans="1:14" ht="13.15" x14ac:dyDescent="0.4">
      <c r="B25" s="17" t="s">
        <v>1710</v>
      </c>
      <c r="F25" s="11" t="s">
        <v>1655</v>
      </c>
      <c r="G25" s="11" t="s">
        <v>1656</v>
      </c>
      <c r="H25" s="11" t="s">
        <v>1665</v>
      </c>
      <c r="I25" s="11">
        <v>1.4518</v>
      </c>
      <c r="L25" s="11" t="s">
        <v>1711</v>
      </c>
      <c r="M25" s="11" t="s">
        <v>275</v>
      </c>
      <c r="N25" s="11">
        <v>54</v>
      </c>
    </row>
    <row r="26" spans="1:14" ht="13.15" x14ac:dyDescent="0.4">
      <c r="B26" s="17" t="s">
        <v>1712</v>
      </c>
      <c r="F26" s="11" t="s">
        <v>1655</v>
      </c>
      <c r="G26" s="11" t="s">
        <v>1656</v>
      </c>
      <c r="H26" s="11" t="s">
        <v>1668</v>
      </c>
      <c r="I26" s="11">
        <v>1.4198999999999999</v>
      </c>
    </row>
    <row r="27" spans="1:14" ht="13.15" x14ac:dyDescent="0.4">
      <c r="B27" s="17" t="s">
        <v>1713</v>
      </c>
      <c r="F27" s="11" t="s">
        <v>1655</v>
      </c>
      <c r="G27" s="11" t="s">
        <v>1656</v>
      </c>
      <c r="H27" s="11" t="s">
        <v>1671</v>
      </c>
      <c r="I27" s="11">
        <v>1.3986000000000001</v>
      </c>
    </row>
    <row r="28" spans="1:14" ht="13.15" x14ac:dyDescent="0.4">
      <c r="B28" s="17" t="s">
        <v>1714</v>
      </c>
      <c r="F28" s="11" t="s">
        <v>1655</v>
      </c>
      <c r="G28" s="11" t="s">
        <v>1656</v>
      </c>
      <c r="H28" s="11" t="s">
        <v>1675</v>
      </c>
      <c r="I28" s="11">
        <v>1.3727</v>
      </c>
    </row>
    <row r="29" spans="1:14" ht="13.15" x14ac:dyDescent="0.4">
      <c r="B29" s="17" t="s">
        <v>1715</v>
      </c>
      <c r="F29" s="11" t="s">
        <v>1655</v>
      </c>
      <c r="G29" s="11" t="s">
        <v>1656</v>
      </c>
      <c r="H29" s="11" t="s">
        <v>1679</v>
      </c>
      <c r="I29" s="11">
        <v>1.3369</v>
      </c>
    </row>
    <row r="30" spans="1:14" ht="13.15" x14ac:dyDescent="0.4">
      <c r="B30" s="17" t="s">
        <v>1716</v>
      </c>
      <c r="F30" s="11" t="s">
        <v>1655</v>
      </c>
      <c r="G30" s="11" t="s">
        <v>1656</v>
      </c>
      <c r="H30" s="11" t="s">
        <v>1683</v>
      </c>
      <c r="I30" s="11">
        <v>1.2967</v>
      </c>
    </row>
    <row r="31" spans="1:14" ht="13.15" x14ac:dyDescent="0.4">
      <c r="B31" s="17" t="s">
        <v>1656</v>
      </c>
      <c r="F31" s="11" t="s">
        <v>1655</v>
      </c>
      <c r="G31" s="11" t="s">
        <v>1656</v>
      </c>
      <c r="H31" s="11" t="s">
        <v>1686</v>
      </c>
      <c r="I31" s="11">
        <v>1.2583</v>
      </c>
    </row>
    <row r="32" spans="1:14" ht="13.15" x14ac:dyDescent="0.4">
      <c r="B32" s="17" t="s">
        <v>1717</v>
      </c>
      <c r="F32" s="11" t="s">
        <v>1655</v>
      </c>
      <c r="G32" s="11" t="s">
        <v>1656</v>
      </c>
      <c r="H32" s="11" t="s">
        <v>1689</v>
      </c>
      <c r="I32" s="11">
        <v>1.2253000000000001</v>
      </c>
    </row>
    <row r="33" spans="2:9" ht="13.15" x14ac:dyDescent="0.4">
      <c r="B33" s="17" t="s">
        <v>1718</v>
      </c>
      <c r="F33" s="11" t="s">
        <v>1655</v>
      </c>
      <c r="G33" s="11" t="s">
        <v>1656</v>
      </c>
      <c r="H33" s="11" t="s">
        <v>1692</v>
      </c>
      <c r="I33" s="11">
        <v>1.2023999999999999</v>
      </c>
    </row>
    <row r="34" spans="2:9" ht="13.15" x14ac:dyDescent="0.4">
      <c r="B34" s="17" t="s">
        <v>1719</v>
      </c>
      <c r="F34" s="11" t="s">
        <v>1655</v>
      </c>
      <c r="G34" s="11" t="s">
        <v>1656</v>
      </c>
      <c r="H34" s="11" t="s">
        <v>1696</v>
      </c>
      <c r="I34" s="11">
        <v>1.1931</v>
      </c>
    </row>
    <row r="35" spans="2:9" ht="13.15" x14ac:dyDescent="0.4">
      <c r="B35" s="17" t="s">
        <v>1720</v>
      </c>
      <c r="F35" s="11" t="s">
        <v>1655</v>
      </c>
      <c r="G35" s="11" t="s">
        <v>1656</v>
      </c>
      <c r="H35" s="11" t="s">
        <v>1699</v>
      </c>
      <c r="I35" s="11">
        <v>1.1793</v>
      </c>
    </row>
    <row r="36" spans="2:9" ht="13.15" x14ac:dyDescent="0.4">
      <c r="B36" s="17" t="s">
        <v>1640</v>
      </c>
      <c r="F36" s="11" t="s">
        <v>1655</v>
      </c>
      <c r="G36" s="11" t="s">
        <v>1656</v>
      </c>
      <c r="H36" s="11" t="s">
        <v>1701</v>
      </c>
      <c r="I36" s="11">
        <v>1.1552</v>
      </c>
    </row>
    <row r="37" spans="2:9" ht="13.15" x14ac:dyDescent="0.4">
      <c r="B37" s="17" t="s">
        <v>1657</v>
      </c>
      <c r="F37" s="11" t="s">
        <v>1655</v>
      </c>
      <c r="G37" s="11" t="s">
        <v>1656</v>
      </c>
      <c r="H37" s="11" t="s">
        <v>1704</v>
      </c>
      <c r="I37" s="11">
        <v>1.1334</v>
      </c>
    </row>
    <row r="38" spans="2:9" ht="13.15" x14ac:dyDescent="0.4">
      <c r="B38" s="17" t="s">
        <v>1660</v>
      </c>
      <c r="F38" s="11" t="s">
        <v>1655</v>
      </c>
      <c r="G38" s="11" t="s">
        <v>1656</v>
      </c>
      <c r="H38" s="11" t="s">
        <v>1707</v>
      </c>
      <c r="I38" s="11">
        <v>1.1136999999999999</v>
      </c>
    </row>
    <row r="39" spans="2:9" ht="13.15" x14ac:dyDescent="0.4">
      <c r="B39" s="17" t="s">
        <v>1663</v>
      </c>
      <c r="F39" s="11" t="s">
        <v>1655</v>
      </c>
      <c r="G39" s="11" t="s">
        <v>1656</v>
      </c>
      <c r="H39" s="11" t="s">
        <v>1710</v>
      </c>
      <c r="I39" s="11">
        <v>1.0934999999999999</v>
      </c>
    </row>
    <row r="40" spans="2:9" ht="13.15" x14ac:dyDescent="0.4">
      <c r="B40" s="17" t="s">
        <v>1666</v>
      </c>
      <c r="F40" s="11" t="s">
        <v>1655</v>
      </c>
      <c r="G40" s="11" t="s">
        <v>1656</v>
      </c>
      <c r="H40" s="11" t="s">
        <v>1712</v>
      </c>
      <c r="I40" s="11">
        <v>1.0831</v>
      </c>
    </row>
    <row r="41" spans="2:9" ht="13.15" x14ac:dyDescent="0.4">
      <c r="B41" s="17" t="s">
        <v>1669</v>
      </c>
      <c r="F41" s="11" t="s">
        <v>1655</v>
      </c>
      <c r="G41" s="11" t="s">
        <v>1656</v>
      </c>
      <c r="H41" s="11" t="s">
        <v>1713</v>
      </c>
      <c r="I41" s="11">
        <v>1.0719000000000001</v>
      </c>
    </row>
    <row r="42" spans="2:9" ht="13.15" x14ac:dyDescent="0.4">
      <c r="B42" s="17" t="s">
        <v>1672</v>
      </c>
      <c r="F42" s="11" t="s">
        <v>1655</v>
      </c>
      <c r="G42" s="11" t="s">
        <v>1656</v>
      </c>
      <c r="H42" s="11" t="s">
        <v>1714</v>
      </c>
      <c r="I42" s="11">
        <v>1.0519000000000001</v>
      </c>
    </row>
    <row r="43" spans="2:9" ht="13.15" x14ac:dyDescent="0.4">
      <c r="B43" s="17" t="s">
        <v>1676</v>
      </c>
      <c r="F43" s="11" t="s">
        <v>1655</v>
      </c>
      <c r="G43" s="11" t="s">
        <v>1656</v>
      </c>
      <c r="H43" s="11" t="s">
        <v>1715</v>
      </c>
      <c r="I43" s="11">
        <v>1.0274000000000001</v>
      </c>
    </row>
    <row r="44" spans="2:9" ht="13.15" x14ac:dyDescent="0.4">
      <c r="B44" s="17" t="s">
        <v>1680</v>
      </c>
      <c r="F44" s="11" t="s">
        <v>1655</v>
      </c>
      <c r="G44" s="11" t="s">
        <v>1656</v>
      </c>
      <c r="H44" s="11" t="s">
        <v>1716</v>
      </c>
      <c r="I44" s="11">
        <v>1.0091000000000001</v>
      </c>
    </row>
    <row r="45" spans="2:9" ht="13.15" x14ac:dyDescent="0.4">
      <c r="B45" s="17" t="s">
        <v>1684</v>
      </c>
      <c r="F45" s="11" t="s">
        <v>1721</v>
      </c>
      <c r="G45" s="11" t="s">
        <v>1656</v>
      </c>
      <c r="H45" s="11" t="s">
        <v>1656</v>
      </c>
      <c r="I45" s="11">
        <v>1</v>
      </c>
    </row>
    <row r="46" spans="2:9" ht="13.15" x14ac:dyDescent="0.4">
      <c r="B46" s="17" t="s">
        <v>1687</v>
      </c>
      <c r="F46" s="11" t="s">
        <v>1655</v>
      </c>
      <c r="G46" s="11" t="s">
        <v>1656</v>
      </c>
      <c r="H46" s="11" t="s">
        <v>1717</v>
      </c>
      <c r="I46" s="11">
        <v>0.98960000000000004</v>
      </c>
    </row>
    <row r="47" spans="2:9" ht="13.15" x14ac:dyDescent="0.4">
      <c r="B47" s="17" t="s">
        <v>1690</v>
      </c>
      <c r="F47" s="11" t="s">
        <v>1655</v>
      </c>
      <c r="G47" s="11" t="s">
        <v>1656</v>
      </c>
      <c r="H47" s="11" t="s">
        <v>1718</v>
      </c>
      <c r="I47" s="11">
        <v>0.97809999999999997</v>
      </c>
    </row>
    <row r="48" spans="2:9" ht="13.15" x14ac:dyDescent="0.4">
      <c r="B48" s="17" t="s">
        <v>1693</v>
      </c>
      <c r="F48" s="11" t="s">
        <v>1655</v>
      </c>
      <c r="G48" s="11" t="s">
        <v>1656</v>
      </c>
      <c r="H48" s="11" t="s">
        <v>1719</v>
      </c>
      <c r="I48" s="11">
        <v>0.96499999999999997</v>
      </c>
    </row>
    <row r="49" spans="2:9" ht="13.15" x14ac:dyDescent="0.4">
      <c r="B49" s="17" t="s">
        <v>1697</v>
      </c>
      <c r="F49" s="11" t="s">
        <v>1655</v>
      </c>
      <c r="G49" s="11" t="s">
        <v>1656</v>
      </c>
      <c r="H49" s="11" t="s">
        <v>1720</v>
      </c>
      <c r="I49" s="11">
        <v>0.94910000000000005</v>
      </c>
    </row>
    <row r="50" spans="2:9" ht="13.15" x14ac:dyDescent="0.4">
      <c r="B50" s="17" t="s">
        <v>1700</v>
      </c>
      <c r="F50" s="11" t="s">
        <v>1655</v>
      </c>
      <c r="G50" s="11" t="s">
        <v>1656</v>
      </c>
      <c r="H50" s="11" t="s">
        <v>1640</v>
      </c>
      <c r="I50" s="11">
        <v>0.92969999999999997</v>
      </c>
    </row>
    <row r="51" spans="2:9" ht="13.15" x14ac:dyDescent="0.4">
      <c r="B51" s="17" t="s">
        <v>1702</v>
      </c>
      <c r="F51" s="11" t="str">
        <f>F46</f>
        <v>G_CUREX</v>
      </c>
      <c r="G51" s="11" t="str">
        <f t="shared" ref="G51:I51" si="0">G46</f>
        <v>USD20</v>
      </c>
      <c r="H51" s="11" t="s">
        <v>1722</v>
      </c>
      <c r="I51" s="11">
        <f t="shared" si="0"/>
        <v>0.98960000000000004</v>
      </c>
    </row>
    <row r="52" spans="2:9" ht="13.15" x14ac:dyDescent="0.4">
      <c r="B52" s="17" t="s">
        <v>1705</v>
      </c>
      <c r="F52" s="11" t="s">
        <v>1723</v>
      </c>
      <c r="H52" s="11" t="s">
        <v>1657</v>
      </c>
      <c r="I52" s="11">
        <v>7.0000000000000007E-2</v>
      </c>
    </row>
    <row r="53" spans="2:9" ht="13.15" x14ac:dyDescent="0.4">
      <c r="B53" s="17" t="s">
        <v>1708</v>
      </c>
      <c r="F53" s="11" t="s">
        <v>1723</v>
      </c>
      <c r="H53" s="11" t="s">
        <v>1660</v>
      </c>
      <c r="I53" s="11">
        <v>7.0000000000000007E-2</v>
      </c>
    </row>
    <row r="54" spans="2:9" ht="13.15" x14ac:dyDescent="0.4">
      <c r="B54" s="17" t="s">
        <v>1722</v>
      </c>
      <c r="F54" s="11" t="s">
        <v>1723</v>
      </c>
      <c r="H54" s="11" t="s">
        <v>1663</v>
      </c>
      <c r="I54" s="11">
        <v>7.0000000000000007E-2</v>
      </c>
    </row>
    <row r="55" spans="2:9" x14ac:dyDescent="0.35">
      <c r="F55" s="11" t="s">
        <v>1723</v>
      </c>
      <c r="H55" s="11" t="s">
        <v>1666</v>
      </c>
      <c r="I55" s="11">
        <v>7.0000000000000007E-2</v>
      </c>
    </row>
    <row r="56" spans="2:9" x14ac:dyDescent="0.35">
      <c r="F56" s="11" t="s">
        <v>1723</v>
      </c>
      <c r="H56" s="11" t="s">
        <v>1669</v>
      </c>
      <c r="I56" s="11">
        <v>7.0000000000000007E-2</v>
      </c>
    </row>
    <row r="57" spans="2:9" x14ac:dyDescent="0.35">
      <c r="F57" s="11" t="s">
        <v>1723</v>
      </c>
      <c r="H57" s="11" t="s">
        <v>1672</v>
      </c>
      <c r="I57" s="11">
        <v>7.0000000000000007E-2</v>
      </c>
    </row>
    <row r="58" spans="2:9" x14ac:dyDescent="0.35">
      <c r="F58" s="11" t="s">
        <v>1723</v>
      </c>
      <c r="H58" s="11" t="s">
        <v>1676</v>
      </c>
      <c r="I58" s="11">
        <v>7.0000000000000007E-2</v>
      </c>
    </row>
    <row r="59" spans="2:9" x14ac:dyDescent="0.35">
      <c r="F59" s="11" t="s">
        <v>1723</v>
      </c>
      <c r="H59" s="11" t="s">
        <v>1680</v>
      </c>
      <c r="I59" s="11">
        <v>7.0000000000000007E-2</v>
      </c>
    </row>
    <row r="60" spans="2:9" x14ac:dyDescent="0.35">
      <c r="F60" s="11" t="s">
        <v>1723</v>
      </c>
      <c r="H60" s="11" t="s">
        <v>1684</v>
      </c>
      <c r="I60" s="11">
        <v>7.0000000000000007E-2</v>
      </c>
    </row>
    <row r="61" spans="2:9" x14ac:dyDescent="0.35">
      <c r="F61" s="11" t="s">
        <v>1723</v>
      </c>
      <c r="H61" s="11" t="s">
        <v>1687</v>
      </c>
      <c r="I61" s="11">
        <v>7.0000000000000007E-2</v>
      </c>
    </row>
    <row r="62" spans="2:9" x14ac:dyDescent="0.35">
      <c r="F62" s="11" t="s">
        <v>1723</v>
      </c>
      <c r="H62" s="11" t="s">
        <v>1690</v>
      </c>
      <c r="I62" s="11">
        <v>7.0000000000000007E-2</v>
      </c>
    </row>
    <row r="63" spans="2:9" x14ac:dyDescent="0.35">
      <c r="F63" s="11" t="s">
        <v>1723</v>
      </c>
      <c r="H63" s="11" t="s">
        <v>1693</v>
      </c>
      <c r="I63" s="11">
        <v>7.0000000000000007E-2</v>
      </c>
    </row>
    <row r="64" spans="2:9" x14ac:dyDescent="0.35">
      <c r="F64" s="11" t="s">
        <v>1723</v>
      </c>
      <c r="H64" s="11" t="s">
        <v>1697</v>
      </c>
      <c r="I64" s="11">
        <v>7.0000000000000007E-2</v>
      </c>
    </row>
    <row r="65" spans="6:9" x14ac:dyDescent="0.35">
      <c r="F65" s="11" t="s">
        <v>1723</v>
      </c>
      <c r="H65" s="11" t="s">
        <v>1700</v>
      </c>
      <c r="I65" s="11">
        <v>7.0000000000000007E-2</v>
      </c>
    </row>
    <row r="66" spans="6:9" x14ac:dyDescent="0.35">
      <c r="F66" s="11" t="s">
        <v>1723</v>
      </c>
      <c r="H66" s="11" t="s">
        <v>1702</v>
      </c>
      <c r="I66" s="11">
        <v>7.0000000000000007E-2</v>
      </c>
    </row>
    <row r="67" spans="6:9" x14ac:dyDescent="0.35">
      <c r="F67" s="11" t="s">
        <v>1723</v>
      </c>
      <c r="H67" s="11" t="s">
        <v>1705</v>
      </c>
      <c r="I67" s="11">
        <v>7.0000000000000007E-2</v>
      </c>
    </row>
    <row r="68" spans="6:9" x14ac:dyDescent="0.35">
      <c r="F68" s="11" t="s">
        <v>1723</v>
      </c>
      <c r="H68" s="11" t="s">
        <v>1708</v>
      </c>
      <c r="I68" s="11">
        <v>7.0000000000000007E-2</v>
      </c>
    </row>
    <row r="69" spans="6:9" x14ac:dyDescent="0.35">
      <c r="F69" s="11" t="s">
        <v>1723</v>
      </c>
      <c r="H69" s="11" t="s">
        <v>1665</v>
      </c>
      <c r="I69" s="11">
        <v>7.0000000000000007E-2</v>
      </c>
    </row>
    <row r="70" spans="6:9" x14ac:dyDescent="0.35">
      <c r="F70" s="11" t="s">
        <v>1723</v>
      </c>
      <c r="H70" s="11" t="s">
        <v>1668</v>
      </c>
      <c r="I70" s="11">
        <v>7.0000000000000007E-2</v>
      </c>
    </row>
    <row r="71" spans="6:9" x14ac:dyDescent="0.35">
      <c r="F71" s="11" t="s">
        <v>1723</v>
      </c>
      <c r="H71" s="11" t="s">
        <v>1671</v>
      </c>
      <c r="I71" s="11">
        <v>7.0000000000000007E-2</v>
      </c>
    </row>
    <row r="72" spans="6:9" x14ac:dyDescent="0.35">
      <c r="F72" s="11" t="s">
        <v>1723</v>
      </c>
      <c r="H72" s="11" t="s">
        <v>1675</v>
      </c>
      <c r="I72" s="11">
        <v>7.0000000000000007E-2</v>
      </c>
    </row>
    <row r="73" spans="6:9" x14ac:dyDescent="0.35">
      <c r="F73" s="11" t="s">
        <v>1723</v>
      </c>
      <c r="H73" s="11" t="s">
        <v>1679</v>
      </c>
      <c r="I73" s="11">
        <v>7.0000000000000007E-2</v>
      </c>
    </row>
    <row r="74" spans="6:9" x14ac:dyDescent="0.35">
      <c r="F74" s="11" t="s">
        <v>1723</v>
      </c>
      <c r="H74" s="11" t="s">
        <v>1683</v>
      </c>
      <c r="I74" s="11">
        <v>7.0000000000000007E-2</v>
      </c>
    </row>
    <row r="75" spans="6:9" x14ac:dyDescent="0.35">
      <c r="F75" s="11" t="s">
        <v>1723</v>
      </c>
      <c r="H75" s="11" t="s">
        <v>1686</v>
      </c>
      <c r="I75" s="11">
        <v>7.0000000000000007E-2</v>
      </c>
    </row>
    <row r="76" spans="6:9" x14ac:dyDescent="0.35">
      <c r="F76" s="11" t="s">
        <v>1723</v>
      </c>
      <c r="H76" s="11" t="s">
        <v>1689</v>
      </c>
      <c r="I76" s="11">
        <v>7.0000000000000007E-2</v>
      </c>
    </row>
    <row r="77" spans="6:9" x14ac:dyDescent="0.35">
      <c r="F77" s="11" t="s">
        <v>1723</v>
      </c>
      <c r="H77" s="11" t="s">
        <v>1692</v>
      </c>
      <c r="I77" s="11">
        <v>7.0000000000000007E-2</v>
      </c>
    </row>
    <row r="78" spans="6:9" x14ac:dyDescent="0.35">
      <c r="F78" s="11" t="s">
        <v>1723</v>
      </c>
      <c r="H78" s="11" t="s">
        <v>1696</v>
      </c>
      <c r="I78" s="11">
        <v>7.0000000000000007E-2</v>
      </c>
    </row>
    <row r="79" spans="6:9" x14ac:dyDescent="0.35">
      <c r="F79" s="11" t="s">
        <v>1723</v>
      </c>
      <c r="H79" s="11" t="s">
        <v>1699</v>
      </c>
      <c r="I79" s="11">
        <v>7.0000000000000007E-2</v>
      </c>
    </row>
    <row r="80" spans="6:9" x14ac:dyDescent="0.35">
      <c r="F80" s="11" t="s">
        <v>1723</v>
      </c>
      <c r="H80" s="11" t="s">
        <v>1701</v>
      </c>
      <c r="I80" s="11">
        <v>7.0000000000000007E-2</v>
      </c>
    </row>
    <row r="81" spans="6:9" x14ac:dyDescent="0.35">
      <c r="F81" s="11" t="s">
        <v>1723</v>
      </c>
      <c r="H81" s="11" t="s">
        <v>1704</v>
      </c>
      <c r="I81" s="11">
        <v>7.0000000000000007E-2</v>
      </c>
    </row>
    <row r="82" spans="6:9" x14ac:dyDescent="0.35">
      <c r="F82" s="11" t="s">
        <v>1723</v>
      </c>
      <c r="H82" s="11" t="s">
        <v>1707</v>
      </c>
      <c r="I82" s="11">
        <v>7.0000000000000007E-2</v>
      </c>
    </row>
    <row r="83" spans="6:9" x14ac:dyDescent="0.35">
      <c r="F83" s="11" t="s">
        <v>1723</v>
      </c>
      <c r="H83" s="11" t="s">
        <v>1710</v>
      </c>
      <c r="I83" s="11">
        <v>7.0000000000000007E-2</v>
      </c>
    </row>
    <row r="84" spans="6:9" x14ac:dyDescent="0.35">
      <c r="F84" s="11" t="s">
        <v>1723</v>
      </c>
      <c r="H84" s="11" t="s">
        <v>1712</v>
      </c>
      <c r="I84" s="11">
        <v>7.0000000000000007E-2</v>
      </c>
    </row>
    <row r="85" spans="6:9" x14ac:dyDescent="0.35">
      <c r="F85" s="11" t="s">
        <v>1723</v>
      </c>
      <c r="H85" s="11" t="s">
        <v>1713</v>
      </c>
      <c r="I85" s="11">
        <v>7.0000000000000007E-2</v>
      </c>
    </row>
    <row r="86" spans="6:9" x14ac:dyDescent="0.35">
      <c r="F86" s="11" t="s">
        <v>1723</v>
      </c>
      <c r="H86" s="11" t="s">
        <v>1714</v>
      </c>
      <c r="I86" s="11">
        <v>7.0000000000000007E-2</v>
      </c>
    </row>
    <row r="87" spans="6:9" x14ac:dyDescent="0.35">
      <c r="F87" s="11" t="s">
        <v>1723</v>
      </c>
      <c r="H87" s="11" t="s">
        <v>1715</v>
      </c>
      <c r="I87" s="11">
        <v>7.0000000000000007E-2</v>
      </c>
    </row>
    <row r="88" spans="6:9" x14ac:dyDescent="0.35">
      <c r="F88" s="11" t="s">
        <v>1723</v>
      </c>
      <c r="H88" s="11" t="s">
        <v>1716</v>
      </c>
      <c r="I88" s="11">
        <v>7.0000000000000007E-2</v>
      </c>
    </row>
    <row r="89" spans="6:9" x14ac:dyDescent="0.35">
      <c r="F89" s="11" t="s">
        <v>1723</v>
      </c>
      <c r="H89" s="11" t="s">
        <v>1656</v>
      </c>
      <c r="I89" s="11">
        <v>7.0000000000000007E-2</v>
      </c>
    </row>
    <row r="90" spans="6:9" x14ac:dyDescent="0.35">
      <c r="F90" s="11" t="s">
        <v>1723</v>
      </c>
      <c r="H90" s="11" t="s">
        <v>1717</v>
      </c>
      <c r="I90" s="11">
        <v>7.0000000000000007E-2</v>
      </c>
    </row>
    <row r="91" spans="6:9" x14ac:dyDescent="0.35">
      <c r="F91" s="11" t="s">
        <v>1723</v>
      </c>
      <c r="H91" s="11" t="s">
        <v>1718</v>
      </c>
      <c r="I91" s="11">
        <v>7.0000000000000007E-2</v>
      </c>
    </row>
    <row r="92" spans="6:9" x14ac:dyDescent="0.35">
      <c r="F92" s="11" t="s">
        <v>1723</v>
      </c>
      <c r="H92" s="11" t="s">
        <v>1719</v>
      </c>
      <c r="I92" s="11">
        <v>7.0000000000000007E-2</v>
      </c>
    </row>
    <row r="93" spans="6:9" x14ac:dyDescent="0.35">
      <c r="F93" s="11" t="s">
        <v>1723</v>
      </c>
      <c r="H93" s="11" t="s">
        <v>1720</v>
      </c>
      <c r="I93" s="11">
        <v>7.0000000000000007E-2</v>
      </c>
    </row>
    <row r="94" spans="6:9" x14ac:dyDescent="0.35">
      <c r="F94" s="11" t="s">
        <v>1723</v>
      </c>
      <c r="H94" s="11" t="s">
        <v>1640</v>
      </c>
      <c r="I94" s="11">
        <v>7.0000000000000007E-2</v>
      </c>
    </row>
    <row r="95" spans="6:9" x14ac:dyDescent="0.35">
      <c r="F95" s="11" t="s">
        <v>1723</v>
      </c>
      <c r="H95" s="11" t="str">
        <f>H51</f>
        <v>USD21_alt</v>
      </c>
      <c r="I95" s="11">
        <v>7.0000000000000007E-2</v>
      </c>
    </row>
    <row r="99" spans="5:10" ht="17.25" thickBot="1" x14ac:dyDescent="0.55000000000000004">
      <c r="E99" s="16" t="s">
        <v>1632</v>
      </c>
    </row>
    <row r="100" spans="5:10" ht="15" thickTop="1" thickBot="1" x14ac:dyDescent="0.5">
      <c r="E100" s="5" t="s">
        <v>1606</v>
      </c>
      <c r="F100" s="5" t="s">
        <v>1608</v>
      </c>
      <c r="G100" s="5" t="s">
        <v>1635</v>
      </c>
      <c r="H100" s="5" t="s">
        <v>1636</v>
      </c>
      <c r="I100" s="5">
        <v>2022</v>
      </c>
      <c r="J100" s="5" t="s">
        <v>1613</v>
      </c>
    </row>
    <row r="101" spans="5:10" ht="14.25" x14ac:dyDescent="0.45">
      <c r="E101"/>
      <c r="F101" s="18" t="s">
        <v>1655</v>
      </c>
      <c r="G101" s="18" t="s">
        <v>1656</v>
      </c>
      <c r="H101" s="18" t="s">
        <v>1646</v>
      </c>
      <c r="I101" s="19">
        <f>1.10926234054354*I40</f>
        <v>1.201442041042708</v>
      </c>
    </row>
    <row r="102" spans="5:10" ht="14.25" x14ac:dyDescent="0.45">
      <c r="E102"/>
      <c r="F102" s="18" t="s">
        <v>1723</v>
      </c>
      <c r="G102"/>
      <c r="H102" s="18" t="s">
        <v>1646</v>
      </c>
      <c r="I102" s="19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5695-F085-4443-8EC6-CDB0FB5B47EE}">
  <dimension ref="B3:D33"/>
  <sheetViews>
    <sheetView tabSelected="1" workbookViewId="0"/>
  </sheetViews>
  <sheetFormatPr defaultColWidth="8.86328125" defaultRowHeight="12.75" x14ac:dyDescent="0.3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 x14ac:dyDescent="0.55000000000000004">
      <c r="B3" s="16" t="s">
        <v>1623</v>
      </c>
    </row>
    <row r="4" spans="2:4" ht="15" thickTop="1" thickBot="1" x14ac:dyDescent="0.5">
      <c r="B4" s="5" t="s">
        <v>1608</v>
      </c>
      <c r="C4" s="5" t="s">
        <v>1635</v>
      </c>
      <c r="D4" s="5" t="s">
        <v>1610</v>
      </c>
    </row>
    <row r="5" spans="2:4" x14ac:dyDescent="0.35">
      <c r="B5" s="6" t="s">
        <v>1724</v>
      </c>
      <c r="C5" s="6" t="s">
        <v>1725</v>
      </c>
      <c r="D5" s="6">
        <v>-1</v>
      </c>
    </row>
    <row r="6" spans="2:4" x14ac:dyDescent="0.35">
      <c r="B6" s="6" t="s">
        <v>1724</v>
      </c>
      <c r="C6" s="6" t="s">
        <v>1726</v>
      </c>
      <c r="D6" s="6">
        <v>1</v>
      </c>
    </row>
    <row r="7" spans="2:4" x14ac:dyDescent="0.35">
      <c r="B7" s="6" t="s">
        <v>1724</v>
      </c>
      <c r="C7" s="6" t="s">
        <v>1727</v>
      </c>
      <c r="D7" s="6">
        <v>1</v>
      </c>
    </row>
    <row r="8" spans="2:4" x14ac:dyDescent="0.35">
      <c r="B8" s="6" t="s">
        <v>1724</v>
      </c>
      <c r="C8" s="6" t="s">
        <v>1728</v>
      </c>
      <c r="D8" s="6">
        <v>1</v>
      </c>
    </row>
    <row r="9" spans="2:4" x14ac:dyDescent="0.35">
      <c r="B9" s="6" t="s">
        <v>1724</v>
      </c>
      <c r="C9" s="6" t="s">
        <v>1729</v>
      </c>
      <c r="D9" s="6">
        <v>1</v>
      </c>
    </row>
    <row r="10" spans="2:4" x14ac:dyDescent="0.35">
      <c r="B10" s="6" t="s">
        <v>1724</v>
      </c>
      <c r="C10" s="6" t="s">
        <v>1730</v>
      </c>
      <c r="D10" s="6">
        <v>1</v>
      </c>
    </row>
    <row r="11" spans="2:4" x14ac:dyDescent="0.35">
      <c r="B11" s="6" t="s">
        <v>1724</v>
      </c>
      <c r="C11" s="6" t="s">
        <v>1731</v>
      </c>
      <c r="D11" s="6">
        <v>1</v>
      </c>
    </row>
    <row r="12" spans="2:4" x14ac:dyDescent="0.35">
      <c r="B12" s="6" t="s">
        <v>1724</v>
      </c>
      <c r="C12" s="6" t="s">
        <v>1726</v>
      </c>
      <c r="D12" s="6">
        <v>1</v>
      </c>
    </row>
    <row r="13" spans="2:4" x14ac:dyDescent="0.35">
      <c r="B13" s="6" t="s">
        <v>1724</v>
      </c>
      <c r="C13" s="6" t="s">
        <v>1732</v>
      </c>
      <c r="D13" s="6">
        <v>1</v>
      </c>
    </row>
    <row r="14" spans="2:4" x14ac:dyDescent="0.35">
      <c r="B14" s="6" t="s">
        <v>1724</v>
      </c>
      <c r="C14" s="6" t="s">
        <v>1733</v>
      </c>
      <c r="D14" s="6">
        <v>2</v>
      </c>
    </row>
    <row r="15" spans="2:4" x14ac:dyDescent="0.35">
      <c r="B15" s="6" t="s">
        <v>1724</v>
      </c>
      <c r="C15" s="6" t="s">
        <v>1734</v>
      </c>
      <c r="D15" s="6">
        <v>1</v>
      </c>
    </row>
    <row r="16" spans="2:4" x14ac:dyDescent="0.35">
      <c r="B16" s="6" t="s">
        <v>1724</v>
      </c>
      <c r="C16" s="6" t="s">
        <v>1735</v>
      </c>
      <c r="D16" s="20">
        <v>1.0000000000000001E-5</v>
      </c>
    </row>
    <row r="17" spans="2:4" x14ac:dyDescent="0.35">
      <c r="B17" s="6" t="s">
        <v>1724</v>
      </c>
      <c r="C17" s="6" t="s">
        <v>1736</v>
      </c>
      <c r="D17" s="20">
        <v>1.0000000000000001E-5</v>
      </c>
    </row>
    <row r="18" spans="2:4" x14ac:dyDescent="0.35">
      <c r="B18" s="6" t="s">
        <v>1724</v>
      </c>
      <c r="C18" s="6" t="s">
        <v>1737</v>
      </c>
      <c r="D18" s="20">
        <v>1.0000000000000001E-5</v>
      </c>
    </row>
    <row r="19" spans="2:4" x14ac:dyDescent="0.35">
      <c r="B19" s="6" t="s">
        <v>1724</v>
      </c>
      <c r="C19" s="6" t="s">
        <v>1738</v>
      </c>
      <c r="D19" s="20">
        <v>1.0000000000000001E-5</v>
      </c>
    </row>
    <row r="20" spans="2:4" x14ac:dyDescent="0.35">
      <c r="B20" s="6" t="s">
        <v>1739</v>
      </c>
      <c r="C20" s="6" t="s">
        <v>1740</v>
      </c>
      <c r="D20" s="21">
        <v>1</v>
      </c>
    </row>
    <row r="23" spans="2:4" x14ac:dyDescent="0.35">
      <c r="B23" s="22" t="s">
        <v>1741</v>
      </c>
    </row>
    <row r="25" spans="2:4" ht="17.25" thickBot="1" x14ac:dyDescent="0.55000000000000004">
      <c r="B25" s="16" t="s">
        <v>1742</v>
      </c>
    </row>
    <row r="26" spans="2:4" ht="15" thickTop="1" thickBot="1" x14ac:dyDescent="0.5">
      <c r="B26" s="5" t="s">
        <v>248</v>
      </c>
      <c r="C26" s="5" t="s">
        <v>1743</v>
      </c>
    </row>
    <row r="27" spans="2:4" x14ac:dyDescent="0.35">
      <c r="B27" s="6" t="s">
        <v>1744</v>
      </c>
      <c r="C27" s="6" t="s">
        <v>1745</v>
      </c>
    </row>
    <row r="28" spans="2:4" x14ac:dyDescent="0.35">
      <c r="B28" s="6" t="s">
        <v>1746</v>
      </c>
      <c r="C28" s="6" t="s">
        <v>1745</v>
      </c>
    </row>
    <row r="29" spans="2:4" x14ac:dyDescent="0.35">
      <c r="B29" s="6" t="s">
        <v>1747</v>
      </c>
      <c r="C29" s="6" t="s">
        <v>1745</v>
      </c>
    </row>
    <row r="30" spans="2:4" x14ac:dyDescent="0.35">
      <c r="B30" s="6" t="s">
        <v>1748</v>
      </c>
      <c r="C30" s="6" t="s">
        <v>1745</v>
      </c>
    </row>
    <row r="31" spans="2:4" x14ac:dyDescent="0.35">
      <c r="B31" s="6" t="s">
        <v>1749</v>
      </c>
      <c r="C31" s="6" t="s">
        <v>1745</v>
      </c>
    </row>
    <row r="32" spans="2:4" x14ac:dyDescent="0.35">
      <c r="B32" s="6" t="s">
        <v>1750</v>
      </c>
    </row>
    <row r="33" spans="2:3" x14ac:dyDescent="0.35">
      <c r="B33" s="6" t="s">
        <v>1751</v>
      </c>
      <c r="C33" s="6" t="s">
        <v>1745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heat_FRA</vt:lpstr>
      <vt:lpstr>grids_FRA</vt:lpstr>
      <vt:lpstr>fuels_FRA</vt:lpstr>
      <vt:lpstr>heat_GBR</vt:lpstr>
      <vt:lpstr>grids_GBR</vt:lpstr>
      <vt:lpstr>fuels_GBR</vt:lpstr>
      <vt:lpstr>heat_BEL</vt:lpstr>
      <vt:lpstr>grids_BEL</vt:lpstr>
      <vt:lpstr>fuels_BEL</vt:lpstr>
      <vt:lpstr>heat_DEU</vt:lpstr>
      <vt:lpstr>grids_DEU</vt:lpstr>
      <vt:lpstr>fuels_DEU</vt:lpstr>
      <vt:lpstr>heat_CHE</vt:lpstr>
      <vt:lpstr>grids_CHE</vt:lpstr>
      <vt:lpstr>fuels_CHE</vt:lpstr>
      <vt:lpstr>heat_ITA</vt:lpstr>
      <vt:lpstr>grids_ITA</vt:lpstr>
      <vt:lpstr>fuels_ITA</vt:lpstr>
      <vt:lpstr>heat_ESP</vt:lpstr>
      <vt:lpstr>grids_ESP</vt:lpstr>
      <vt:lpstr>fuels_ESP</vt:lpstr>
      <vt:lpstr>heat_NLD</vt:lpstr>
      <vt:lpstr>grids_NLD</vt:lpstr>
      <vt:lpstr>fuels_NLD</vt:lpstr>
      <vt:lpstr>system_settings</vt:lpstr>
      <vt:lpstr>TimePeriods</vt:lpstr>
      <vt:lpstr>System Settings</vt:lpstr>
      <vt:lpstr>Constants</vt:lpstr>
      <vt:lpstr>reporting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2026-08-29T13:04:44Z</dcterms:created>
  <dcterms:modified xsi:type="dcterms:W3CDTF">2026-08-29T13:05:05Z</dcterms:modified>
</cp:coreProperties>
</file>