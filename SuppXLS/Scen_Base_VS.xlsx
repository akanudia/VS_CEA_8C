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Veda\Veda\Veda_models\vervestacks_models\VS_CEA_8C\SuppXLS\"/>
    </mc:Choice>
  </mc:AlternateContent>
  <xr:revisionPtr revIDLastSave="0" documentId="13_ncr:1_{B9E3F31F-A9D9-4243-905F-128344CF5F7D}" xr6:coauthVersionLast="47" xr6:coauthVersionMax="47" xr10:uidLastSave="{00000000-0000-0000-0000-000000000000}"/>
  <bookViews>
    <workbookView xWindow="2573" yWindow="2573" windowWidth="21600" windowHeight="12772" firstSheet="28" activeTab="34" xr2:uid="{46D7505C-EC11-4DDC-B7BE-9AF972AF1A9B}"/>
  </bookViews>
  <sheets>
    <sheet name="grids_FRA" sheetId="2" r:id="rId1"/>
    <sheet name="Veda_FRA" sheetId="3" r:id="rId2"/>
    <sheet name="buildrates_FRA" sheetId="4" r:id="rId3"/>
    <sheet name="vre agg cap_FRA" sheetId="5" r:id="rId4"/>
    <sheet name="grids_GBR" sheetId="6" r:id="rId5"/>
    <sheet name="Veda_GBR" sheetId="7" r:id="rId6"/>
    <sheet name="buildrates_GBR" sheetId="8" r:id="rId7"/>
    <sheet name="vre agg cap_GBR" sheetId="9" r:id="rId8"/>
    <sheet name="grids_NLD" sheetId="10" r:id="rId9"/>
    <sheet name="Veda_NLD" sheetId="11" r:id="rId10"/>
    <sheet name="buildrates_NLD" sheetId="12" r:id="rId11"/>
    <sheet name="vre agg cap_NLD" sheetId="13" r:id="rId12"/>
    <sheet name="grids_BEL" sheetId="14" r:id="rId13"/>
    <sheet name="Veda_BEL" sheetId="15" r:id="rId14"/>
    <sheet name="buildrates_BEL" sheetId="16" r:id="rId15"/>
    <sheet name="vre agg cap_BEL" sheetId="17" r:id="rId16"/>
    <sheet name="grids_DEU" sheetId="18" r:id="rId17"/>
    <sheet name="Veda_DEU" sheetId="19" r:id="rId18"/>
    <sheet name="buildrates_DEU" sheetId="20" r:id="rId19"/>
    <sheet name="vre agg cap_DEU" sheetId="21" r:id="rId20"/>
    <sheet name="grids_CHE" sheetId="22" r:id="rId21"/>
    <sheet name="Veda_CHE" sheetId="23" r:id="rId22"/>
    <sheet name="buildrates_CHE" sheetId="24" r:id="rId23"/>
    <sheet name="vre agg cap_CHE" sheetId="25" r:id="rId24"/>
    <sheet name="grids_ITA" sheetId="26" r:id="rId25"/>
    <sheet name="Veda_ITA" sheetId="27" r:id="rId26"/>
    <sheet name="buildrates_ITA" sheetId="28" r:id="rId27"/>
    <sheet name="vre agg cap_ITA" sheetId="29" r:id="rId28"/>
    <sheet name="grids_ESP" sheetId="30" r:id="rId29"/>
    <sheet name="Veda_ESP" sheetId="31" r:id="rId30"/>
    <sheet name="buildrates_ESP" sheetId="32" r:id="rId31"/>
    <sheet name="vre agg cap_ESP" sheetId="33" r:id="rId32"/>
    <sheet name="re_targets" sheetId="34" r:id="rId33"/>
    <sheet name="emissions" sheetId="35" r:id="rId34"/>
    <sheet name="grids_crossborder" sheetId="36"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35" l="1"/>
  <c r="E6" i="35"/>
  <c r="E5" i="35"/>
  <c r="E4" i="35"/>
  <c r="G23" i="32"/>
  <c r="F23" i="32"/>
  <c r="C23" i="32"/>
  <c r="B23" i="32"/>
  <c r="G22" i="32"/>
  <c r="F22" i="32"/>
  <c r="C22" i="32"/>
  <c r="B22" i="32"/>
  <c r="G21" i="32"/>
  <c r="F21" i="32"/>
  <c r="C21" i="32"/>
  <c r="B21" i="32"/>
  <c r="G20" i="32"/>
  <c r="F20" i="32"/>
  <c r="C20" i="32"/>
  <c r="B20" i="32"/>
  <c r="AB10" i="31"/>
  <c r="AC10" i="31" s="1"/>
  <c r="AA10" i="31"/>
  <c r="S10" i="31"/>
  <c r="T10" i="31" s="1"/>
  <c r="Q10" i="31"/>
  <c r="AB9" i="31"/>
  <c r="AC9" i="31" s="1"/>
  <c r="AA9" i="31"/>
  <c r="S9" i="31"/>
  <c r="T9" i="31" s="1"/>
  <c r="Q9" i="31"/>
  <c r="AB8" i="31"/>
  <c r="AC8" i="31" s="1"/>
  <c r="AA8" i="31"/>
  <c r="S8" i="31"/>
  <c r="T8" i="31" s="1"/>
  <c r="Q8" i="31"/>
  <c r="G23" i="28" l="1"/>
  <c r="F23" i="28"/>
  <c r="C23" i="28"/>
  <c r="B23" i="28"/>
  <c r="G22" i="28"/>
  <c r="F22" i="28"/>
  <c r="C22" i="28"/>
  <c r="B22" i="28"/>
  <c r="G21" i="28"/>
  <c r="F21" i="28"/>
  <c r="C21" i="28"/>
  <c r="B21" i="28"/>
  <c r="G20" i="28"/>
  <c r="F20" i="28"/>
  <c r="C20" i="28"/>
  <c r="B20" i="28"/>
  <c r="AB10" i="27"/>
  <c r="AC10" i="27" s="1"/>
  <c r="AA10" i="27"/>
  <c r="S10" i="27"/>
  <c r="T10" i="27" s="1"/>
  <c r="Q10" i="27"/>
  <c r="AB9" i="27"/>
  <c r="AC9" i="27" s="1"/>
  <c r="AA9" i="27"/>
  <c r="S9" i="27"/>
  <c r="T9" i="27" s="1"/>
  <c r="Q9" i="27"/>
  <c r="AB8" i="27"/>
  <c r="AC8" i="27" s="1"/>
  <c r="AA8" i="27"/>
  <c r="S8" i="27"/>
  <c r="T8" i="27" s="1"/>
  <c r="Q8" i="27"/>
  <c r="G23" i="24" l="1"/>
  <c r="F23" i="24"/>
  <c r="C23" i="24"/>
  <c r="B23" i="24"/>
  <c r="G22" i="24"/>
  <c r="F22" i="24"/>
  <c r="C22" i="24"/>
  <c r="B22" i="24"/>
  <c r="G21" i="24"/>
  <c r="F21" i="24"/>
  <c r="C21" i="24"/>
  <c r="B21" i="24"/>
  <c r="G20" i="24"/>
  <c r="F20" i="24"/>
  <c r="C20" i="24"/>
  <c r="B20" i="24"/>
  <c r="AB10" i="23"/>
  <c r="AC10" i="23" s="1"/>
  <c r="AA10" i="23"/>
  <c r="S10" i="23"/>
  <c r="T10" i="23" s="1"/>
  <c r="Q10" i="23"/>
  <c r="AB9" i="23"/>
  <c r="AC9" i="23" s="1"/>
  <c r="AA9" i="23"/>
  <c r="S9" i="23"/>
  <c r="T9" i="23" s="1"/>
  <c r="Q9" i="23"/>
  <c r="AB8" i="23"/>
  <c r="AC8" i="23" s="1"/>
  <c r="AA8" i="23"/>
  <c r="S8" i="23"/>
  <c r="T8" i="23" s="1"/>
  <c r="Q8" i="23"/>
  <c r="G23" i="20" l="1"/>
  <c r="F23" i="20"/>
  <c r="C23" i="20"/>
  <c r="B23" i="20"/>
  <c r="G22" i="20"/>
  <c r="F22" i="20"/>
  <c r="C22" i="20"/>
  <c r="B22" i="20"/>
  <c r="G21" i="20"/>
  <c r="F21" i="20"/>
  <c r="C21" i="20"/>
  <c r="B21" i="20"/>
  <c r="G20" i="20"/>
  <c r="F20" i="20"/>
  <c r="C20" i="20"/>
  <c r="B20" i="20"/>
  <c r="AB10" i="19"/>
  <c r="AC10" i="19" s="1"/>
  <c r="AA10" i="19"/>
  <c r="S10" i="19"/>
  <c r="T10" i="19" s="1"/>
  <c r="Q10" i="19"/>
  <c r="AB9" i="19"/>
  <c r="AC9" i="19" s="1"/>
  <c r="AA9" i="19"/>
  <c r="S9" i="19"/>
  <c r="T9" i="19" s="1"/>
  <c r="Q9" i="19"/>
  <c r="AB8" i="19"/>
  <c r="AC8" i="19" s="1"/>
  <c r="AA8" i="19"/>
  <c r="S8" i="19"/>
  <c r="T8" i="19" s="1"/>
  <c r="Q8" i="19"/>
  <c r="G23" i="16" l="1"/>
  <c r="F23" i="16"/>
  <c r="C23" i="16"/>
  <c r="B23" i="16"/>
  <c r="G22" i="16"/>
  <c r="F22" i="16"/>
  <c r="C22" i="16"/>
  <c r="B22" i="16"/>
  <c r="G21" i="16"/>
  <c r="F21" i="16"/>
  <c r="C21" i="16"/>
  <c r="B21" i="16"/>
  <c r="G20" i="16"/>
  <c r="F20" i="16"/>
  <c r="C20" i="16"/>
  <c r="B20" i="16"/>
  <c r="AB10" i="15"/>
  <c r="AC10" i="15" s="1"/>
  <c r="AA10" i="15"/>
  <c r="S10" i="15"/>
  <c r="T10" i="15" s="1"/>
  <c r="Q10" i="15"/>
  <c r="AB9" i="15"/>
  <c r="AC9" i="15" s="1"/>
  <c r="AA9" i="15"/>
  <c r="S9" i="15"/>
  <c r="T9" i="15" s="1"/>
  <c r="Q9" i="15"/>
  <c r="AB8" i="15"/>
  <c r="AC8" i="15" s="1"/>
  <c r="AA8" i="15"/>
  <c r="S8" i="15"/>
  <c r="T8" i="15" s="1"/>
  <c r="Q8" i="15"/>
  <c r="G23" i="12" l="1"/>
  <c r="F23" i="12"/>
  <c r="C23" i="12"/>
  <c r="B23" i="12"/>
  <c r="G22" i="12"/>
  <c r="F22" i="12"/>
  <c r="C22" i="12"/>
  <c r="B22" i="12"/>
  <c r="G21" i="12"/>
  <c r="F21" i="12"/>
  <c r="C21" i="12"/>
  <c r="B21" i="12"/>
  <c r="G20" i="12"/>
  <c r="F20" i="12"/>
  <c r="C20" i="12"/>
  <c r="B20" i="12"/>
  <c r="AB10" i="11"/>
  <c r="AC10" i="11" s="1"/>
  <c r="AA10" i="11"/>
  <c r="S10" i="11"/>
  <c r="T10" i="11" s="1"/>
  <c r="Q10" i="11"/>
  <c r="AB9" i="11"/>
  <c r="AC9" i="11" s="1"/>
  <c r="AA9" i="11"/>
  <c r="S9" i="11"/>
  <c r="T9" i="11" s="1"/>
  <c r="Q9" i="11"/>
  <c r="AB8" i="11"/>
  <c r="AC8" i="11" s="1"/>
  <c r="AA8" i="11"/>
  <c r="S8" i="11"/>
  <c r="T8" i="11" s="1"/>
  <c r="Q8" i="11"/>
  <c r="G23" i="8" l="1"/>
  <c r="F23" i="8"/>
  <c r="C23" i="8"/>
  <c r="B23" i="8"/>
  <c r="G22" i="8"/>
  <c r="F22" i="8"/>
  <c r="C22" i="8"/>
  <c r="B22" i="8"/>
  <c r="G21" i="8"/>
  <c r="F21" i="8"/>
  <c r="C21" i="8"/>
  <c r="B21" i="8"/>
  <c r="G20" i="8"/>
  <c r="F20" i="8"/>
  <c r="C20" i="8"/>
  <c r="B20" i="8"/>
  <c r="AB10" i="7"/>
  <c r="AC10" i="7" s="1"/>
  <c r="AA10" i="7"/>
  <c r="S10" i="7"/>
  <c r="T10" i="7" s="1"/>
  <c r="Q10" i="7"/>
  <c r="AB9" i="7"/>
  <c r="AC9" i="7" s="1"/>
  <c r="AA9" i="7"/>
  <c r="S9" i="7"/>
  <c r="T9" i="7" s="1"/>
  <c r="Q9" i="7"/>
  <c r="AB8" i="7"/>
  <c r="AC8" i="7" s="1"/>
  <c r="AA8" i="7"/>
  <c r="S8" i="7"/>
  <c r="T8" i="7" s="1"/>
  <c r="Q8" i="7"/>
  <c r="G23" i="4" l="1"/>
  <c r="F23" i="4"/>
  <c r="C23" i="4"/>
  <c r="B23" i="4"/>
  <c r="G22" i="4"/>
  <c r="F22" i="4"/>
  <c r="C22" i="4"/>
  <c r="B22" i="4"/>
  <c r="G21" i="4"/>
  <c r="F21" i="4"/>
  <c r="C21" i="4"/>
  <c r="B21" i="4"/>
  <c r="G20" i="4"/>
  <c r="F20" i="4"/>
  <c r="C20" i="4"/>
  <c r="B20" i="4"/>
  <c r="AB10" i="3"/>
  <c r="AC10" i="3" s="1"/>
  <c r="AA10" i="3"/>
  <c r="S10" i="3"/>
  <c r="T10" i="3" s="1"/>
  <c r="Q10" i="3"/>
  <c r="AB9" i="3"/>
  <c r="AC9" i="3" s="1"/>
  <c r="AA9" i="3"/>
  <c r="S9" i="3"/>
  <c r="T9" i="3" s="1"/>
  <c r="Q9" i="3"/>
  <c r="AB8" i="3"/>
  <c r="AC8" i="3" s="1"/>
  <c r="AA8" i="3"/>
  <c r="S8" i="3"/>
  <c r="T8" i="3" s="1"/>
  <c r="Q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50713C5C-CE31-4EF1-87DF-5867A9865C3F}">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<sst xmlns="http://schemas.openxmlformats.org/spreadsheetml/2006/main" count="34291" uniqueCount="5783">
  <si>
    <t>~TFM_DINS-AT</t>
  </si>
  <si>
    <t>~TFM_TOPDINS</t>
  </si>
  <si>
    <t>process</t>
  </si>
  <si>
    <t>pasti</t>
  </si>
  <si>
    <t>ncap_cost</t>
  </si>
  <si>
    <t>efficiency</t>
  </si>
  <si>
    <t>commodity</t>
  </si>
  <si>
    <t>flo_mark</t>
  </si>
  <si>
    <t>lim_type</t>
  </si>
  <si>
    <t>region</t>
  </si>
  <si>
    <t>io</t>
  </si>
  <si>
    <t>g_AixLesBains_FRA-Annecy_FRA</t>
  </si>
  <si>
    <t>e_demand_Nice_FRA</t>
  </si>
  <si>
    <t>elc_buildings</t>
  </si>
  <si>
    <t>lo</t>
  </si>
  <si>
    <t>FRA</t>
  </si>
  <si>
    <t>e_Nice_FRA</t>
  </si>
  <si>
    <t>IN</t>
  </si>
  <si>
    <t>en_gas_ccgt_Nice_FRA</t>
  </si>
  <si>
    <t>OUT</t>
  </si>
  <si>
    <t>limtype</t>
  </si>
  <si>
    <t>flo_bnd</t>
  </si>
  <si>
    <t>stgout_bnd</t>
  </si>
  <si>
    <t>year</t>
  </si>
  <si>
    <t>pset_set</t>
  </si>
  <si>
    <t>top_check</t>
  </si>
  <si>
    <t>g_AixLesBains_FRA-Briancon_FRA</t>
  </si>
  <si>
    <t>elc_transport</t>
  </si>
  <si>
    <t>e_demand_Dunkerque_FRA</t>
  </si>
  <si>
    <t>e_Dunkerque_FRA</t>
  </si>
  <si>
    <t>en_gas_turbine_Nice_FRA</t>
  </si>
  <si>
    <t>ELC</t>
  </si>
  <si>
    <t>UP</t>
  </si>
  <si>
    <t>ELE,DMD,PRE</t>
  </si>
  <si>
    <t>all</t>
  </si>
  <si>
    <t>g_Annecy_FRA-Belfort_FRA</t>
  </si>
  <si>
    <t>elc_roadtransport</t>
  </si>
  <si>
    <t>e_demand_Toulouse_FRA</t>
  </si>
  <si>
    <t>e_Toulouse_FRA</t>
  </si>
  <si>
    <t>en_gas_ccs_Nice_FRA</t>
  </si>
  <si>
    <t>STG</t>
  </si>
  <si>
    <t>g_Annecy_FRA-ThononLesBains_FRA</t>
  </si>
  <si>
    <t>e_demand_Nimes_FRA</t>
  </si>
  <si>
    <t>e_Nimes_FRA</t>
  </si>
  <si>
    <t>en_coal_subcritical_Nice_FRA</t>
  </si>
  <si>
    <t>g_Aurillac_FRA-Lyon_FRA</t>
  </si>
  <si>
    <t>e_demand_Bayonne_FRA</t>
  </si>
  <si>
    <t>e_Bayonne_FRA</t>
  </si>
  <si>
    <t>en_coal_supercritical_Nice_FRA</t>
  </si>
  <si>
    <t>g_Aurillac_FRA-Nimes_FRA</t>
  </si>
  <si>
    <t>e_demand_Nantes_FRA</t>
  </si>
  <si>
    <t>e_Nantes_FRA</t>
  </si>
  <si>
    <t>en_coal_ultrasupercritical_Nice_FRA</t>
  </si>
  <si>
    <t>g_Aurillac_FRA-Paris_FRA</t>
  </si>
  <si>
    <t>e_demand_Mohon_FRA</t>
  </si>
  <si>
    <t>e_Mohon_FRA</t>
  </si>
  <si>
    <t>en_coal_igcc_Nice_FRA</t>
  </si>
  <si>
    <t>g_Bayonne_FRA-Bordeaux_FRA</t>
  </si>
  <si>
    <t>e_demand_Calais_FRA</t>
  </si>
  <si>
    <t>e_Calais_FRA</t>
  </si>
  <si>
    <t>en_nuclear_Nice_FRA</t>
  </si>
  <si>
    <t>g_Bayonne_FRA-Lourdes_FRA</t>
  </si>
  <si>
    <t>e_demand_Forbach_FRA</t>
  </si>
  <si>
    <t>e_Forbach_FRA</t>
  </si>
  <si>
    <t>en_nuclear_smr_Nice_FRA</t>
  </si>
  <si>
    <t>g_Belfort_FRA-Forbach_FRA</t>
  </si>
  <si>
    <t>e_demand_Haguenau_FRA</t>
  </si>
  <si>
    <t>e_Haguenau_FRA</t>
  </si>
  <si>
    <t>en_biomass_Nice_FRA</t>
  </si>
  <si>
    <t>g_Belfort_FRA-Mulhouse_FRA</t>
  </si>
  <si>
    <t>e_demand_Bastia_FRA</t>
  </si>
  <si>
    <t>e_Bastia_FRA</t>
  </si>
  <si>
    <t>en_chp_gas_cc_ext_Nice_FRA</t>
  </si>
  <si>
    <t>g_Bordeaux_FRA-Aurillac_FRA</t>
  </si>
  <si>
    <t>e_demand_Strasbourg_FRA</t>
  </si>
  <si>
    <t>e_Strasbourg_FRA</t>
  </si>
  <si>
    <t>h_Nice_FRA</t>
  </si>
  <si>
    <t>g_Bordeaux_FRA-Toulouse_FRA</t>
  </si>
  <si>
    <t>e_demand_Briancon_FRA</t>
  </si>
  <si>
    <t>e_Briancon_FRA</t>
  </si>
  <si>
    <t>en_chp_biomass_chips_ext_Nice_FRA</t>
  </si>
  <si>
    <t>g_Brest_FRA-Nantes_FRA</t>
  </si>
  <si>
    <t>e_demand_Brest_FRA</t>
  </si>
  <si>
    <t>e_Brest_FRA</t>
  </si>
  <si>
    <t>g_Brest_FRA-SaintLo_FRA</t>
  </si>
  <si>
    <t>e_demand_ThononLesBains_FRA</t>
  </si>
  <si>
    <t>e_ThononLesBains_FRA</t>
  </si>
  <si>
    <t>en_chp_gas_cc_ext_ccs_Nice_FRA</t>
  </si>
  <si>
    <t>g_Caen_FRA-Paris_FRA</t>
  </si>
  <si>
    <t>e_demand_Dijon_FRA</t>
  </si>
  <si>
    <t>e_Dijon_FRA</t>
  </si>
  <si>
    <t>g_Caen_FRA-Rouen_FRA</t>
  </si>
  <si>
    <t>e_demand_Lourdes_FRA</t>
  </si>
  <si>
    <t>e_Lourdes_FRA</t>
  </si>
  <si>
    <t>en_hop_gas_boiler_Nice_FRA</t>
  </si>
  <si>
    <t>g_Calais_FRA-Dunkerque_FRA</t>
  </si>
  <si>
    <t>e_demand_SaintLo_FRA</t>
  </si>
  <si>
    <t>e_SaintLo_FRA</t>
  </si>
  <si>
    <t>en_hop_biomass_chips_Nice_FRA</t>
  </si>
  <si>
    <t>g_Calais_FRA-Goussainville_FRA</t>
  </si>
  <si>
    <t>e_demand_Thionville_FRA</t>
  </si>
  <si>
    <t>e_Thionville_FRA</t>
  </si>
  <si>
    <t>en_hop_electric_boiler_Nice_FRA</t>
  </si>
  <si>
    <t>g_CharlevilleMeziere_FRA-Mohon_FRA</t>
  </si>
  <si>
    <t>e_demand_Paris_FRA</t>
  </si>
  <si>
    <t>e_Paris_FRA</t>
  </si>
  <si>
    <t>g_CharlevilleMeziere_FRA-Thionville_FRA</t>
  </si>
  <si>
    <t>e_demand_Bordeaux_FRA</t>
  </si>
  <si>
    <t>e_Bordeaux_FRA</t>
  </si>
  <si>
    <t>en_hp_air_10mw_Nice_FRA</t>
  </si>
  <si>
    <t>g_Dijon_FRA-Annecy_FRA</t>
  </si>
  <si>
    <t>e_demand_Lyon_FRA</t>
  </si>
  <si>
    <t>e_Lyon_FRA</t>
  </si>
  <si>
    <t>g_Dijon_FRA-Aurillac_FRA</t>
  </si>
  <si>
    <t>e_demand_Perpignan_FRA</t>
  </si>
  <si>
    <t>e_Perpignan_FRA</t>
  </si>
  <si>
    <t>en_gas_ccgt_Dunkerque_FRA</t>
  </si>
  <si>
    <t>g_Dijon_FRA-Belfort_FRA</t>
  </si>
  <si>
    <t>e_demand_Belfort_FRA</t>
  </si>
  <si>
    <t>e_Belfort_FRA</t>
  </si>
  <si>
    <t>en_gas_turbine_Dunkerque_FRA</t>
  </si>
  <si>
    <t>g_Dijon_FRA-CharlevilleMeziere_FRA</t>
  </si>
  <si>
    <t>e_demand_AixLesBains_FRA</t>
  </si>
  <si>
    <t>e_AixLesBains_FRA</t>
  </si>
  <si>
    <t>en_gas_ccs_Dunkerque_FRA</t>
  </si>
  <si>
    <t>g_Dijon_FRA-Metz_FRA</t>
  </si>
  <si>
    <t>e_demand_Caen_FRA</t>
  </si>
  <si>
    <t>e_Caen_FRA</t>
  </si>
  <si>
    <t>en_coal_subcritical_Dunkerque_FRA</t>
  </si>
  <si>
    <t>g_Dijon_FRA-Thionville_FRA</t>
  </si>
  <si>
    <t>e_demand_Mulhouse_FRA</t>
  </si>
  <si>
    <t>e_Mulhouse_FRA</t>
  </si>
  <si>
    <t>en_coal_supercritical_Dunkerque_FRA</t>
  </si>
  <si>
    <t>g_Dunkerque_FRA-Lille_FRA</t>
  </si>
  <si>
    <t>e_demand_Metz_FRA</t>
  </si>
  <si>
    <t>e_Metz_FRA</t>
  </si>
  <si>
    <t>en_coal_ultrasupercritical_Dunkerque_FRA</t>
  </si>
  <si>
    <t>g_Forbach_FRA-Metz_FRA</t>
  </si>
  <si>
    <t>e_demand_Goussainville_FRA</t>
  </si>
  <si>
    <t>e_Goussainville_FRA</t>
  </si>
  <si>
    <t>en_coal_igcc_Dunkerque_FRA</t>
  </si>
  <si>
    <t>g_Forbach_FRA-Strasbourg_FRA</t>
  </si>
  <si>
    <t>e_demand_CharlevilleMeziere_FRA</t>
  </si>
  <si>
    <t>e_CharlevilleMeziere_FRA</t>
  </si>
  <si>
    <t>en_nuclear_Dunkerque_FRA</t>
  </si>
  <si>
    <t>g_Goussainville_FRA-CharlevilleMeziere_FRA</t>
  </si>
  <si>
    <t>e_demand_Annecy_FRA</t>
  </si>
  <si>
    <t>e_Annecy_FRA</t>
  </si>
  <si>
    <t>en_nuclear_smr_Dunkerque_FRA</t>
  </si>
  <si>
    <t>g_Goussainville_FRA-Dijon_FRA</t>
  </si>
  <si>
    <t>e_demand_Aurillac_FRA</t>
  </si>
  <si>
    <t>e_Aurillac_FRA</t>
  </si>
  <si>
    <t>en_biomass_Dunkerque_FRA</t>
  </si>
  <si>
    <t>g_Goussainville_FRA-Lille_FRA</t>
  </si>
  <si>
    <t>e_demand_Lille_FRA</t>
  </si>
  <si>
    <t>e_Lille_FRA</t>
  </si>
  <si>
    <t>en_chp_gas_cc_ext_Dunkerque_FRA</t>
  </si>
  <si>
    <t>g_Goussainville_FRA-Paris_FRA</t>
  </si>
  <si>
    <t>e_demand_Rouen_FRA</t>
  </si>
  <si>
    <t>e_Rouen_FRA</t>
  </si>
  <si>
    <t>h_Dunkerque_FRA</t>
  </si>
  <si>
    <t>g_Lille_FRA-CharlevilleMeziere_FRA</t>
  </si>
  <si>
    <t>ev_battery_Nice_FRA</t>
  </si>
  <si>
    <t>en_chp_biomass_chips_ext_Dunkerque_FRA</t>
  </si>
  <si>
    <t>g_Lourdes_FRA-Toulouse_FRA</t>
  </si>
  <si>
    <t>ev_battery_Dunkerque_FRA</t>
  </si>
  <si>
    <t>g_Lyon_FRA-AixLesBains_FRA</t>
  </si>
  <si>
    <t>ev_battery_Toulouse_FRA</t>
  </si>
  <si>
    <t>en_chp_gas_cc_ext_ccs_Dunkerque_FRA</t>
  </si>
  <si>
    <t>g_Lyon_FRA-Annecy_FRA</t>
  </si>
  <si>
    <t>ev_battery_Nimes_FRA</t>
  </si>
  <si>
    <t>g_Lyon_FRA-Briancon_FRA</t>
  </si>
  <si>
    <t>ev_battery_Bayonne_FRA</t>
  </si>
  <si>
    <t>en_hop_gas_boiler_Dunkerque_FRA</t>
  </si>
  <si>
    <t>g_Lyon_FRA-Dijon_FRA</t>
  </si>
  <si>
    <t>ev_battery_Nantes_FRA</t>
  </si>
  <si>
    <t>en_hop_biomass_chips_Dunkerque_FRA</t>
  </si>
  <si>
    <t>g_Metz_FRA-Forbach_FRA</t>
  </si>
  <si>
    <t>ev_battery_Mohon_FRA</t>
  </si>
  <si>
    <t>en_hop_electric_boiler_Dunkerque_FRA</t>
  </si>
  <si>
    <t>g_Metz_FRA-Mulhouse_FRA</t>
  </si>
  <si>
    <t>ev_battery_Calais_FRA</t>
  </si>
  <si>
    <t>g_Metz_FRA-Strasbourg_FRA</t>
  </si>
  <si>
    <t>ev_battery_Forbach_FRA</t>
  </si>
  <si>
    <t>en_hp_air_10mw_Dunkerque_FRA</t>
  </si>
  <si>
    <t>g_Mulhouse_FRA-Strasbourg_FRA</t>
  </si>
  <si>
    <t>ev_battery_Haguenau_FRA</t>
  </si>
  <si>
    <t>g_Nantes_FRA-Bordeaux_FRA</t>
  </si>
  <si>
    <t>ev_battery_Bastia_FRA</t>
  </si>
  <si>
    <t>en_gas_ccgt_Toulouse_FRA</t>
  </si>
  <si>
    <t>g_Nantes_FRA-Caen_FRA</t>
  </si>
  <si>
    <t>ev_battery_Strasbourg_FRA</t>
  </si>
  <si>
    <t>en_gas_turbine_Toulouse_FRA</t>
  </si>
  <si>
    <t>g_Nantes_FRA-Paris_FRA</t>
  </si>
  <si>
    <t>ev_battery_Briancon_FRA</t>
  </si>
  <si>
    <t>en_gas_ccs_Toulouse_FRA</t>
  </si>
  <si>
    <t>g_Nantes_FRA-SaintLo_FRA</t>
  </si>
  <si>
    <t>ev_battery_Brest_FRA</t>
  </si>
  <si>
    <t>en_coal_subcritical_Toulouse_FRA</t>
  </si>
  <si>
    <t>g_Nimes_FRA-Briancon_FRA</t>
  </si>
  <si>
    <t>ev_battery_ThononLesBains_FRA</t>
  </si>
  <si>
    <t>en_coal_supercritical_Toulouse_FRA</t>
  </si>
  <si>
    <t>g_Nimes_FRA-Lyon_FRA</t>
  </si>
  <si>
    <t>ev_battery_Dijon_FRA</t>
  </si>
  <si>
    <t>en_coal_ultrasupercritical_Toulouse_FRA</t>
  </si>
  <si>
    <t>g_Nimes_FRA-Nice_FRA</t>
  </si>
  <si>
    <t>ev_battery_Lourdes_FRA</t>
  </si>
  <si>
    <t>en_coal_igcc_Toulouse_FRA</t>
  </si>
  <si>
    <t>g_Paris_FRA-Dijon_FRA</t>
  </si>
  <si>
    <t>ev_battery_SaintLo_FRA</t>
  </si>
  <si>
    <t>en_nuclear_Toulouse_FRA</t>
  </si>
  <si>
    <t>g_Perpignan_FRA-Aurillac_FRA</t>
  </si>
  <si>
    <t>ev_battery_Thionville_FRA</t>
  </si>
  <si>
    <t>en_nuclear_smr_Toulouse_FRA</t>
  </si>
  <si>
    <t>g_Perpignan_FRA-Nimes_FRA</t>
  </si>
  <si>
    <t>ev_battery_Paris_FRA</t>
  </si>
  <si>
    <t>en_biomass_Toulouse_FRA</t>
  </si>
  <si>
    <t>g_Perpignan_FRA-Toulouse_FRA</t>
  </si>
  <si>
    <t>ev_battery_Bordeaux_FRA</t>
  </si>
  <si>
    <t>en_chp_gas_cc_ext_Toulouse_FRA</t>
  </si>
  <si>
    <t>g_Rouen_FRA-Goussainville_FRA</t>
  </si>
  <si>
    <t>ev_battery_Lyon_FRA</t>
  </si>
  <si>
    <t>h_Toulouse_FRA</t>
  </si>
  <si>
    <t>g_Rouen_FRA-Paris_FRA</t>
  </si>
  <si>
    <t>ev_battery_Perpignan_FRA</t>
  </si>
  <si>
    <t>en_chp_biomass_chips_ext_Toulouse_FRA</t>
  </si>
  <si>
    <t>g_SaintLo_FRA-Caen_FRA</t>
  </si>
  <si>
    <t>ev_battery_Belfort_FRA</t>
  </si>
  <si>
    <t>g_Strasbourg_FRA-Haguenau_FRA</t>
  </si>
  <si>
    <t>ev_battery_AixLesBains_FRA</t>
  </si>
  <si>
    <t>en_chp_gas_cc_ext_ccs_Toulouse_FRA</t>
  </si>
  <si>
    <t>g_Thionville_FRA-Metz_FRA</t>
  </si>
  <si>
    <t>ev_battery_Caen_FRA</t>
  </si>
  <si>
    <t>g_ThononLesBains_FRA-AixLesBains_FRA</t>
  </si>
  <si>
    <t>ev_battery_Mulhouse_FRA</t>
  </si>
  <si>
    <t>en_hop_gas_boiler_Toulouse_FRA</t>
  </si>
  <si>
    <t>g_ThononLesBains_FRA-Annecy_FRA</t>
  </si>
  <si>
    <t>ev_battery_Metz_FRA</t>
  </si>
  <si>
    <t>en_hop_biomass_chips_Toulouse_FRA</t>
  </si>
  <si>
    <t>g_Toulouse_FRA-Aurillac_FRA</t>
  </si>
  <si>
    <t>ev_battery_Goussainville_FRA</t>
  </si>
  <si>
    <t>en_hop_electric_boiler_Toulouse_FRA</t>
  </si>
  <si>
    <t>g_Toulouse_FRA-Perpignan_FRA</t>
  </si>
  <si>
    <t>ev_battery_CharlevilleMeziere_FRA</t>
  </si>
  <si>
    <t>ev_battery_Annecy_FRA</t>
  </si>
  <si>
    <t>en_hp_air_10mw_Toulouse_FRA</t>
  </si>
  <si>
    <t>ev_battery_Aurillac_FRA</t>
  </si>
  <si>
    <t>ev_battery_Lille_FRA</t>
  </si>
  <si>
    <t>en_gas_ccgt_Nimes_FRA</t>
  </si>
  <si>
    <t>ev_battery_Rouen_FRA</t>
  </si>
  <si>
    <t>en_gas_turbine_Nimes_FRA</t>
  </si>
  <si>
    <t>H2prd_Elc_PEM_Nice_FRA</t>
  </si>
  <si>
    <t>en_gas_ccs_Nimes_FRA</t>
  </si>
  <si>
    <t>H2prd_Elc_PEM_Dunkerque_FRA</t>
  </si>
  <si>
    <t>en_coal_subcritical_Nimes_FRA</t>
  </si>
  <si>
    <t>H2prd_Elc_PEM_Toulouse_FRA</t>
  </si>
  <si>
    <t>en_coal_supercritical_Nimes_FRA</t>
  </si>
  <si>
    <t>H2prd_Elc_PEM_Nimes_FRA</t>
  </si>
  <si>
    <t>en_coal_ultrasupercritical_Nimes_FRA</t>
  </si>
  <si>
    <t>H2prd_Elc_PEM_Bayonne_FRA</t>
  </si>
  <si>
    <t>en_coal_igcc_Nimes_FRA</t>
  </si>
  <si>
    <t>H2prd_Elc_PEM_Nantes_FRA</t>
  </si>
  <si>
    <t>en_nuclear_Nimes_FRA</t>
  </si>
  <si>
    <t>H2prd_Elc_PEM_Mohon_FRA</t>
  </si>
  <si>
    <t>en_nuclear_smr_Nimes_FRA</t>
  </si>
  <si>
    <t>H2prd_Elc_PEM_Calais_FRA</t>
  </si>
  <si>
    <t>en_biomass_Nimes_FRA</t>
  </si>
  <si>
    <t>H2prd_Elc_PEM_Forbach_FRA</t>
  </si>
  <si>
    <t>en_chp_gas_cc_ext_Nimes_FRA</t>
  </si>
  <si>
    <t>H2prd_Elc_PEM_Haguenau_FRA</t>
  </si>
  <si>
    <t>h_Nimes_FRA</t>
  </si>
  <si>
    <t>H2prd_Elc_PEM_Bastia_FRA</t>
  </si>
  <si>
    <t>en_chp_biomass_chips_ext_Nimes_FRA</t>
  </si>
  <si>
    <t>H2prd_Elc_PEM_Strasbourg_FRA</t>
  </si>
  <si>
    <t>H2prd_Elc_PEM_Briancon_FRA</t>
  </si>
  <si>
    <t>en_chp_gas_cc_ext_ccs_Nimes_FRA</t>
  </si>
  <si>
    <t>H2prd_Elc_PEM_Brest_FRA</t>
  </si>
  <si>
    <t>H2prd_Elc_PEM_ThononLesBains_FRA</t>
  </si>
  <si>
    <t>en_hop_gas_boiler_Nimes_FRA</t>
  </si>
  <si>
    <t>H2prd_Elc_PEM_Dijon_FRA</t>
  </si>
  <si>
    <t>en_hop_biomass_chips_Nimes_FRA</t>
  </si>
  <si>
    <t>H2prd_Elc_PEM_Lourdes_FRA</t>
  </si>
  <si>
    <t>en_hop_electric_boiler_Nimes_FRA</t>
  </si>
  <si>
    <t>H2prd_Elc_PEM_SaintLo_FRA</t>
  </si>
  <si>
    <t>H2prd_Elc_PEM_Thionville_FRA</t>
  </si>
  <si>
    <t>en_hp_air_10mw_Nimes_FRA</t>
  </si>
  <si>
    <t>H2prd_Elc_PEM_Paris_FRA</t>
  </si>
  <si>
    <t>H2prd_Elc_PEM_Bordeaux_FRA</t>
  </si>
  <si>
    <t>en_gas_ccgt_Bayonne_FRA</t>
  </si>
  <si>
    <t>H2prd_Elc_PEM_Lyon_FRA</t>
  </si>
  <si>
    <t>en_gas_turbine_Bayonne_FRA</t>
  </si>
  <si>
    <t>H2prd_Elc_PEM_Perpignan_FRA</t>
  </si>
  <si>
    <t>en_gas_ccs_Bayonne_FRA</t>
  </si>
  <si>
    <t>H2prd_Elc_PEM_Belfort_FRA</t>
  </si>
  <si>
    <t>en_coal_subcritical_Bayonne_FRA</t>
  </si>
  <si>
    <t>H2prd_Elc_PEM_AixLesBains_FRA</t>
  </si>
  <si>
    <t>en_coal_supercritical_Bayonne_FRA</t>
  </si>
  <si>
    <t>H2prd_Elc_PEM_Caen_FRA</t>
  </si>
  <si>
    <t>en_coal_ultrasupercritical_Bayonne_FRA</t>
  </si>
  <si>
    <t>H2prd_Elc_PEM_Mulhouse_FRA</t>
  </si>
  <si>
    <t>en_coal_igcc_Bayonne_FRA</t>
  </si>
  <si>
    <t>H2prd_Elc_PEM_Metz_FRA</t>
  </si>
  <si>
    <t>en_nuclear_Bayonne_FRA</t>
  </si>
  <si>
    <t>H2prd_Elc_PEM_Goussainville_FRA</t>
  </si>
  <si>
    <t>en_nuclear_smr_Bayonne_FRA</t>
  </si>
  <si>
    <t>H2prd_Elc_PEM_CharlevilleMeziere_FRA</t>
  </si>
  <si>
    <t>en_biomass_Bayonne_FRA</t>
  </si>
  <si>
    <t>H2prd_Elc_PEM_Annecy_FRA</t>
  </si>
  <si>
    <t>en_chp_gas_cc_ext_Bayonne_FRA</t>
  </si>
  <si>
    <t>H2prd_Elc_PEM_Aurillac_FRA</t>
  </si>
  <si>
    <t>h_Bayonne_FRA</t>
  </si>
  <si>
    <t>H2prd_Elc_PEM_Lille_FRA</t>
  </si>
  <si>
    <t>en_chp_biomass_chips_ext_Bayonne_FRA</t>
  </si>
  <si>
    <t>H2prd_Elc_PEM_Rouen_FRA</t>
  </si>
  <si>
    <t>H2prd_Elc_ALK_Nice_FRA</t>
  </si>
  <si>
    <t>en_chp_gas_cc_ext_ccs_Bayonne_FRA</t>
  </si>
  <si>
    <t>H2prd_Elc_ALK_Dunkerque_FRA</t>
  </si>
  <si>
    <t>H2prd_Elc_ALK_Toulouse_FRA</t>
  </si>
  <si>
    <t>en_hop_gas_boiler_Bayonne_FRA</t>
  </si>
  <si>
    <t>H2prd_Elc_ALK_Nimes_FRA</t>
  </si>
  <si>
    <t>en_hop_biomass_chips_Bayonne_FRA</t>
  </si>
  <si>
    <t>H2prd_Elc_ALK_Bayonne_FRA</t>
  </si>
  <si>
    <t>en_hop_electric_boiler_Bayonne_FRA</t>
  </si>
  <si>
    <t>H2prd_Elc_ALK_Nantes_FRA</t>
  </si>
  <si>
    <t>H2prd_Elc_ALK_Mohon_FRA</t>
  </si>
  <si>
    <t>en_hp_air_10mw_Bayonne_FRA</t>
  </si>
  <si>
    <t>H2prd_Elc_ALK_Calais_FRA</t>
  </si>
  <si>
    <t>H2prd_Elc_ALK_Forbach_FRA</t>
  </si>
  <si>
    <t>en_gas_ccgt_Nantes_FRA</t>
  </si>
  <si>
    <t>H2prd_Elc_ALK_Haguenau_FRA</t>
  </si>
  <si>
    <t>en_gas_turbine_Nantes_FRA</t>
  </si>
  <si>
    <t>H2prd_Elc_ALK_Bastia_FRA</t>
  </si>
  <si>
    <t>en_gas_ccs_Nantes_FRA</t>
  </si>
  <si>
    <t>H2prd_Elc_ALK_Strasbourg_FRA</t>
  </si>
  <si>
    <t>en_coal_subcritical_Nantes_FRA</t>
  </si>
  <si>
    <t>H2prd_Elc_ALK_Briancon_FRA</t>
  </si>
  <si>
    <t>en_coal_supercritical_Nantes_FRA</t>
  </si>
  <si>
    <t>H2prd_Elc_ALK_Brest_FRA</t>
  </si>
  <si>
    <t>en_coal_ultrasupercritical_Nantes_FRA</t>
  </si>
  <si>
    <t>H2prd_Elc_ALK_ThononLesBains_FRA</t>
  </si>
  <si>
    <t>en_coal_igcc_Nantes_FRA</t>
  </si>
  <si>
    <t>H2prd_Elc_ALK_Dijon_FRA</t>
  </si>
  <si>
    <t>en_nuclear_Nantes_FRA</t>
  </si>
  <si>
    <t>H2prd_Elc_ALK_Lourdes_FRA</t>
  </si>
  <si>
    <t>en_nuclear_smr_Nantes_FRA</t>
  </si>
  <si>
    <t>H2prd_Elc_ALK_SaintLo_FRA</t>
  </si>
  <si>
    <t>en_biomass_Nantes_FRA</t>
  </si>
  <si>
    <t>H2prd_Elc_ALK_Thionville_FRA</t>
  </si>
  <si>
    <t>en_chp_gas_cc_ext_Nantes_FRA</t>
  </si>
  <si>
    <t>H2prd_Elc_ALK_Paris_FRA</t>
  </si>
  <si>
    <t>h_Nantes_FRA</t>
  </si>
  <si>
    <t>H2prd_Elc_ALK_Bordeaux_FRA</t>
  </si>
  <si>
    <t>en_chp_biomass_chips_ext_Nantes_FRA</t>
  </si>
  <si>
    <t>H2prd_Elc_ALK_Lyon_FRA</t>
  </si>
  <si>
    <t>H2prd_Elc_ALK_Perpignan_FRA</t>
  </si>
  <si>
    <t>en_chp_gas_cc_ext_ccs_Nantes_FRA</t>
  </si>
  <si>
    <t>H2prd_Elc_ALK_Belfort_FRA</t>
  </si>
  <si>
    <t>H2prd_Elc_ALK_AixLesBains_FRA</t>
  </si>
  <si>
    <t>en_hop_gas_boiler_Nantes_FRA</t>
  </si>
  <si>
    <t>H2prd_Elc_ALK_Caen_FRA</t>
  </si>
  <si>
    <t>en_hop_biomass_chips_Nantes_FRA</t>
  </si>
  <si>
    <t>H2prd_Elc_ALK_Mulhouse_FRA</t>
  </si>
  <si>
    <t>en_hop_electric_boiler_Nantes_FRA</t>
  </si>
  <si>
    <t>H2prd_Elc_ALK_Metz_FRA</t>
  </si>
  <si>
    <t>H2prd_Elc_ALK_Goussainville_FRA</t>
  </si>
  <si>
    <t>en_hp_air_10mw_Nantes_FRA</t>
  </si>
  <si>
    <t>H2prd_Elc_ALK_CharlevilleMeziere_FRA</t>
  </si>
  <si>
    <t>H2prd_Elc_ALK_Annecy_FRA</t>
  </si>
  <si>
    <t>en_gas_ccgt_Mohon_FRA</t>
  </si>
  <si>
    <t>H2prd_Elc_ALK_Aurillac_FRA</t>
  </si>
  <si>
    <t>en_gas_turbine_Mohon_FRA</t>
  </si>
  <si>
    <t>H2prd_Elc_ALK_Lille_FRA</t>
  </si>
  <si>
    <t>en_gas_ccs_Mohon_FRA</t>
  </si>
  <si>
    <t>H2prd_Elc_ALK_Rouen_FRA</t>
  </si>
  <si>
    <t>en_coal_subcritical_Mohon_FRA</t>
  </si>
  <si>
    <t>h_demand_Paris_FRA</t>
  </si>
  <si>
    <t>h_Paris_FRA</t>
  </si>
  <si>
    <t>en_coal_supercritical_Mohon_FRA</t>
  </si>
  <si>
    <t>h_demand_Goussainville_FRA</t>
  </si>
  <si>
    <t>h_Goussainville_FRA</t>
  </si>
  <si>
    <t>en_coal_ultrasupercritical_Mohon_FRA</t>
  </si>
  <si>
    <t>h_demand_Bordeaux_FRA</t>
  </si>
  <si>
    <t>h_Bordeaux_FRA</t>
  </si>
  <si>
    <t>en_coal_igcc_Mohon_FRA</t>
  </si>
  <si>
    <t>h_demand_Bastia_FRA</t>
  </si>
  <si>
    <t>h_Bastia_FRA</t>
  </si>
  <si>
    <t>en_nuclear_Mohon_FRA</t>
  </si>
  <si>
    <t>h_demand_Rouen_FRA</t>
  </si>
  <si>
    <t>h_Rouen_FRA</t>
  </si>
  <si>
    <t>en_nuclear_smr_Mohon_FRA</t>
  </si>
  <si>
    <t>h_demand_Nice_FRA</t>
  </si>
  <si>
    <t>en_biomass_Mohon_FRA</t>
  </si>
  <si>
    <t>h_demand_Belfort_FRA</t>
  </si>
  <si>
    <t>h_Belfort_FRA</t>
  </si>
  <si>
    <t>en_chp_gas_cc_ext_Mohon_FRA</t>
  </si>
  <si>
    <t>h_demand_Perpignan_FRA</t>
  </si>
  <si>
    <t>h_Perpignan_FRA</t>
  </si>
  <si>
    <t>h_Mohon_FRA</t>
  </si>
  <si>
    <t>h_demand_Strasbourg_FRA</t>
  </si>
  <si>
    <t>h_Strasbourg_FRA</t>
  </si>
  <si>
    <t>en_chp_biomass_chips_ext_Mohon_FRA</t>
  </si>
  <si>
    <t>h_demand_Caen_FRA</t>
  </si>
  <si>
    <t>h_Caen_FRA</t>
  </si>
  <si>
    <t>h_demand_Nimes_FRA</t>
  </si>
  <si>
    <t>en_chp_gas_cc_ext_ccs_Mohon_FRA</t>
  </si>
  <si>
    <t>h_demand_Brest_FRA</t>
  </si>
  <si>
    <t>h_Brest_FRA</t>
  </si>
  <si>
    <t>h_demand_Metz_FRA</t>
  </si>
  <si>
    <t>h_Metz_FRA</t>
  </si>
  <si>
    <t>en_hop_gas_boiler_Mohon_FRA</t>
  </si>
  <si>
    <t>h_demand_Lyon_FRA</t>
  </si>
  <si>
    <t>h_Lyon_FRA</t>
  </si>
  <si>
    <t>en_hop_biomass_chips_Mohon_FRA</t>
  </si>
  <si>
    <t>h_demand_Aurillac_FRA</t>
  </si>
  <si>
    <t>h_Aurillac_FRA</t>
  </si>
  <si>
    <t>en_hop_electric_boiler_Mohon_FRA</t>
  </si>
  <si>
    <t>h_demand_Dunkerque_FRA</t>
  </si>
  <si>
    <t>h_demand_Lille_FRA</t>
  </si>
  <si>
    <t>h_Lille_FRA</t>
  </si>
  <si>
    <t>en_hp_air_10mw_Mohon_FRA</t>
  </si>
  <si>
    <t>h_demand_Lourdes_FRA</t>
  </si>
  <si>
    <t>h_Lourdes_FRA</t>
  </si>
  <si>
    <t>h_demand_Mulhouse_FRA</t>
  </si>
  <si>
    <t>h_Mulhouse_FRA</t>
  </si>
  <si>
    <t>en_gas_ccgt_Calais_FRA</t>
  </si>
  <si>
    <t>h_demand_Nantes_FRA</t>
  </si>
  <si>
    <t>en_gas_turbine_Calais_FRA</t>
  </si>
  <si>
    <t>h_demand_Dijon_FRA</t>
  </si>
  <si>
    <t>h_Dijon_FRA</t>
  </si>
  <si>
    <t>en_gas_ccs_Calais_FRA</t>
  </si>
  <si>
    <t>en_coal_subcritical_Calais_FRA</t>
  </si>
  <si>
    <t>en_coal_supercritical_Calais_FRA</t>
  </si>
  <si>
    <t>en_coal_ultrasupercritical_Calais_FRA</t>
  </si>
  <si>
    <t>en_coal_igcc_Calais_FRA</t>
  </si>
  <si>
    <t>en_nuclear_Calais_FRA</t>
  </si>
  <si>
    <t>en_nuclear_smr_Calais_FRA</t>
  </si>
  <si>
    <t>en_biomass_Calais_FRA</t>
  </si>
  <si>
    <t>en_chp_gas_cc_ext_Calais_FRA</t>
  </si>
  <si>
    <t>h_Calais_FRA</t>
  </si>
  <si>
    <t>en_chp_biomass_chips_ext_Calais_FRA</t>
  </si>
  <si>
    <t>en_chp_gas_cc_ext_ccs_Calais_FRA</t>
  </si>
  <si>
    <t>en_hop_gas_boiler_Calais_FRA</t>
  </si>
  <si>
    <t>en_hop_biomass_chips_Calais_FRA</t>
  </si>
  <si>
    <t>en_hop_electric_boiler_Calais_FRA</t>
  </si>
  <si>
    <t>en_hp_air_10mw_Calais_FRA</t>
  </si>
  <si>
    <t>en_gas_ccgt_Forbach_FRA</t>
  </si>
  <si>
    <t>en_gas_turbine_Forbach_FRA</t>
  </si>
  <si>
    <t>en_gas_ccs_Forbach_FRA</t>
  </si>
  <si>
    <t>en_coal_subcritical_Forbach_FRA</t>
  </si>
  <si>
    <t>en_coal_supercritical_Forbach_FRA</t>
  </si>
  <si>
    <t>en_coal_ultrasupercritical_Forbach_FRA</t>
  </si>
  <si>
    <t>en_coal_igcc_Forbach_FRA</t>
  </si>
  <si>
    <t>en_nuclear_Forbach_FRA</t>
  </si>
  <si>
    <t>en_nuclear_smr_Forbach_FRA</t>
  </si>
  <si>
    <t>en_biomass_Forbach_FRA</t>
  </si>
  <si>
    <t>en_chp_gas_cc_ext_Forbach_FRA</t>
  </si>
  <si>
    <t>h_Forbach_FRA</t>
  </si>
  <si>
    <t>en_chp_biomass_chips_ext_Forbach_FRA</t>
  </si>
  <si>
    <t>en_chp_gas_cc_ext_ccs_Forbach_FRA</t>
  </si>
  <si>
    <t>en_hop_gas_boiler_Forbach_FRA</t>
  </si>
  <si>
    <t>en_hop_biomass_chips_Forbach_FRA</t>
  </si>
  <si>
    <t>en_hop_electric_boiler_Forbach_FRA</t>
  </si>
  <si>
    <t>en_hp_air_10mw_Forbach_FRA</t>
  </si>
  <si>
    <t>en_gas_ccgt_Haguenau_FRA</t>
  </si>
  <si>
    <t>en_gas_turbine_Haguenau_FRA</t>
  </si>
  <si>
    <t>en_gas_ccs_Haguenau_FRA</t>
  </si>
  <si>
    <t>en_coal_subcritical_Haguenau_FRA</t>
  </si>
  <si>
    <t>en_coal_supercritical_Haguenau_FRA</t>
  </si>
  <si>
    <t>en_coal_ultrasupercritical_Haguenau_FRA</t>
  </si>
  <si>
    <t>en_coal_igcc_Haguenau_FRA</t>
  </si>
  <si>
    <t>en_nuclear_Haguenau_FRA</t>
  </si>
  <si>
    <t>en_nuclear_smr_Haguenau_FRA</t>
  </si>
  <si>
    <t>en_biomass_Haguenau_FRA</t>
  </si>
  <si>
    <t>en_chp_gas_cc_ext_Haguenau_FRA</t>
  </si>
  <si>
    <t>h_Haguenau_FRA</t>
  </si>
  <si>
    <t>en_chp_biomass_chips_ext_Haguenau_FRA</t>
  </si>
  <si>
    <t>en_chp_gas_cc_ext_ccs_Haguenau_FRA</t>
  </si>
  <si>
    <t>en_hop_gas_boiler_Haguenau_FRA</t>
  </si>
  <si>
    <t>en_hop_biomass_chips_Haguenau_FRA</t>
  </si>
  <si>
    <t>en_hop_electric_boiler_Haguenau_FRA</t>
  </si>
  <si>
    <t>en_hp_air_10mw_Haguenau_FRA</t>
  </si>
  <si>
    <t>en_gas_ccgt_Bastia_FRA</t>
  </si>
  <si>
    <t>en_gas_turbine_Bastia_FRA</t>
  </si>
  <si>
    <t>en_gas_ccs_Bastia_FRA</t>
  </si>
  <si>
    <t>en_coal_subcritical_Bastia_FRA</t>
  </si>
  <si>
    <t>en_coal_supercritical_Bastia_FRA</t>
  </si>
  <si>
    <t>en_coal_ultrasupercritical_Bastia_FRA</t>
  </si>
  <si>
    <t>en_coal_igcc_Bastia_FRA</t>
  </si>
  <si>
    <t>en_nuclear_Bastia_FRA</t>
  </si>
  <si>
    <t>en_nuclear_smr_Bastia_FRA</t>
  </si>
  <si>
    <t>en_biomass_Bastia_FRA</t>
  </si>
  <si>
    <t>en_chp_gas_cc_ext_Bastia_FRA</t>
  </si>
  <si>
    <t>en_chp_biomass_chips_ext_Bastia_FRA</t>
  </si>
  <si>
    <t>en_chp_gas_cc_ext_ccs_Bastia_FRA</t>
  </si>
  <si>
    <t>en_hop_gas_boiler_Bastia_FRA</t>
  </si>
  <si>
    <t>en_hop_biomass_chips_Bastia_FRA</t>
  </si>
  <si>
    <t>en_hop_electric_boiler_Bastia_FRA</t>
  </si>
  <si>
    <t>en_hp_air_10mw_Bastia_FRA</t>
  </si>
  <si>
    <t>en_gas_ccgt_Strasbourg_FRA</t>
  </si>
  <si>
    <t>en_gas_turbine_Strasbourg_FRA</t>
  </si>
  <si>
    <t>en_gas_ccs_Strasbourg_FRA</t>
  </si>
  <si>
    <t>en_coal_subcritical_Strasbourg_FRA</t>
  </si>
  <si>
    <t>en_coal_supercritical_Strasbourg_FRA</t>
  </si>
  <si>
    <t>en_coal_ultrasupercritical_Strasbourg_FRA</t>
  </si>
  <si>
    <t>en_coal_igcc_Strasbourg_FRA</t>
  </si>
  <si>
    <t>en_nuclear_Strasbourg_FRA</t>
  </si>
  <si>
    <t>en_nuclear_smr_Strasbourg_FRA</t>
  </si>
  <si>
    <t>en_biomass_Strasbourg_FRA</t>
  </si>
  <si>
    <t>en_chp_gas_cc_ext_Strasbourg_FRA</t>
  </si>
  <si>
    <t>en_chp_biomass_chips_ext_Strasbourg_FRA</t>
  </si>
  <si>
    <t>en_chp_gas_cc_ext_ccs_Strasbourg_FRA</t>
  </si>
  <si>
    <t>en_hop_gas_boiler_Strasbourg_FRA</t>
  </si>
  <si>
    <t>en_hop_biomass_chips_Strasbourg_FRA</t>
  </si>
  <si>
    <t>en_hop_electric_boiler_Strasbourg_FRA</t>
  </si>
  <si>
    <t>en_hp_air_10mw_Strasbourg_FRA</t>
  </si>
  <si>
    <t>en_gas_ccgt_Briancon_FRA</t>
  </si>
  <si>
    <t>en_gas_turbine_Briancon_FRA</t>
  </si>
  <si>
    <t>en_gas_ccs_Briancon_FRA</t>
  </si>
  <si>
    <t>en_coal_subcritical_Briancon_FRA</t>
  </si>
  <si>
    <t>en_coal_supercritical_Briancon_FRA</t>
  </si>
  <si>
    <t>en_coal_ultrasupercritical_Briancon_FRA</t>
  </si>
  <si>
    <t>en_coal_igcc_Briancon_FRA</t>
  </si>
  <si>
    <t>en_nuclear_Briancon_FRA</t>
  </si>
  <si>
    <t>en_nuclear_smr_Briancon_FRA</t>
  </si>
  <si>
    <t>en_biomass_Briancon_FRA</t>
  </si>
  <si>
    <t>en_chp_gas_cc_ext_Briancon_FRA</t>
  </si>
  <si>
    <t>h_Briancon_FRA</t>
  </si>
  <si>
    <t>en_chp_biomass_chips_ext_Briancon_FRA</t>
  </si>
  <si>
    <t>en_chp_gas_cc_ext_ccs_Briancon_FRA</t>
  </si>
  <si>
    <t>en_hop_gas_boiler_Briancon_FRA</t>
  </si>
  <si>
    <t>en_hop_biomass_chips_Briancon_FRA</t>
  </si>
  <si>
    <t>en_hop_electric_boiler_Briancon_FRA</t>
  </si>
  <si>
    <t>en_hp_air_10mw_Briancon_FRA</t>
  </si>
  <si>
    <t>en_gas_ccgt_Brest_FRA</t>
  </si>
  <si>
    <t>en_gas_turbine_Brest_FRA</t>
  </si>
  <si>
    <t>en_gas_ccs_Brest_FRA</t>
  </si>
  <si>
    <t>en_coal_subcritical_Brest_FRA</t>
  </si>
  <si>
    <t>en_coal_supercritical_Brest_FRA</t>
  </si>
  <si>
    <t>en_coal_ultrasupercritical_Brest_FRA</t>
  </si>
  <si>
    <t>en_coal_igcc_Brest_FRA</t>
  </si>
  <si>
    <t>en_nuclear_Brest_FRA</t>
  </si>
  <si>
    <t>en_nuclear_smr_Brest_FRA</t>
  </si>
  <si>
    <t>en_biomass_Brest_FRA</t>
  </si>
  <si>
    <t>en_chp_gas_cc_ext_Brest_FRA</t>
  </si>
  <si>
    <t>en_chp_biomass_chips_ext_Brest_FRA</t>
  </si>
  <si>
    <t>en_chp_gas_cc_ext_ccs_Brest_FRA</t>
  </si>
  <si>
    <t>en_hop_gas_boiler_Brest_FRA</t>
  </si>
  <si>
    <t>en_hop_biomass_chips_Brest_FRA</t>
  </si>
  <si>
    <t>en_hop_electric_boiler_Brest_FRA</t>
  </si>
  <si>
    <t>en_hp_air_10mw_Brest_FRA</t>
  </si>
  <si>
    <t>en_gas_ccgt_ThononLesBains_FRA</t>
  </si>
  <si>
    <t>en_gas_turbine_ThononLesBains_FRA</t>
  </si>
  <si>
    <t>en_gas_ccs_ThononLesBains_FRA</t>
  </si>
  <si>
    <t>en_coal_subcritical_ThononLesBains_FRA</t>
  </si>
  <si>
    <t>en_coal_supercritical_ThononLesBains_FRA</t>
  </si>
  <si>
    <t>en_coal_ultrasupercritical_ThononLesBains_FRA</t>
  </si>
  <si>
    <t>en_coal_igcc_ThononLesBains_FRA</t>
  </si>
  <si>
    <t>en_nuclear_ThononLesBains_FRA</t>
  </si>
  <si>
    <t>en_nuclear_smr_ThononLesBains_FRA</t>
  </si>
  <si>
    <t>en_biomass_ThononLesBains_FRA</t>
  </si>
  <si>
    <t>en_chp_gas_cc_ext_ThononLesBains_FRA</t>
  </si>
  <si>
    <t>h_ThononLesBains_FRA</t>
  </si>
  <si>
    <t>en_chp_biomass_chips_ext_ThononLesBains_FRA</t>
  </si>
  <si>
    <t>en_chp_gas_cc_ext_ccs_ThononLesBains_FRA</t>
  </si>
  <si>
    <t>en_hop_gas_boiler_ThononLesBains_FRA</t>
  </si>
  <si>
    <t>en_hop_biomass_chips_ThononLesBains_FRA</t>
  </si>
  <si>
    <t>en_hop_electric_boiler_ThononLesBains_FRA</t>
  </si>
  <si>
    <t>en_hp_air_10mw_ThononLesBains_FRA</t>
  </si>
  <si>
    <t>en_gas_ccgt_Dijon_FRA</t>
  </si>
  <si>
    <t>en_gas_turbine_Dijon_FRA</t>
  </si>
  <si>
    <t>en_gas_ccs_Dijon_FRA</t>
  </si>
  <si>
    <t>en_coal_subcritical_Dijon_FRA</t>
  </si>
  <si>
    <t>en_coal_supercritical_Dijon_FRA</t>
  </si>
  <si>
    <t>en_coal_ultrasupercritical_Dijon_FRA</t>
  </si>
  <si>
    <t>en_coal_igcc_Dijon_FRA</t>
  </si>
  <si>
    <t>en_nuclear_Dijon_FRA</t>
  </si>
  <si>
    <t>en_nuclear_smr_Dijon_FRA</t>
  </si>
  <si>
    <t>en_biomass_Dijon_FRA</t>
  </si>
  <si>
    <t>en_chp_gas_cc_ext_Dijon_FRA</t>
  </si>
  <si>
    <t>en_chp_biomass_chips_ext_Dijon_FRA</t>
  </si>
  <si>
    <t>en_chp_gas_cc_ext_ccs_Dijon_FRA</t>
  </si>
  <si>
    <t>en_hop_gas_boiler_Dijon_FRA</t>
  </si>
  <si>
    <t>en_hop_biomass_chips_Dijon_FRA</t>
  </si>
  <si>
    <t>en_hop_electric_boiler_Dijon_FRA</t>
  </si>
  <si>
    <t>en_hp_air_10mw_Dijon_FRA</t>
  </si>
  <si>
    <t>en_gas_ccgt_Lourdes_FRA</t>
  </si>
  <si>
    <t>en_gas_turbine_Lourdes_FRA</t>
  </si>
  <si>
    <t>en_gas_ccs_Lourdes_FRA</t>
  </si>
  <si>
    <t>en_coal_subcritical_Lourdes_FRA</t>
  </si>
  <si>
    <t>en_coal_supercritical_Lourdes_FRA</t>
  </si>
  <si>
    <t>en_coal_ultrasupercritical_Lourdes_FRA</t>
  </si>
  <si>
    <t>en_coal_igcc_Lourdes_FRA</t>
  </si>
  <si>
    <t>en_nuclear_Lourdes_FRA</t>
  </si>
  <si>
    <t>en_nuclear_smr_Lourdes_FRA</t>
  </si>
  <si>
    <t>en_biomass_Lourdes_FRA</t>
  </si>
  <si>
    <t>en_chp_gas_cc_ext_Lourdes_FRA</t>
  </si>
  <si>
    <t>en_chp_biomass_chips_ext_Lourdes_FRA</t>
  </si>
  <si>
    <t>en_chp_gas_cc_ext_ccs_Lourdes_FRA</t>
  </si>
  <si>
    <t>en_hop_gas_boiler_Lourdes_FRA</t>
  </si>
  <si>
    <t>en_hop_biomass_chips_Lourdes_FRA</t>
  </si>
  <si>
    <t>en_hop_electric_boiler_Lourdes_FRA</t>
  </si>
  <si>
    <t>en_hp_air_10mw_Lourdes_FRA</t>
  </si>
  <si>
    <t>en_gas_ccgt_SaintLo_FRA</t>
  </si>
  <si>
    <t>en_gas_turbine_SaintLo_FRA</t>
  </si>
  <si>
    <t>en_gas_ccs_SaintLo_FRA</t>
  </si>
  <si>
    <t>en_coal_subcritical_SaintLo_FRA</t>
  </si>
  <si>
    <t>en_coal_supercritical_SaintLo_FRA</t>
  </si>
  <si>
    <t>en_coal_ultrasupercritical_SaintLo_FRA</t>
  </si>
  <si>
    <t>en_coal_igcc_SaintLo_FRA</t>
  </si>
  <si>
    <t>en_nuclear_SaintLo_FRA</t>
  </si>
  <si>
    <t>en_nuclear_smr_SaintLo_FRA</t>
  </si>
  <si>
    <t>en_biomass_SaintLo_FRA</t>
  </si>
  <si>
    <t>en_chp_gas_cc_ext_SaintLo_FRA</t>
  </si>
  <si>
    <t>h_SaintLo_FRA</t>
  </si>
  <si>
    <t>en_chp_biomass_chips_ext_SaintLo_FRA</t>
  </si>
  <si>
    <t>en_chp_gas_cc_ext_ccs_SaintLo_FRA</t>
  </si>
  <si>
    <t>en_hop_gas_boiler_SaintLo_FRA</t>
  </si>
  <si>
    <t>en_hop_biomass_chips_SaintLo_FRA</t>
  </si>
  <si>
    <t>en_hop_electric_boiler_SaintLo_FRA</t>
  </si>
  <si>
    <t>en_hp_air_10mw_SaintLo_FRA</t>
  </si>
  <si>
    <t>en_gas_ccgt_Thionville_FRA</t>
  </si>
  <si>
    <t>en_gas_turbine_Thionville_FRA</t>
  </si>
  <si>
    <t>en_gas_ccs_Thionville_FRA</t>
  </si>
  <si>
    <t>en_coal_subcritical_Thionville_FRA</t>
  </si>
  <si>
    <t>en_coal_supercritical_Thionville_FRA</t>
  </si>
  <si>
    <t>en_coal_ultrasupercritical_Thionville_FRA</t>
  </si>
  <si>
    <t>en_coal_igcc_Thionville_FRA</t>
  </si>
  <si>
    <t>en_nuclear_Thionville_FRA</t>
  </si>
  <si>
    <t>en_nuclear_smr_Thionville_FRA</t>
  </si>
  <si>
    <t>en_biomass_Thionville_FRA</t>
  </si>
  <si>
    <t>en_chp_gas_cc_ext_Thionville_FRA</t>
  </si>
  <si>
    <t>h_Thionville_FRA</t>
  </si>
  <si>
    <t>elc_industry</t>
  </si>
  <si>
    <t>en_chp_biomass_chips_ext_Thionville_FRA</t>
  </si>
  <si>
    <t>en_chp_gas_cc_ext_ccs_Thionville_FRA</t>
  </si>
  <si>
    <t>en_hop_gas_boiler_Thionville_FRA</t>
  </si>
  <si>
    <t>en_hop_biomass_chips_Thionville_FRA</t>
  </si>
  <si>
    <t>en_hop_electric_boiler_Thionville_FRA</t>
  </si>
  <si>
    <t>en_hp_air_10mw_Thionville_FRA</t>
  </si>
  <si>
    <t>en_gas_ccgt_Paris_FRA</t>
  </si>
  <si>
    <t>en_gas_turbine_Paris_FRA</t>
  </si>
  <si>
    <t>en_gas_ccs_Paris_FRA</t>
  </si>
  <si>
    <t>en_coal_subcritical_Paris_FRA</t>
  </si>
  <si>
    <t>en_coal_supercritical_Paris_FRA</t>
  </si>
  <si>
    <t>en_coal_ultrasupercritical_Paris_FRA</t>
  </si>
  <si>
    <t>en_coal_igcc_Paris_FRA</t>
  </si>
  <si>
    <t>en_nuclear_Paris_FRA</t>
  </si>
  <si>
    <t>en_nuclear_smr_Paris_FRA</t>
  </si>
  <si>
    <t>en_biomass_Paris_FRA</t>
  </si>
  <si>
    <t>en_chp_gas_cc_ext_Paris_FRA</t>
  </si>
  <si>
    <t>en_chp_biomass_chips_ext_Paris_FRA</t>
  </si>
  <si>
    <t>en_chp_gas_cc_ext_ccs_Paris_FRA</t>
  </si>
  <si>
    <t>en_hop_gas_boiler_Paris_FRA</t>
  </si>
  <si>
    <t>en_hop_biomass_chips_Paris_FRA</t>
  </si>
  <si>
    <t>en_hop_electric_boiler_Paris_FRA</t>
  </si>
  <si>
    <t>en_hp_air_10mw_Paris_FRA</t>
  </si>
  <si>
    <t>en_gas_ccgt_Bordeaux_FRA</t>
  </si>
  <si>
    <t>en_gas_turbine_Bordeaux_FRA</t>
  </si>
  <si>
    <t>en_gas_ccs_Bordeaux_FRA</t>
  </si>
  <si>
    <t>en_coal_subcritical_Bordeaux_FRA</t>
  </si>
  <si>
    <t>en_coal_supercritical_Bordeaux_FRA</t>
  </si>
  <si>
    <t>en_coal_ultrasupercritical_Bordeaux_FRA</t>
  </si>
  <si>
    <t>en_coal_igcc_Bordeaux_FRA</t>
  </si>
  <si>
    <t>en_nuclear_Bordeaux_FRA</t>
  </si>
  <si>
    <t>en_nuclear_smr_Bordeaux_FRA</t>
  </si>
  <si>
    <t>en_biomass_Bordeaux_FRA</t>
  </si>
  <si>
    <t>en_chp_gas_cc_ext_Bordeaux_FRA</t>
  </si>
  <si>
    <t>en_chp_biomass_chips_ext_Bordeaux_FRA</t>
  </si>
  <si>
    <t>en_chp_gas_cc_ext_ccs_Bordeaux_FRA</t>
  </si>
  <si>
    <t>en_hop_gas_boiler_Bordeaux_FRA</t>
  </si>
  <si>
    <t>en_hop_biomass_chips_Bordeaux_FRA</t>
  </si>
  <si>
    <t>en_hop_electric_boiler_Bordeaux_FRA</t>
  </si>
  <si>
    <t>en_hp_air_10mw_Bordeaux_FRA</t>
  </si>
  <si>
    <t>en_gas_ccgt_Lyon_FRA</t>
  </si>
  <si>
    <t>en_gas_turbine_Lyon_FRA</t>
  </si>
  <si>
    <t>en_gas_ccs_Lyon_FRA</t>
  </si>
  <si>
    <t>en_coal_subcritical_Lyon_FRA</t>
  </si>
  <si>
    <t>en_coal_supercritical_Lyon_FRA</t>
  </si>
  <si>
    <t>en_coal_ultrasupercritical_Lyon_FRA</t>
  </si>
  <si>
    <t>en_coal_igcc_Lyon_FRA</t>
  </si>
  <si>
    <t>en_nuclear_Lyon_FRA</t>
  </si>
  <si>
    <t>en_nuclear_smr_Lyon_FRA</t>
  </si>
  <si>
    <t>en_biomass_Lyon_FRA</t>
  </si>
  <si>
    <t>en_chp_gas_cc_ext_Lyon_FRA</t>
  </si>
  <si>
    <t>en_chp_biomass_chips_ext_Lyon_FRA</t>
  </si>
  <si>
    <t>en_chp_gas_cc_ext_ccs_Lyon_FRA</t>
  </si>
  <si>
    <t>en_hop_gas_boiler_Lyon_FRA</t>
  </si>
  <si>
    <t>en_hop_biomass_chips_Lyon_FRA</t>
  </si>
  <si>
    <t>en_hop_electric_boiler_Lyon_FRA</t>
  </si>
  <si>
    <t>en_hp_air_10mw_Lyon_FRA</t>
  </si>
  <si>
    <t>en_gas_ccgt_Perpignan_FRA</t>
  </si>
  <si>
    <t>en_gas_turbine_Perpignan_FRA</t>
  </si>
  <si>
    <t>en_gas_ccs_Perpignan_FRA</t>
  </si>
  <si>
    <t>en_coal_subcritical_Perpignan_FRA</t>
  </si>
  <si>
    <t>en_coal_supercritical_Perpignan_FRA</t>
  </si>
  <si>
    <t>en_coal_ultrasupercritical_Perpignan_FRA</t>
  </si>
  <si>
    <t>en_coal_igcc_Perpignan_FRA</t>
  </si>
  <si>
    <t>en_nuclear_Perpignan_FRA</t>
  </si>
  <si>
    <t>en_nuclear_smr_Perpignan_FRA</t>
  </si>
  <si>
    <t>en_biomass_Perpignan_FRA</t>
  </si>
  <si>
    <t>en_chp_gas_cc_ext_Perpignan_FRA</t>
  </si>
  <si>
    <t>en_chp_biomass_chips_ext_Perpignan_FRA</t>
  </si>
  <si>
    <t>en_chp_gas_cc_ext_ccs_Perpignan_FRA</t>
  </si>
  <si>
    <t>en_hop_gas_boiler_Perpignan_FRA</t>
  </si>
  <si>
    <t>en_hop_biomass_chips_Perpignan_FRA</t>
  </si>
  <si>
    <t>en_hop_electric_boiler_Perpignan_FRA</t>
  </si>
  <si>
    <t>en_hp_air_10mw_Perpignan_FRA</t>
  </si>
  <si>
    <t>en_gas_ccgt_Belfort_FRA</t>
  </si>
  <si>
    <t>en_gas_turbine_Belfort_FRA</t>
  </si>
  <si>
    <t>en_gas_ccs_Belfort_FRA</t>
  </si>
  <si>
    <t>en_coal_subcritical_Belfort_FRA</t>
  </si>
  <si>
    <t>en_coal_supercritical_Belfort_FRA</t>
  </si>
  <si>
    <t>en_coal_ultrasupercritical_Belfort_FRA</t>
  </si>
  <si>
    <t>en_coal_igcc_Belfort_FRA</t>
  </si>
  <si>
    <t>en_nuclear_Belfort_FRA</t>
  </si>
  <si>
    <t>en_nuclear_smr_Belfort_FRA</t>
  </si>
  <si>
    <t>en_biomass_Belfort_FRA</t>
  </si>
  <si>
    <t>en_chp_gas_cc_ext_Belfort_FRA</t>
  </si>
  <si>
    <t>en_chp_biomass_chips_ext_Belfort_FRA</t>
  </si>
  <si>
    <t>en_chp_gas_cc_ext_ccs_Belfort_FRA</t>
  </si>
  <si>
    <t>en_hop_gas_boiler_Belfort_FRA</t>
  </si>
  <si>
    <t>en_hop_biomass_chips_Belfort_FRA</t>
  </si>
  <si>
    <t>en_hop_electric_boiler_Belfort_FRA</t>
  </si>
  <si>
    <t>en_hp_air_10mw_Belfort_FRA</t>
  </si>
  <si>
    <t>en_gas_ccgt_AixLesBains_FRA</t>
  </si>
  <si>
    <t>en_gas_turbine_AixLesBains_FRA</t>
  </si>
  <si>
    <t>en_gas_ccs_AixLesBains_FRA</t>
  </si>
  <si>
    <t>en_coal_subcritical_AixLesBains_FRA</t>
  </si>
  <si>
    <t>en_coal_supercritical_AixLesBains_FRA</t>
  </si>
  <si>
    <t>en_coal_ultrasupercritical_AixLesBains_FRA</t>
  </si>
  <si>
    <t>en_coal_igcc_AixLesBains_FRA</t>
  </si>
  <si>
    <t>en_nuclear_AixLesBains_FRA</t>
  </si>
  <si>
    <t>en_nuclear_smr_AixLesBains_FRA</t>
  </si>
  <si>
    <t>en_biomass_AixLesBains_FRA</t>
  </si>
  <si>
    <t>en_chp_gas_cc_ext_AixLesBains_FRA</t>
  </si>
  <si>
    <t>h_AixLesBains_FRA</t>
  </si>
  <si>
    <t>en_chp_biomass_chips_ext_AixLesBains_FRA</t>
  </si>
  <si>
    <t>en_chp_gas_cc_ext_ccs_AixLesBains_FRA</t>
  </si>
  <si>
    <t>het_buildings</t>
  </si>
  <si>
    <t>en_hop_gas_boiler_AixLesBains_FRA</t>
  </si>
  <si>
    <t>het_industry</t>
  </si>
  <si>
    <t>en_hop_biomass_chips_AixLesBains_FRA</t>
  </si>
  <si>
    <t>en_hop_electric_boiler_AixLesBains_FRA</t>
  </si>
  <si>
    <t>en_hp_air_10mw_AixLesBains_FRA</t>
  </si>
  <si>
    <t>en_gas_ccgt_Caen_FRA</t>
  </si>
  <si>
    <t>en_gas_turbine_Caen_FRA</t>
  </si>
  <si>
    <t>en_gas_ccs_Caen_FRA</t>
  </si>
  <si>
    <t>en_coal_subcritical_Caen_FRA</t>
  </si>
  <si>
    <t>en_coal_supercritical_Caen_FRA</t>
  </si>
  <si>
    <t>en_coal_ultrasupercritical_Caen_FRA</t>
  </si>
  <si>
    <t>en_coal_igcc_Caen_FRA</t>
  </si>
  <si>
    <t>en_nuclear_Caen_FRA</t>
  </si>
  <si>
    <t>en_nuclear_smr_Caen_FRA</t>
  </si>
  <si>
    <t>en_biomass_Caen_FRA</t>
  </si>
  <si>
    <t>en_chp_gas_cc_ext_Caen_FRA</t>
  </si>
  <si>
    <t>en_chp_biomass_chips_ext_Caen_FRA</t>
  </si>
  <si>
    <t>en_chp_gas_cc_ext_ccs_Caen_FRA</t>
  </si>
  <si>
    <t>en_hop_gas_boiler_Caen_FRA</t>
  </si>
  <si>
    <t>en_hop_biomass_chips_Caen_FRA</t>
  </si>
  <si>
    <t>en_hop_electric_boiler_Caen_FRA</t>
  </si>
  <si>
    <t>en_hp_air_10mw_Caen_FRA</t>
  </si>
  <si>
    <t>en_gas_ccgt_Mulhouse_FRA</t>
  </si>
  <si>
    <t>en_gas_turbine_Mulhouse_FRA</t>
  </si>
  <si>
    <t>en_gas_ccs_Mulhouse_FRA</t>
  </si>
  <si>
    <t>en_coal_subcritical_Mulhouse_FRA</t>
  </si>
  <si>
    <t>en_coal_supercritical_Mulhouse_FRA</t>
  </si>
  <si>
    <t>en_coal_ultrasupercritical_Mulhouse_FRA</t>
  </si>
  <si>
    <t>en_coal_igcc_Mulhouse_FRA</t>
  </si>
  <si>
    <t>en_nuclear_Mulhouse_FRA</t>
  </si>
  <si>
    <t>en_nuclear_smr_Mulhouse_FRA</t>
  </si>
  <si>
    <t>en_biomass_Mulhouse_FRA</t>
  </si>
  <si>
    <t>en_chp_gas_cc_ext_Mulhouse_FRA</t>
  </si>
  <si>
    <t>en_chp_biomass_chips_ext_Mulhouse_FRA</t>
  </si>
  <si>
    <t>en_chp_gas_cc_ext_ccs_Mulhouse_FRA</t>
  </si>
  <si>
    <t>en_hop_gas_boiler_Mulhouse_FRA</t>
  </si>
  <si>
    <t>en_hop_biomass_chips_Mulhouse_FRA</t>
  </si>
  <si>
    <t>en_hop_electric_boiler_Mulhouse_FRA</t>
  </si>
  <si>
    <t>en_hp_air_10mw_Mulhouse_FRA</t>
  </si>
  <si>
    <t>en_gas_ccgt_Metz_FRA</t>
  </si>
  <si>
    <t>en_gas_turbine_Metz_FRA</t>
  </si>
  <si>
    <t>en_gas_ccs_Metz_FRA</t>
  </si>
  <si>
    <t>en_coal_subcritical_Metz_FRA</t>
  </si>
  <si>
    <t>en_coal_supercritical_Metz_FRA</t>
  </si>
  <si>
    <t>en_coal_ultrasupercritical_Metz_FRA</t>
  </si>
  <si>
    <t>en_coal_igcc_Metz_FRA</t>
  </si>
  <si>
    <t>en_nuclear_Metz_FRA</t>
  </si>
  <si>
    <t>en_nuclear_smr_Metz_FRA</t>
  </si>
  <si>
    <t>en_biomass_Metz_FRA</t>
  </si>
  <si>
    <t>en_chp_gas_cc_ext_Metz_FRA</t>
  </si>
  <si>
    <t>en_chp_biomass_chips_ext_Metz_FRA</t>
  </si>
  <si>
    <t>en_chp_gas_cc_ext_ccs_Metz_FRA</t>
  </si>
  <si>
    <t>en_hop_gas_boiler_Metz_FRA</t>
  </si>
  <si>
    <t>en_hop_biomass_chips_Metz_FRA</t>
  </si>
  <si>
    <t>en_hop_electric_boiler_Metz_FRA</t>
  </si>
  <si>
    <t>en_hp_air_10mw_Metz_FRA</t>
  </si>
  <si>
    <t>en_gas_ccgt_Goussainville_FRA</t>
  </si>
  <si>
    <t>en_gas_turbine_Goussainville_FRA</t>
  </si>
  <si>
    <t>en_gas_ccs_Goussainville_FRA</t>
  </si>
  <si>
    <t>en_coal_subcritical_Goussainville_FRA</t>
  </si>
  <si>
    <t>en_coal_supercritical_Goussainville_FRA</t>
  </si>
  <si>
    <t>en_coal_ultrasupercritical_Goussainville_FRA</t>
  </si>
  <si>
    <t>en_coal_igcc_Goussainville_FRA</t>
  </si>
  <si>
    <t>en_nuclear_Goussainville_FRA</t>
  </si>
  <si>
    <t>en_nuclear_smr_Goussainville_FRA</t>
  </si>
  <si>
    <t>en_biomass_Goussainville_FRA</t>
  </si>
  <si>
    <t>en_chp_gas_cc_ext_Goussainville_FRA</t>
  </si>
  <si>
    <t>en_chp_biomass_chips_ext_Goussainville_FRA</t>
  </si>
  <si>
    <t>en_chp_gas_cc_ext_ccs_Goussainville_FRA</t>
  </si>
  <si>
    <t>en_hop_gas_boiler_Goussainville_FRA</t>
  </si>
  <si>
    <t>en_hop_biomass_chips_Goussainville_FRA</t>
  </si>
  <si>
    <t>en_hop_electric_boiler_Goussainville_FRA</t>
  </si>
  <si>
    <t>en_hp_air_10mw_Goussainville_FRA</t>
  </si>
  <si>
    <t>en_gas_ccgt_CharlevilleMeziere_FRA</t>
  </si>
  <si>
    <t>en_gas_turbine_CharlevilleMeziere_FRA</t>
  </si>
  <si>
    <t>en_gas_ccs_CharlevilleMeziere_FRA</t>
  </si>
  <si>
    <t>en_coal_subcritical_CharlevilleMeziere_FRA</t>
  </si>
  <si>
    <t>en_coal_supercritical_CharlevilleMeziere_FRA</t>
  </si>
  <si>
    <t>en_coal_ultrasupercritical_CharlevilleMeziere_FRA</t>
  </si>
  <si>
    <t>en_coal_igcc_CharlevilleMeziere_FRA</t>
  </si>
  <si>
    <t>en_nuclear_CharlevilleMeziere_FRA</t>
  </si>
  <si>
    <t>en_nuclear_smr_CharlevilleMeziere_FRA</t>
  </si>
  <si>
    <t>en_biomass_CharlevilleMeziere_FRA</t>
  </si>
  <si>
    <t>en_chp_gas_cc_ext_CharlevilleMeziere_FRA</t>
  </si>
  <si>
    <t>h_CharlevilleMeziere_FRA</t>
  </si>
  <si>
    <t>en_chp_biomass_chips_ext_CharlevilleMeziere_FRA</t>
  </si>
  <si>
    <t>en_chp_gas_cc_ext_ccs_CharlevilleMeziere_FRA</t>
  </si>
  <si>
    <t>en_hop_gas_boiler_CharlevilleMeziere_FRA</t>
  </si>
  <si>
    <t>en_hop_biomass_chips_CharlevilleMeziere_FRA</t>
  </si>
  <si>
    <t>en_hop_electric_boiler_CharlevilleMeziere_FRA</t>
  </si>
  <si>
    <t>en_hp_air_10mw_CharlevilleMeziere_FRA</t>
  </si>
  <si>
    <t>en_gas_ccgt_Annecy_FRA</t>
  </si>
  <si>
    <t>en_gas_turbine_Annecy_FRA</t>
  </si>
  <si>
    <t>en_gas_ccs_Annecy_FRA</t>
  </si>
  <si>
    <t>en_coal_subcritical_Annecy_FRA</t>
  </si>
  <si>
    <t>en_coal_supercritical_Annecy_FRA</t>
  </si>
  <si>
    <t>en_coal_ultrasupercritical_Annecy_FRA</t>
  </si>
  <si>
    <t>en_coal_igcc_Annecy_FRA</t>
  </si>
  <si>
    <t>en_nuclear_Annecy_FRA</t>
  </si>
  <si>
    <t>en_nuclear_smr_Annecy_FRA</t>
  </si>
  <si>
    <t>en_biomass_Annecy_FRA</t>
  </si>
  <si>
    <t>en_chp_gas_cc_ext_Annecy_FRA</t>
  </si>
  <si>
    <t>h_Annecy_FRA</t>
  </si>
  <si>
    <t>en_chp_biomass_chips_ext_Annecy_FRA</t>
  </si>
  <si>
    <t>en_chp_gas_cc_ext_ccs_Annecy_FRA</t>
  </si>
  <si>
    <t>en_hop_gas_boiler_Annecy_FRA</t>
  </si>
  <si>
    <t>en_hop_biomass_chips_Annecy_FRA</t>
  </si>
  <si>
    <t>en_hop_electric_boiler_Annecy_FRA</t>
  </si>
  <si>
    <t>en_hp_air_10mw_Annecy_FRA</t>
  </si>
  <si>
    <t>en_gas_ccgt_Aurillac_FRA</t>
  </si>
  <si>
    <t>en_gas_turbine_Aurillac_FRA</t>
  </si>
  <si>
    <t>en_gas_ccs_Aurillac_FRA</t>
  </si>
  <si>
    <t>en_coal_subcritical_Aurillac_FRA</t>
  </si>
  <si>
    <t>en_coal_supercritical_Aurillac_FRA</t>
  </si>
  <si>
    <t>en_coal_ultrasupercritical_Aurillac_FRA</t>
  </si>
  <si>
    <t>en_coal_igcc_Aurillac_FRA</t>
  </si>
  <si>
    <t>en_nuclear_Aurillac_FRA</t>
  </si>
  <si>
    <t>en_nuclear_smr_Aurillac_FRA</t>
  </si>
  <si>
    <t>en_biomass_Aurillac_FRA</t>
  </si>
  <si>
    <t>en_chp_gas_cc_ext_Aurillac_FRA</t>
  </si>
  <si>
    <t>en_chp_biomass_chips_ext_Aurillac_FRA</t>
  </si>
  <si>
    <t>en_chp_gas_cc_ext_ccs_Aurillac_FRA</t>
  </si>
  <si>
    <t>en_hop_gas_boiler_Aurillac_FRA</t>
  </si>
  <si>
    <t>en_hop_biomass_chips_Aurillac_FRA</t>
  </si>
  <si>
    <t>en_hop_electric_boiler_Aurillac_FRA</t>
  </si>
  <si>
    <t>en_hp_air_10mw_Aurillac_FRA</t>
  </si>
  <si>
    <t>en_gas_ccgt_Lille_FRA</t>
  </si>
  <si>
    <t>en_gas_turbine_Lille_FRA</t>
  </si>
  <si>
    <t>en_gas_ccs_Lille_FRA</t>
  </si>
  <si>
    <t>en_coal_subcritical_Lille_FRA</t>
  </si>
  <si>
    <t>en_coal_supercritical_Lille_FRA</t>
  </si>
  <si>
    <t>en_coal_ultrasupercritical_Lille_FRA</t>
  </si>
  <si>
    <t>en_coal_igcc_Lille_FRA</t>
  </si>
  <si>
    <t>en_nuclear_Lille_FRA</t>
  </si>
  <si>
    <t>en_nuclear_smr_Lille_FRA</t>
  </si>
  <si>
    <t>en_biomass_Lille_FRA</t>
  </si>
  <si>
    <t>en_chp_gas_cc_ext_Lille_FRA</t>
  </si>
  <si>
    <t>en_chp_biomass_chips_ext_Lille_FRA</t>
  </si>
  <si>
    <t>en_chp_gas_cc_ext_ccs_Lille_FRA</t>
  </si>
  <si>
    <t>en_hop_gas_boiler_Lille_FRA</t>
  </si>
  <si>
    <t>en_hop_biomass_chips_Lille_FRA</t>
  </si>
  <si>
    <t>en_hop_electric_boiler_Lille_FRA</t>
  </si>
  <si>
    <t>en_hp_air_10mw_Lille_FRA</t>
  </si>
  <si>
    <t>en_gas_ccgt_Rouen_FRA</t>
  </si>
  <si>
    <t>en_gas_turbine_Rouen_FRA</t>
  </si>
  <si>
    <t>en_gas_ccs_Rouen_FRA</t>
  </si>
  <si>
    <t>en_coal_subcritical_Rouen_FRA</t>
  </si>
  <si>
    <t>en_coal_supercritical_Rouen_FRA</t>
  </si>
  <si>
    <t>en_coal_ultrasupercritical_Rouen_FRA</t>
  </si>
  <si>
    <t>en_coal_igcc_Rouen_FRA</t>
  </si>
  <si>
    <t>en_nuclear_Rouen_FRA</t>
  </si>
  <si>
    <t>en_nuclear_smr_Rouen_FRA</t>
  </si>
  <si>
    <t>en_biomass_Rouen_FRA</t>
  </si>
  <si>
    <t>en_chp_gas_cc_ext_Rouen_FRA</t>
  </si>
  <si>
    <t>en_chp_biomass_chips_ext_Rouen_FRA</t>
  </si>
  <si>
    <t>en_chp_gas_cc_ext_ccs_Rouen_FRA</t>
  </si>
  <si>
    <t>en_hop_gas_boiler_Rouen_FRA</t>
  </si>
  <si>
    <t>en_hop_biomass_chips_Rouen_FRA</t>
  </si>
  <si>
    <t>en_hop_electric_boiler_Rouen_FRA</t>
  </si>
  <si>
    <t>en_hp_air_10mw_Rouen_FRA</t>
  </si>
  <si>
    <t>en_battery_4h_Nice_FRA</t>
  </si>
  <si>
    <t>en_battery_8h_Nice_FRA</t>
  </si>
  <si>
    <t>en_battery_4h_Dunkerque_FRA</t>
  </si>
  <si>
    <t>en_battery_8h_Dunkerque_FRA</t>
  </si>
  <si>
    <t>en_battery_4h_Toulouse_FRA</t>
  </si>
  <si>
    <t>en_battery_8h_Toulouse_FRA</t>
  </si>
  <si>
    <t>en_battery_4h_Nimes_FRA</t>
  </si>
  <si>
    <t>en_battery_8h_Nimes_FRA</t>
  </si>
  <si>
    <t>en_battery_4h_Bayonne_FRA</t>
  </si>
  <si>
    <t>en_battery_8h_Bayonne_FRA</t>
  </si>
  <si>
    <t>en_battery_4h_Nantes_FRA</t>
  </si>
  <si>
    <t>en_battery_8h_Nantes_FRA</t>
  </si>
  <si>
    <t>en_battery_4h_Mohon_FRA</t>
  </si>
  <si>
    <t>en_battery_8h_Mohon_FRA</t>
  </si>
  <si>
    <t>en_battery_4h_Calais_FRA</t>
  </si>
  <si>
    <t>en_battery_8h_Calais_FRA</t>
  </si>
  <si>
    <t>en_battery_4h_Forbach_FRA</t>
  </si>
  <si>
    <t>en_battery_8h_Forbach_FRA</t>
  </si>
  <si>
    <t>en_battery_4h_Haguenau_FRA</t>
  </si>
  <si>
    <t>en_battery_8h_Haguenau_FRA</t>
  </si>
  <si>
    <t>en_battery_4h_Bastia_FRA</t>
  </si>
  <si>
    <t>en_battery_8h_Bastia_FRA</t>
  </si>
  <si>
    <t>en_battery_4h_Strasbourg_FRA</t>
  </si>
  <si>
    <t>en_battery_8h_Strasbourg_FRA</t>
  </si>
  <si>
    <t>en_battery_4h_Briancon_FRA</t>
  </si>
  <si>
    <t>en_battery_8h_Briancon_FRA</t>
  </si>
  <si>
    <t>en_battery_4h_Brest_FRA</t>
  </si>
  <si>
    <t>en_battery_8h_Brest_FRA</t>
  </si>
  <si>
    <t>en_battery_4h_ThononLesBains_FRA</t>
  </si>
  <si>
    <t>en_battery_8h_ThononLesBains_FRA</t>
  </si>
  <si>
    <t>en_battery_4h_Dijon_FRA</t>
  </si>
  <si>
    <t>en_battery_8h_Dijon_FRA</t>
  </si>
  <si>
    <t>en_battery_4h_Lourdes_FRA</t>
  </si>
  <si>
    <t>en_battery_8h_Lourdes_FRA</t>
  </si>
  <si>
    <t>en_battery_4h_SaintLo_FRA</t>
  </si>
  <si>
    <t>en_battery_8h_SaintLo_FRA</t>
  </si>
  <si>
    <t>en_battery_4h_Thionville_FRA</t>
  </si>
  <si>
    <t>en_battery_8h_Thionville_FRA</t>
  </si>
  <si>
    <t>en_battery_4h_Paris_FRA</t>
  </si>
  <si>
    <t>en_battery_8h_Paris_FRA</t>
  </si>
  <si>
    <t>en_battery_4h_Bordeaux_FRA</t>
  </si>
  <si>
    <t>en_battery_8h_Bordeaux_FRA</t>
  </si>
  <si>
    <t>en_battery_4h_Lyon_FRA</t>
  </si>
  <si>
    <t>en_battery_8h_Lyon_FRA</t>
  </si>
  <si>
    <t>en_battery_4h_Perpignan_FRA</t>
  </si>
  <si>
    <t>en_battery_8h_Perpignan_FRA</t>
  </si>
  <si>
    <t>en_battery_4h_Belfort_FRA</t>
  </si>
  <si>
    <t>en_battery_8h_Belfort_FRA</t>
  </si>
  <si>
    <t>en_battery_4h_AixLesBains_FRA</t>
  </si>
  <si>
    <t>en_battery_8h_AixLesBains_FRA</t>
  </si>
  <si>
    <t>en_battery_4h_Caen_FRA</t>
  </si>
  <si>
    <t>en_battery_8h_Caen_FRA</t>
  </si>
  <si>
    <t>en_battery_4h_Mulhouse_FRA</t>
  </si>
  <si>
    <t>en_battery_8h_Mulhouse_FRA</t>
  </si>
  <si>
    <t>en_battery_4h_Metz_FRA</t>
  </si>
  <si>
    <t>en_battery_8h_Metz_FRA</t>
  </si>
  <si>
    <t>en_battery_4h_Goussainville_FRA</t>
  </si>
  <si>
    <t>en_battery_8h_Goussainville_FRA</t>
  </si>
  <si>
    <t>en_battery_4h_CharlevilleMeziere_FRA</t>
  </si>
  <si>
    <t>en_battery_8h_CharlevilleMeziere_FRA</t>
  </si>
  <si>
    <t>en_battery_4h_Annecy_FRA</t>
  </si>
  <si>
    <t>en_battery_8h_Annecy_FRA</t>
  </si>
  <si>
    <t>en_battery_4h_Aurillac_FRA</t>
  </si>
  <si>
    <t>en_battery_8h_Aurillac_FRA</t>
  </si>
  <si>
    <t>en_battery_4h_Lille_FRA</t>
  </si>
  <si>
    <t>en_battery_8h_Lille_FRA</t>
  </si>
  <si>
    <t>en_battery_4h_Rouen_FRA</t>
  </si>
  <si>
    <t>en_battery_8h_Rouen_FRA</t>
  </si>
  <si>
    <t>model_fuel</t>
  </si>
  <si>
    <t>ember_min</t>
  </si>
  <si>
    <t>ember_max</t>
  </si>
  <si>
    <t>irena_min</t>
  </si>
  <si>
    <t>irena_max</t>
  </si>
  <si>
    <t>bioenergy</t>
  </si>
  <si>
    <t>~UC_Sets: R_E: AllRegions</t>
  </si>
  <si>
    <t>coal</t>
  </si>
  <si>
    <t>gas</t>
  </si>
  <si>
    <t>geothermal</t>
  </si>
  <si>
    <t>~UC_T: UC_CAP~LO</t>
  </si>
  <si>
    <t>~UC_T: UC_CAP~UP</t>
  </si>
  <si>
    <t>hydro</t>
  </si>
  <si>
    <t>UC_N</t>
  </si>
  <si>
    <t>pset_ci</t>
  </si>
  <si>
    <t>pset_co</t>
  </si>
  <si>
    <t>UC_ACT</t>
  </si>
  <si>
    <t>UC_CAP</t>
  </si>
  <si>
    <t>UC_RHSRT</t>
  </si>
  <si>
    <t>UC_RHSRT~0</t>
  </si>
  <si>
    <t>nuclear</t>
  </si>
  <si>
    <t>UCE_max coal fleet utilization</t>
  </si>
  <si>
    <t>-CO2Captured,-HET</t>
  </si>
  <si>
    <t>UCE_min coal fleet utilization</t>
  </si>
  <si>
    <t>oil</t>
  </si>
  <si>
    <t>UCE_max gas fleet utilization</t>
  </si>
  <si>
    <t>UCE_min gas fleet utilization</t>
  </si>
  <si>
    <t>solar</t>
  </si>
  <si>
    <t>UCE_min oil fleet utilization</t>
  </si>
  <si>
    <t>windon</t>
  </si>
  <si>
    <t>X base-year nuclear capacity</t>
  </si>
  <si>
    <t>BUILD RATE ASSUMPTIONS</t>
  </si>
  <si>
    <t>iso</t>
  </si>
  <si>
    <t>Solar Low</t>
  </si>
  <si>
    <t>Solar High</t>
  </si>
  <si>
    <t>Wind Low</t>
  </si>
  <si>
    <t>Wind High</t>
  </si>
  <si>
    <t>Hydro Low</t>
  </si>
  <si>
    <t>Hydro High</t>
  </si>
  <si>
    <t>Nuclear Low</t>
  </si>
  <si>
    <t>Nuclear High</t>
  </si>
  <si>
    <t>~UC_T: uc_rhsrt</t>
  </si>
  <si>
    <t>*</t>
  </si>
  <si>
    <t>uc_n</t>
  </si>
  <si>
    <t>uc_attr</t>
  </si>
  <si>
    <t>uc_ncap</t>
  </si>
  <si>
    <t>ncap,buildup</t>
  </si>
  <si>
    <t>wind</t>
  </si>
  <si>
    <t>~UC_Sets: R_S: Allregions</t>
  </si>
  <si>
    <t>~UC_T: FX</t>
  </si>
  <si>
    <t>~UC_T</t>
  </si>
  <si>
    <t>uc_cap</t>
  </si>
  <si>
    <t>uc_rhst~0</t>
  </si>
  <si>
    <t>ELE</t>
  </si>
  <si>
    <t>UCE_elcagg_spv_FRA_001</t>
  </si>
  <si>
    <t>elc_spv_FRA_001</t>
  </si>
  <si>
    <t>UCE_elcagg_spv_FRA_002</t>
  </si>
  <si>
    <t>elc_spv_FRA_002</t>
  </si>
  <si>
    <t>UCE_elcagg_spv_FRA_003</t>
  </si>
  <si>
    <t>elc_spv_FRA_003</t>
  </si>
  <si>
    <t>UCE_elcagg_spv_FRA_004</t>
  </si>
  <si>
    <t>elc_spv_FRA_004</t>
  </si>
  <si>
    <t>UCE_elcagg_spv_FRA_005</t>
  </si>
  <si>
    <t>elc_spv_FRA_005</t>
  </si>
  <si>
    <t>UCE_elcagg_spv_FRA_006</t>
  </si>
  <si>
    <t>elc_spv_FRA_006</t>
  </si>
  <si>
    <t>UCE_elcagg_spv_FRA_007</t>
  </si>
  <si>
    <t>elc_spv_FRA_007</t>
  </si>
  <si>
    <t>UCE_elcagg_spv_FRA_008</t>
  </si>
  <si>
    <t>elc_spv_FRA_008</t>
  </si>
  <si>
    <t>UCE_elcagg_spv_FRA_009</t>
  </si>
  <si>
    <t>elc_spv_FRA_009</t>
  </si>
  <si>
    <t>UCE_elcagg_spv_FRA_010</t>
  </si>
  <si>
    <t>elc_spv_FRA_010</t>
  </si>
  <si>
    <t>UCE_elcagg_spv_FRA_011</t>
  </si>
  <si>
    <t>elc_spv_FRA_011</t>
  </si>
  <si>
    <t>UCE_elcagg_spv_FRA_012</t>
  </si>
  <si>
    <t>elc_spv_FRA_012</t>
  </si>
  <si>
    <t>UCE_elcagg_spv_FRA_013</t>
  </si>
  <si>
    <t>elc_spv_FRA_013</t>
  </si>
  <si>
    <t>UCE_elcagg_spv_FRA_014</t>
  </si>
  <si>
    <t>elc_spv_FRA_014</t>
  </si>
  <si>
    <t>UCE_elcagg_spv_FRA_015</t>
  </si>
  <si>
    <t>elc_spv_FRA_015</t>
  </si>
  <si>
    <t>UCE_elcagg_spv_FRA_016</t>
  </si>
  <si>
    <t>elc_spv_FRA_016</t>
  </si>
  <si>
    <t>UCE_elcagg_spv_FRA_017</t>
  </si>
  <si>
    <t>elc_spv_FRA_017</t>
  </si>
  <si>
    <t>UCE_elcagg_spv_FRA_018</t>
  </si>
  <si>
    <t>elc_spv_FRA_018</t>
  </si>
  <si>
    <t>UCE_elcagg_spv_FRA_019</t>
  </si>
  <si>
    <t>elc_spv_FRA_019</t>
  </si>
  <si>
    <t>UCE_elcagg_spv_FRA_020</t>
  </si>
  <si>
    <t>elc_spv_FRA_020</t>
  </si>
  <si>
    <t>UCE_elcagg_spv_FRA_021</t>
  </si>
  <si>
    <t>elc_spv_FRA_021</t>
  </si>
  <si>
    <t>UCE_elcagg_spv_FRA_022</t>
  </si>
  <si>
    <t>elc_spv_FRA_022</t>
  </si>
  <si>
    <t>UCE_elcagg_spv_FRA_023</t>
  </si>
  <si>
    <t>elc_spv_FRA_023</t>
  </si>
  <si>
    <t>UCE_elcagg_spv_FRA_024</t>
  </si>
  <si>
    <t>elc_spv_FRA_024</t>
  </si>
  <si>
    <t>UCE_elcagg_spv_FRA_025</t>
  </si>
  <si>
    <t>elc_spv_FRA_025</t>
  </si>
  <si>
    <t>UCE_elcagg_spv_FRA_026</t>
  </si>
  <si>
    <t>elc_spv_FRA_026</t>
  </si>
  <si>
    <t>UCE_elcagg_spv_FRA_027</t>
  </si>
  <si>
    <t>elc_spv_FRA_027</t>
  </si>
  <si>
    <t>UCE_elcagg_spv_FRA_028</t>
  </si>
  <si>
    <t>elc_spv_FRA_028</t>
  </si>
  <si>
    <t>UCE_elcagg_spv_FRA_029</t>
  </si>
  <si>
    <t>elc_spv_FRA_029</t>
  </si>
  <si>
    <t>UCE_elcagg_spv_FRA_030</t>
  </si>
  <si>
    <t>elc_spv_FRA_030</t>
  </si>
  <si>
    <t>UCE_elcagg_wof_FRA_001</t>
  </si>
  <si>
    <t>elc_wof_FRA_001</t>
  </si>
  <si>
    <t>UCE_elcagg_wof_FRA_002</t>
  </si>
  <si>
    <t>elc_wof_FRA_002</t>
  </si>
  <si>
    <t>UCE_elcagg_wof_FRA_003</t>
  </si>
  <si>
    <t>elc_wof_FRA_003</t>
  </si>
  <si>
    <t>UCE_elcagg_wof_FRA_004</t>
  </si>
  <si>
    <t>elc_wof_FRA_004</t>
  </si>
  <si>
    <t>UCE_elcagg_wof_FRA_005</t>
  </si>
  <si>
    <t>elc_wof_FRA_005</t>
  </si>
  <si>
    <t>UCE_elcagg_wof_FRA_006</t>
  </si>
  <si>
    <t>elc_wof_FRA_006</t>
  </si>
  <si>
    <t>UCE_elcagg_wof_FRA_007</t>
  </si>
  <si>
    <t>elc_wof_FRA_007</t>
  </si>
  <si>
    <t>UCE_elcagg_wof_FRA_008</t>
  </si>
  <si>
    <t>elc_wof_FRA_008</t>
  </si>
  <si>
    <t>UCE_elcagg_wof_FRA_009</t>
  </si>
  <si>
    <t>elc_wof_FRA_009</t>
  </si>
  <si>
    <t>UCE_elcagg_wof_FRA_010</t>
  </si>
  <si>
    <t>elc_wof_FRA_010</t>
  </si>
  <si>
    <t>UCE_elcagg_wof_FRA_011</t>
  </si>
  <si>
    <t>elc_wof_FRA_011</t>
  </si>
  <si>
    <t>UCE_elcagg_wof_FRA_012</t>
  </si>
  <si>
    <t>elc_wof_FRA_012</t>
  </si>
  <si>
    <t>UCE_elcagg_wof_FRA_013</t>
  </si>
  <si>
    <t>elc_wof_FRA_013</t>
  </si>
  <si>
    <t>UCE_elcagg_wof_FRA_014</t>
  </si>
  <si>
    <t>elc_wof_FRA_014</t>
  </si>
  <si>
    <t>UCE_elcagg_wof_FRA_015</t>
  </si>
  <si>
    <t>elc_wof_FRA_015</t>
  </si>
  <si>
    <t>UCE_elcagg_wof_FRA_016</t>
  </si>
  <si>
    <t>elc_wof_FRA_016</t>
  </si>
  <si>
    <t>UCE_elcagg_wof_FRA_017</t>
  </si>
  <si>
    <t>elc_wof_FRA_017</t>
  </si>
  <si>
    <t>UCE_elcagg_won_FRA_001</t>
  </si>
  <si>
    <t>elc_won_FRA_001</t>
  </si>
  <si>
    <t>UCE_elcagg_won_FRA_002</t>
  </si>
  <si>
    <t>elc_won_FRA_002</t>
  </si>
  <si>
    <t>UCE_elcagg_won_FRA_003</t>
  </si>
  <si>
    <t>elc_won_FRA_003</t>
  </si>
  <si>
    <t>UCE_elcagg_won_FRA_004</t>
  </si>
  <si>
    <t>elc_won_FRA_004</t>
  </si>
  <si>
    <t>UCE_elcagg_won_FRA_005</t>
  </si>
  <si>
    <t>elc_won_FRA_005</t>
  </si>
  <si>
    <t>UCE_elcagg_won_FRA_006</t>
  </si>
  <si>
    <t>elc_won_FRA_006</t>
  </si>
  <si>
    <t>UCE_elcagg_won_FRA_007</t>
  </si>
  <si>
    <t>elc_won_FRA_007</t>
  </si>
  <si>
    <t>UCE_elcagg_won_FRA_008</t>
  </si>
  <si>
    <t>elc_won_FRA_008</t>
  </si>
  <si>
    <t>UCE_elcagg_won_FRA_009</t>
  </si>
  <si>
    <t>elc_won_FRA_009</t>
  </si>
  <si>
    <t>UCE_elcagg_won_FRA_010</t>
  </si>
  <si>
    <t>elc_won_FRA_010</t>
  </si>
  <si>
    <t>UCE_elcagg_won_FRA_011</t>
  </si>
  <si>
    <t>elc_won_FRA_011</t>
  </si>
  <si>
    <t>UCE_elcagg_won_FRA_012</t>
  </si>
  <si>
    <t>elc_won_FRA_012</t>
  </si>
  <si>
    <t>UCE_elcagg_won_FRA_013</t>
  </si>
  <si>
    <t>elc_won_FRA_013</t>
  </si>
  <si>
    <t>UCE_elcagg_won_FRA_014</t>
  </si>
  <si>
    <t>elc_won_FRA_014</t>
  </si>
  <si>
    <t>UCE_elcagg_won_FRA_015</t>
  </si>
  <si>
    <t>elc_won_FRA_015</t>
  </si>
  <si>
    <t>UCE_elcagg_won_FRA_016</t>
  </si>
  <si>
    <t>elc_won_FRA_016</t>
  </si>
  <si>
    <t>UCE_elcagg_won_FRA_017</t>
  </si>
  <si>
    <t>elc_won_FRA_017</t>
  </si>
  <si>
    <t>UCE_elcagg_won_FRA_018</t>
  </si>
  <si>
    <t>elc_won_FRA_018</t>
  </si>
  <si>
    <t>UCE_elcagg_won_FRA_019</t>
  </si>
  <si>
    <t>elc_won_FRA_019</t>
  </si>
  <si>
    <t>UCE_elcagg_won_FRA_020</t>
  </si>
  <si>
    <t>elc_won_FRA_020</t>
  </si>
  <si>
    <t>UCE_elcagg_won_FRA_021</t>
  </si>
  <si>
    <t>elc_won_FRA_021</t>
  </si>
  <si>
    <t>UCE_elcagg_won_FRA_022</t>
  </si>
  <si>
    <t>elc_won_FRA_022</t>
  </si>
  <si>
    <t>UCE_elcagg_won_FRA_023</t>
  </si>
  <si>
    <t>elc_won_FRA_023</t>
  </si>
  <si>
    <t>UCE_elcagg_won_FRA_024</t>
  </si>
  <si>
    <t>elc_won_FRA_024</t>
  </si>
  <si>
    <t>UCE_elcagg_won_FRA_025</t>
  </si>
  <si>
    <t>elc_won_FRA_025</t>
  </si>
  <si>
    <t>UCE_elcagg_won_FRA_026</t>
  </si>
  <si>
    <t>elc_won_FRA_026</t>
  </si>
  <si>
    <t>UCE_elcagg_won_FRA_027</t>
  </si>
  <si>
    <t>elc_won_FRA_027</t>
  </si>
  <si>
    <t>UCE_elcagg_won_FRA_028</t>
  </si>
  <si>
    <t>elc_won_FRA_028</t>
  </si>
  <si>
    <t>g_Aberdeen_GBR-Newcastle_GBR</t>
  </si>
  <si>
    <t>e_demand_Peterborough_GBR</t>
  </si>
  <si>
    <t>GBR</t>
  </si>
  <si>
    <t>e_Peterborough_GBR</t>
  </si>
  <si>
    <t>en_gas_ccgt_Peterborough_GBR</t>
  </si>
  <si>
    <t>g_Aberdeen_GBR-Paisley_GBR</t>
  </si>
  <si>
    <t>e_demand_Basildon_GBR</t>
  </si>
  <si>
    <t>e_Basildon_GBR</t>
  </si>
  <si>
    <t>en_gas_turbine_Peterborough_GBR</t>
  </si>
  <si>
    <t>g_Ashford_GBR-Portsmouth_GBR</t>
  </si>
  <si>
    <t>e_demand_Aberdeen_GBR</t>
  </si>
  <si>
    <t>e_Aberdeen_GBR</t>
  </si>
  <si>
    <t>en_gas_ccs_Peterborough_GBR</t>
  </si>
  <si>
    <t>g_Basildon_GBR-Ashford_GBR</t>
  </si>
  <si>
    <t>e_demand_Wick_GBR</t>
  </si>
  <si>
    <t>e_Wick_GBR</t>
  </si>
  <si>
    <t>en_coal_subcritical_Peterborough_GBR</t>
  </si>
  <si>
    <t>g_Basildon_GBR-Ipswich_GBR</t>
  </si>
  <si>
    <t>e_demand_Belfast_GBR</t>
  </si>
  <si>
    <t>e_Belfast_GBR</t>
  </si>
  <si>
    <t>en_coal_supercritical_Peterborough_GBR</t>
  </si>
  <si>
    <t>g_Belfast_GBR-Stranraer_GBR</t>
  </si>
  <si>
    <t>e_demand_Stranraer_GBR</t>
  </si>
  <si>
    <t>e_Stranraer_GBR</t>
  </si>
  <si>
    <t>en_coal_ultrasupercritical_Peterborough_GBR</t>
  </si>
  <si>
    <t>g_Elgin_GBR-Aberdeen_GBR</t>
  </si>
  <si>
    <t>e_demand_Lisburn_GBR</t>
  </si>
  <si>
    <t>e_Lisburn_GBR</t>
  </si>
  <si>
    <t>en_coal_igcc_Peterborough_GBR</t>
  </si>
  <si>
    <t>g_Elgin_GBR-Paisley_GBR</t>
  </si>
  <si>
    <t>e_demand_Ipswich_GBR</t>
  </si>
  <si>
    <t>e_Ipswich_GBR</t>
  </si>
  <si>
    <t>en_nuclear_Peterborough_GBR</t>
  </si>
  <si>
    <t>g_Lisburn_GBR-Belfast_GBR</t>
  </si>
  <si>
    <t>e_demand_Paisley_GBR</t>
  </si>
  <si>
    <t>e_Paisley_GBR</t>
  </si>
  <si>
    <t>en_nuclear_smr_Peterborough_GBR</t>
  </si>
  <si>
    <t>g_Liverpool_GBR-Peterborough_GBR</t>
  </si>
  <si>
    <t>e_demand_Liverpool_GBR</t>
  </si>
  <si>
    <t>e_Liverpool_GBR</t>
  </si>
  <si>
    <t>en_biomass_Peterborough_GBR</t>
  </si>
  <si>
    <t>g_Liverpool_GBR-Portsmouth_GBR</t>
  </si>
  <si>
    <t>e_demand_Elgin_GBR</t>
  </si>
  <si>
    <t>e_Elgin_GBR</t>
  </si>
  <si>
    <t>en_chp_gas_cc_ext_Peterborough_GBR</t>
  </si>
  <si>
    <t>g_Newcastle_GBR-Liverpool_GBR</t>
  </si>
  <si>
    <t>e_demand_Portsmouth_GBR</t>
  </si>
  <si>
    <t>e_Portsmouth_GBR</t>
  </si>
  <si>
    <t>h_Peterborough_GBR</t>
  </si>
  <si>
    <t>g_Paisley_GBR-Liverpool_GBR</t>
  </si>
  <si>
    <t>e_demand_Newcastle_GBR</t>
  </si>
  <si>
    <t>e_Newcastle_GBR</t>
  </si>
  <si>
    <t>en_chp_biomass_chips_ext_Peterborough_GBR</t>
  </si>
  <si>
    <t>g_Paisley_GBR-Newcastle_GBR</t>
  </si>
  <si>
    <t>e_demand_Ashford_GBR</t>
  </si>
  <si>
    <t>e_Ashford_GBR</t>
  </si>
  <si>
    <t>g_Paisley_GBR-Wick_GBR</t>
  </si>
  <si>
    <t>e_demand_Lerwick_GBR</t>
  </si>
  <si>
    <t>e_Lerwick_GBR</t>
  </si>
  <si>
    <t>en_chp_gas_cc_ext_ccs_Peterborough_GBR</t>
  </si>
  <si>
    <t>g_Peterborough_GBR-Basildon_GBR</t>
  </si>
  <si>
    <t>ev_battery_Peterborough_GBR</t>
  </si>
  <si>
    <t>g_Peterborough_GBR-Ipswich_GBR</t>
  </si>
  <si>
    <t>ev_battery_Basildon_GBR</t>
  </si>
  <si>
    <t>en_hop_gas_boiler_Peterborough_GBR</t>
  </si>
  <si>
    <t>g_Peterborough_GBR-Newcastle_GBR</t>
  </si>
  <si>
    <t>ev_battery_Aberdeen_GBR</t>
  </si>
  <si>
    <t>en_hop_biomass_chips_Peterborough_GBR</t>
  </si>
  <si>
    <t>g_Peterborough_GBR-Portsmouth_GBR</t>
  </si>
  <si>
    <t>ev_battery_Wick_GBR</t>
  </si>
  <si>
    <t>en_hop_electric_boiler_Peterborough_GBR</t>
  </si>
  <si>
    <t>g_Portsmouth_GBR-Basildon_GBR</t>
  </si>
  <si>
    <t>ev_battery_Belfast_GBR</t>
  </si>
  <si>
    <t>g_Portsmouth_GBR-Liverpool_GBR</t>
  </si>
  <si>
    <t>ev_battery_Stranraer_GBR</t>
  </si>
  <si>
    <t>en_hp_air_10mw_Peterborough_GBR</t>
  </si>
  <si>
    <t>g_Stranraer_GBR-Paisley_GBR</t>
  </si>
  <si>
    <t>ev_battery_Lisburn_GBR</t>
  </si>
  <si>
    <t>g_Wick_GBR-Elgin_GBR</t>
  </si>
  <si>
    <t>ev_battery_Ipswich_GBR</t>
  </si>
  <si>
    <t>en_gas_ccgt_Basildon_GBR</t>
  </si>
  <si>
    <t>g_Wick_GBR-Lerwick_GBR</t>
  </si>
  <si>
    <t>ev_battery_Paisley_GBR</t>
  </si>
  <si>
    <t>en_gas_turbine_Basildon_GBR</t>
  </si>
  <si>
    <t>ev_battery_Liverpool_GBR</t>
  </si>
  <si>
    <t>en_gas_ccs_Basildon_GBR</t>
  </si>
  <si>
    <t>ev_battery_Elgin_GBR</t>
  </si>
  <si>
    <t>en_coal_subcritical_Basildon_GBR</t>
  </si>
  <si>
    <t>ev_battery_Portsmouth_GBR</t>
  </si>
  <si>
    <t>en_coal_supercritical_Basildon_GBR</t>
  </si>
  <si>
    <t>ev_battery_Newcastle_GBR</t>
  </si>
  <si>
    <t>en_coal_ultrasupercritical_Basildon_GBR</t>
  </si>
  <si>
    <t>ev_battery_Ashford_GBR</t>
  </si>
  <si>
    <t>en_coal_igcc_Basildon_GBR</t>
  </si>
  <si>
    <t>ev_battery_Lerwick_GBR</t>
  </si>
  <si>
    <t>en_nuclear_Basildon_GBR</t>
  </si>
  <si>
    <t>H2prd_Elc_PEM_Peterborough_GBR</t>
  </si>
  <si>
    <t>en_nuclear_smr_Basildon_GBR</t>
  </si>
  <si>
    <t>H2prd_Elc_PEM_Basildon_GBR</t>
  </si>
  <si>
    <t>en_biomass_Basildon_GBR</t>
  </si>
  <si>
    <t>H2prd_Elc_PEM_Aberdeen_GBR</t>
  </si>
  <si>
    <t>en_chp_gas_cc_ext_Basildon_GBR</t>
  </si>
  <si>
    <t>H2prd_Elc_PEM_Wick_GBR</t>
  </si>
  <si>
    <t>h_Basildon_GBR</t>
  </si>
  <si>
    <t>H2prd_Elc_PEM_Belfast_GBR</t>
  </si>
  <si>
    <t>en_chp_biomass_chips_ext_Basildon_GBR</t>
  </si>
  <si>
    <t>H2prd_Elc_PEM_Stranraer_GBR</t>
  </si>
  <si>
    <t>H2prd_Elc_PEM_Lisburn_GBR</t>
  </si>
  <si>
    <t>en_chp_gas_cc_ext_ccs_Basildon_GBR</t>
  </si>
  <si>
    <t>H2prd_Elc_PEM_Ipswich_GBR</t>
  </si>
  <si>
    <t>H2prd_Elc_PEM_Paisley_GBR</t>
  </si>
  <si>
    <t>en_hop_gas_boiler_Basildon_GBR</t>
  </si>
  <si>
    <t>H2prd_Elc_PEM_Liverpool_GBR</t>
  </si>
  <si>
    <t>en_hop_biomass_chips_Basildon_GBR</t>
  </si>
  <si>
    <t>H2prd_Elc_PEM_Elgin_GBR</t>
  </si>
  <si>
    <t>en_hop_electric_boiler_Basildon_GBR</t>
  </si>
  <si>
    <t>H2prd_Elc_PEM_Portsmouth_GBR</t>
  </si>
  <si>
    <t>H2prd_Elc_PEM_Newcastle_GBR</t>
  </si>
  <si>
    <t>en_hp_air_10mw_Basildon_GBR</t>
  </si>
  <si>
    <t>H2prd_Elc_PEM_Ashford_GBR</t>
  </si>
  <si>
    <t>H2prd_Elc_PEM_Lerwick_GBR</t>
  </si>
  <si>
    <t>en_gas_ccgt_Aberdeen_GBR</t>
  </si>
  <si>
    <t>H2prd_Elc_ALK_Peterborough_GBR</t>
  </si>
  <si>
    <t>en_gas_turbine_Aberdeen_GBR</t>
  </si>
  <si>
    <t>H2prd_Elc_ALK_Basildon_GBR</t>
  </si>
  <si>
    <t>en_gas_ccs_Aberdeen_GBR</t>
  </si>
  <si>
    <t>H2prd_Elc_ALK_Aberdeen_GBR</t>
  </si>
  <si>
    <t>en_coal_subcritical_Aberdeen_GBR</t>
  </si>
  <si>
    <t>H2prd_Elc_ALK_Wick_GBR</t>
  </si>
  <si>
    <t>en_coal_supercritical_Aberdeen_GBR</t>
  </si>
  <si>
    <t>H2prd_Elc_ALK_Belfast_GBR</t>
  </si>
  <si>
    <t>en_coal_ultrasupercritical_Aberdeen_GBR</t>
  </si>
  <si>
    <t>H2prd_Elc_ALK_Stranraer_GBR</t>
  </si>
  <si>
    <t>en_coal_igcc_Aberdeen_GBR</t>
  </si>
  <si>
    <t>H2prd_Elc_ALK_Lisburn_GBR</t>
  </si>
  <si>
    <t>en_nuclear_Aberdeen_GBR</t>
  </si>
  <si>
    <t>H2prd_Elc_ALK_Ipswich_GBR</t>
  </si>
  <si>
    <t>en_nuclear_smr_Aberdeen_GBR</t>
  </si>
  <si>
    <t>H2prd_Elc_ALK_Paisley_GBR</t>
  </si>
  <si>
    <t>en_biomass_Aberdeen_GBR</t>
  </si>
  <si>
    <t>H2prd_Elc_ALK_Liverpool_GBR</t>
  </si>
  <si>
    <t>en_chp_gas_cc_ext_Aberdeen_GBR</t>
  </si>
  <si>
    <t>H2prd_Elc_ALK_Elgin_GBR</t>
  </si>
  <si>
    <t>h_Aberdeen_GBR</t>
  </si>
  <si>
    <t>H2prd_Elc_ALK_Portsmouth_GBR</t>
  </si>
  <si>
    <t>en_chp_biomass_chips_ext_Aberdeen_GBR</t>
  </si>
  <si>
    <t>H2prd_Elc_ALK_Newcastle_GBR</t>
  </si>
  <si>
    <t>H2prd_Elc_ALK_Ashford_GBR</t>
  </si>
  <si>
    <t>en_chp_gas_cc_ext_ccs_Aberdeen_GBR</t>
  </si>
  <si>
    <t>H2prd_Elc_ALK_Lerwick_GBR</t>
  </si>
  <si>
    <t>h_demand_Peterborough_GBR</t>
  </si>
  <si>
    <t>en_hop_gas_boiler_Aberdeen_GBR</t>
  </si>
  <si>
    <t>h_demand_Newcastle_GBR</t>
  </si>
  <si>
    <t>h_Newcastle_GBR</t>
  </si>
  <si>
    <t>en_hop_biomass_chips_Aberdeen_GBR</t>
  </si>
  <si>
    <t>h_demand_Ipswich_GBR</t>
  </si>
  <si>
    <t>h_Ipswich_GBR</t>
  </si>
  <si>
    <t>en_hop_electric_boiler_Aberdeen_GBR</t>
  </si>
  <si>
    <t>h_demand_Liverpool_GBR</t>
  </si>
  <si>
    <t>h_Liverpool_GBR</t>
  </si>
  <si>
    <t>h_demand_Aberdeen_GBR</t>
  </si>
  <si>
    <t>en_hp_air_10mw_Aberdeen_GBR</t>
  </si>
  <si>
    <t>h_demand_Basildon_GBR</t>
  </si>
  <si>
    <t>h_demand_Portsmouth_GBR</t>
  </si>
  <si>
    <t>h_Portsmouth_GBR</t>
  </si>
  <si>
    <t>en_gas_ccgt_Wick_GBR</t>
  </si>
  <si>
    <t>h_demand_Ashford_GBR</t>
  </si>
  <si>
    <t>h_Ashford_GBR</t>
  </si>
  <si>
    <t>en_gas_turbine_Wick_GBR</t>
  </si>
  <si>
    <t>h_demand_Paisley_GBR</t>
  </si>
  <si>
    <t>h_Paisley_GBR</t>
  </si>
  <si>
    <t>en_gas_ccs_Wick_GBR</t>
  </si>
  <si>
    <t>h_demand_Belfast_GBR</t>
  </si>
  <si>
    <t>h_Belfast_GBR</t>
  </si>
  <si>
    <t>en_coal_subcritical_Wick_GBR</t>
  </si>
  <si>
    <t>h_demand_Lisburn_GBR</t>
  </si>
  <si>
    <t>h_Lisburn_GBR</t>
  </si>
  <si>
    <t>en_coal_supercritical_Wick_GBR</t>
  </si>
  <si>
    <t>h_demand_Lerwick_GBR</t>
  </si>
  <si>
    <t>h_Lerwick_GBR</t>
  </si>
  <si>
    <t>en_coal_ultrasupercritical_Wick_GBR</t>
  </si>
  <si>
    <t>en_coal_igcc_Wick_GBR</t>
  </si>
  <si>
    <t>en_nuclear_Wick_GBR</t>
  </si>
  <si>
    <t>en_nuclear_smr_Wick_GBR</t>
  </si>
  <si>
    <t>en_biomass_Wick_GBR</t>
  </si>
  <si>
    <t>en_chp_gas_cc_ext_Wick_GBR</t>
  </si>
  <si>
    <t>h_Wick_GBR</t>
  </si>
  <si>
    <t>en_chp_biomass_chips_ext_Wick_GBR</t>
  </si>
  <si>
    <t>en_chp_gas_cc_ext_ccs_Wick_GBR</t>
  </si>
  <si>
    <t>en_hop_gas_boiler_Wick_GBR</t>
  </si>
  <si>
    <t>en_hop_biomass_chips_Wick_GBR</t>
  </si>
  <si>
    <t>en_hop_electric_boiler_Wick_GBR</t>
  </si>
  <si>
    <t>en_hp_air_10mw_Wick_GBR</t>
  </si>
  <si>
    <t>en_gas_ccgt_Belfast_GBR</t>
  </si>
  <si>
    <t>en_gas_turbine_Belfast_GBR</t>
  </si>
  <si>
    <t>en_gas_ccs_Belfast_GBR</t>
  </si>
  <si>
    <t>en_coal_subcritical_Belfast_GBR</t>
  </si>
  <si>
    <t>en_coal_supercritical_Belfast_GBR</t>
  </si>
  <si>
    <t>en_coal_ultrasupercritical_Belfast_GBR</t>
  </si>
  <si>
    <t>en_coal_igcc_Belfast_GBR</t>
  </si>
  <si>
    <t>en_nuclear_Belfast_GBR</t>
  </si>
  <si>
    <t>en_nuclear_smr_Belfast_GBR</t>
  </si>
  <si>
    <t>en_biomass_Belfast_GBR</t>
  </si>
  <si>
    <t>en_chp_gas_cc_ext_Belfast_GBR</t>
  </si>
  <si>
    <t>en_chp_biomass_chips_ext_Belfast_GBR</t>
  </si>
  <si>
    <t>en_chp_gas_cc_ext_ccs_Belfast_GBR</t>
  </si>
  <si>
    <t>en_hop_gas_boiler_Belfast_GBR</t>
  </si>
  <si>
    <t>en_hop_biomass_chips_Belfast_GBR</t>
  </si>
  <si>
    <t>en_hop_electric_boiler_Belfast_GBR</t>
  </si>
  <si>
    <t>en_hp_air_10mw_Belfast_GBR</t>
  </si>
  <si>
    <t>en_gas_ccgt_Stranraer_GBR</t>
  </si>
  <si>
    <t>en_gas_turbine_Stranraer_GBR</t>
  </si>
  <si>
    <t>en_gas_ccs_Stranraer_GBR</t>
  </si>
  <si>
    <t>en_coal_subcritical_Stranraer_GBR</t>
  </si>
  <si>
    <t>en_coal_supercritical_Stranraer_GBR</t>
  </si>
  <si>
    <t>en_coal_ultrasupercritical_Stranraer_GBR</t>
  </si>
  <si>
    <t>en_coal_igcc_Stranraer_GBR</t>
  </si>
  <si>
    <t>en_nuclear_Stranraer_GBR</t>
  </si>
  <si>
    <t>en_nuclear_smr_Stranraer_GBR</t>
  </si>
  <si>
    <t>en_biomass_Stranraer_GBR</t>
  </si>
  <si>
    <t>en_chp_gas_cc_ext_Stranraer_GBR</t>
  </si>
  <si>
    <t>h_Stranraer_GBR</t>
  </si>
  <si>
    <t>en_chp_biomass_chips_ext_Stranraer_GBR</t>
  </si>
  <si>
    <t>en_chp_gas_cc_ext_ccs_Stranraer_GBR</t>
  </si>
  <si>
    <t>en_hop_gas_boiler_Stranraer_GBR</t>
  </si>
  <si>
    <t>en_hop_biomass_chips_Stranraer_GBR</t>
  </si>
  <si>
    <t>en_hop_electric_boiler_Stranraer_GBR</t>
  </si>
  <si>
    <t>en_hp_air_10mw_Stranraer_GBR</t>
  </si>
  <si>
    <t>en_gas_ccgt_Lisburn_GBR</t>
  </si>
  <si>
    <t>en_gas_turbine_Lisburn_GBR</t>
  </si>
  <si>
    <t>en_gas_ccs_Lisburn_GBR</t>
  </si>
  <si>
    <t>en_coal_subcritical_Lisburn_GBR</t>
  </si>
  <si>
    <t>en_coal_supercritical_Lisburn_GBR</t>
  </si>
  <si>
    <t>en_coal_ultrasupercritical_Lisburn_GBR</t>
  </si>
  <si>
    <t>en_coal_igcc_Lisburn_GBR</t>
  </si>
  <si>
    <t>en_nuclear_Lisburn_GBR</t>
  </si>
  <si>
    <t>en_nuclear_smr_Lisburn_GBR</t>
  </si>
  <si>
    <t>en_biomass_Lisburn_GBR</t>
  </si>
  <si>
    <t>en_chp_gas_cc_ext_Lisburn_GBR</t>
  </si>
  <si>
    <t>en_chp_biomass_chips_ext_Lisburn_GBR</t>
  </si>
  <si>
    <t>en_chp_gas_cc_ext_ccs_Lisburn_GBR</t>
  </si>
  <si>
    <t>en_hop_gas_boiler_Lisburn_GBR</t>
  </si>
  <si>
    <t>en_hop_biomass_chips_Lisburn_GBR</t>
  </si>
  <si>
    <t>en_hop_electric_boiler_Lisburn_GBR</t>
  </si>
  <si>
    <t>en_hp_air_10mw_Lisburn_GBR</t>
  </si>
  <si>
    <t>en_gas_ccgt_Ipswich_GBR</t>
  </si>
  <si>
    <t>en_gas_turbine_Ipswich_GBR</t>
  </si>
  <si>
    <t>en_gas_ccs_Ipswich_GBR</t>
  </si>
  <si>
    <t>en_coal_subcritical_Ipswich_GBR</t>
  </si>
  <si>
    <t>en_coal_supercritical_Ipswich_GBR</t>
  </si>
  <si>
    <t>en_coal_ultrasupercritical_Ipswich_GBR</t>
  </si>
  <si>
    <t>en_coal_igcc_Ipswich_GBR</t>
  </si>
  <si>
    <t>en_nuclear_Ipswich_GBR</t>
  </si>
  <si>
    <t>en_nuclear_smr_Ipswich_GBR</t>
  </si>
  <si>
    <t>en_biomass_Ipswich_GBR</t>
  </si>
  <si>
    <t>en_chp_gas_cc_ext_Ipswich_GBR</t>
  </si>
  <si>
    <t>en_chp_biomass_chips_ext_Ipswich_GBR</t>
  </si>
  <si>
    <t>en_chp_gas_cc_ext_ccs_Ipswich_GBR</t>
  </si>
  <si>
    <t>en_hop_gas_boiler_Ipswich_GBR</t>
  </si>
  <si>
    <t>en_hop_biomass_chips_Ipswich_GBR</t>
  </si>
  <si>
    <t>en_hop_electric_boiler_Ipswich_GBR</t>
  </si>
  <si>
    <t>en_hp_air_10mw_Ipswich_GBR</t>
  </si>
  <si>
    <t>en_gas_ccgt_Paisley_GBR</t>
  </si>
  <si>
    <t>en_gas_turbine_Paisley_GBR</t>
  </si>
  <si>
    <t>en_gas_ccs_Paisley_GBR</t>
  </si>
  <si>
    <t>en_coal_subcritical_Paisley_GBR</t>
  </si>
  <si>
    <t>en_coal_supercritical_Paisley_GBR</t>
  </si>
  <si>
    <t>en_coal_ultrasupercritical_Paisley_GBR</t>
  </si>
  <si>
    <t>en_coal_igcc_Paisley_GBR</t>
  </si>
  <si>
    <t>en_nuclear_Paisley_GBR</t>
  </si>
  <si>
    <t>en_nuclear_smr_Paisley_GBR</t>
  </si>
  <si>
    <t>en_biomass_Paisley_GBR</t>
  </si>
  <si>
    <t>en_chp_gas_cc_ext_Paisley_GBR</t>
  </si>
  <si>
    <t>en_chp_biomass_chips_ext_Paisley_GBR</t>
  </si>
  <si>
    <t>en_chp_gas_cc_ext_ccs_Paisley_GBR</t>
  </si>
  <si>
    <t>en_hop_gas_boiler_Paisley_GBR</t>
  </si>
  <si>
    <t>en_hop_biomass_chips_Paisley_GBR</t>
  </si>
  <si>
    <t>en_hop_electric_boiler_Paisley_GBR</t>
  </si>
  <si>
    <t>en_hp_air_10mw_Paisley_GBR</t>
  </si>
  <si>
    <t>en_gas_ccgt_Liverpool_GBR</t>
  </si>
  <si>
    <t>en_gas_turbine_Liverpool_GBR</t>
  </si>
  <si>
    <t>en_gas_ccs_Liverpool_GBR</t>
  </si>
  <si>
    <t>en_coal_subcritical_Liverpool_GBR</t>
  </si>
  <si>
    <t>en_coal_supercritical_Liverpool_GBR</t>
  </si>
  <si>
    <t>en_coal_ultrasupercritical_Liverpool_GBR</t>
  </si>
  <si>
    <t>en_coal_igcc_Liverpool_GBR</t>
  </si>
  <si>
    <t>en_nuclear_Liverpool_GBR</t>
  </si>
  <si>
    <t>en_nuclear_smr_Liverpool_GBR</t>
  </si>
  <si>
    <t>en_biomass_Liverpool_GBR</t>
  </si>
  <si>
    <t>en_chp_gas_cc_ext_Liverpool_GBR</t>
  </si>
  <si>
    <t>en_chp_biomass_chips_ext_Liverpool_GBR</t>
  </si>
  <si>
    <t>en_chp_gas_cc_ext_ccs_Liverpool_GBR</t>
  </si>
  <si>
    <t>en_hop_gas_boiler_Liverpool_GBR</t>
  </si>
  <si>
    <t>en_hop_biomass_chips_Liverpool_GBR</t>
  </si>
  <si>
    <t>en_hop_electric_boiler_Liverpool_GBR</t>
  </si>
  <si>
    <t>en_hp_air_10mw_Liverpool_GBR</t>
  </si>
  <si>
    <t>en_gas_ccgt_Elgin_GBR</t>
  </si>
  <si>
    <t>en_gas_turbine_Elgin_GBR</t>
  </si>
  <si>
    <t>en_gas_ccs_Elgin_GBR</t>
  </si>
  <si>
    <t>en_coal_subcritical_Elgin_GBR</t>
  </si>
  <si>
    <t>en_coal_supercritical_Elgin_GBR</t>
  </si>
  <si>
    <t>en_coal_ultrasupercritical_Elgin_GBR</t>
  </si>
  <si>
    <t>en_coal_igcc_Elgin_GBR</t>
  </si>
  <si>
    <t>en_nuclear_Elgin_GBR</t>
  </si>
  <si>
    <t>en_nuclear_smr_Elgin_GBR</t>
  </si>
  <si>
    <t>en_biomass_Elgin_GBR</t>
  </si>
  <si>
    <t>en_chp_gas_cc_ext_Elgin_GBR</t>
  </si>
  <si>
    <t>h_Elgin_GBR</t>
  </si>
  <si>
    <t>en_chp_biomass_chips_ext_Elgin_GBR</t>
  </si>
  <si>
    <t>en_chp_gas_cc_ext_ccs_Elgin_GBR</t>
  </si>
  <si>
    <t>en_hop_gas_boiler_Elgin_GBR</t>
  </si>
  <si>
    <t>en_hop_biomass_chips_Elgin_GBR</t>
  </si>
  <si>
    <t>en_hop_electric_boiler_Elgin_GBR</t>
  </si>
  <si>
    <t>en_hp_air_10mw_Elgin_GBR</t>
  </si>
  <si>
    <t>en_gas_ccgt_Portsmouth_GBR</t>
  </si>
  <si>
    <t>en_gas_turbine_Portsmouth_GBR</t>
  </si>
  <si>
    <t>en_gas_ccs_Portsmouth_GBR</t>
  </si>
  <si>
    <t>en_coal_subcritical_Portsmouth_GBR</t>
  </si>
  <si>
    <t>en_coal_supercritical_Portsmouth_GBR</t>
  </si>
  <si>
    <t>en_coal_ultrasupercritical_Portsmouth_GBR</t>
  </si>
  <si>
    <t>en_coal_igcc_Portsmouth_GBR</t>
  </si>
  <si>
    <t>en_nuclear_Portsmouth_GBR</t>
  </si>
  <si>
    <t>en_nuclear_smr_Portsmouth_GBR</t>
  </si>
  <si>
    <t>en_biomass_Portsmouth_GBR</t>
  </si>
  <si>
    <t>en_chp_gas_cc_ext_Portsmouth_GBR</t>
  </si>
  <si>
    <t>en_chp_biomass_chips_ext_Portsmouth_GBR</t>
  </si>
  <si>
    <t>en_chp_gas_cc_ext_ccs_Portsmouth_GBR</t>
  </si>
  <si>
    <t>en_hop_gas_boiler_Portsmouth_GBR</t>
  </si>
  <si>
    <t>en_hop_biomass_chips_Portsmouth_GBR</t>
  </si>
  <si>
    <t>en_hop_electric_boiler_Portsmouth_GBR</t>
  </si>
  <si>
    <t>en_hp_air_10mw_Portsmouth_GBR</t>
  </si>
  <si>
    <t>en_gas_ccgt_Newcastle_GBR</t>
  </si>
  <si>
    <t>en_gas_turbine_Newcastle_GBR</t>
  </si>
  <si>
    <t>en_gas_ccs_Newcastle_GBR</t>
  </si>
  <si>
    <t>en_coal_subcritical_Newcastle_GBR</t>
  </si>
  <si>
    <t>en_coal_supercritical_Newcastle_GBR</t>
  </si>
  <si>
    <t>en_coal_ultrasupercritical_Newcastle_GBR</t>
  </si>
  <si>
    <t>en_coal_igcc_Newcastle_GBR</t>
  </si>
  <si>
    <t>en_nuclear_Newcastle_GBR</t>
  </si>
  <si>
    <t>en_nuclear_smr_Newcastle_GBR</t>
  </si>
  <si>
    <t>en_biomass_Newcastle_GBR</t>
  </si>
  <si>
    <t>en_chp_gas_cc_ext_Newcastle_GBR</t>
  </si>
  <si>
    <t>en_chp_biomass_chips_ext_Newcastle_GBR</t>
  </si>
  <si>
    <t>en_chp_gas_cc_ext_ccs_Newcastle_GBR</t>
  </si>
  <si>
    <t>en_hop_gas_boiler_Newcastle_GBR</t>
  </si>
  <si>
    <t>en_hop_biomass_chips_Newcastle_GBR</t>
  </si>
  <si>
    <t>en_hop_electric_boiler_Newcastle_GBR</t>
  </si>
  <si>
    <t>en_hp_air_10mw_Newcastle_GBR</t>
  </si>
  <si>
    <t>en_gas_ccgt_Ashford_GBR</t>
  </si>
  <si>
    <t>en_gas_turbine_Ashford_GBR</t>
  </si>
  <si>
    <t>en_gas_ccs_Ashford_GBR</t>
  </si>
  <si>
    <t>en_coal_subcritical_Ashford_GBR</t>
  </si>
  <si>
    <t>en_coal_supercritical_Ashford_GBR</t>
  </si>
  <si>
    <t>en_coal_ultrasupercritical_Ashford_GBR</t>
  </si>
  <si>
    <t>en_coal_igcc_Ashford_GBR</t>
  </si>
  <si>
    <t>en_nuclear_Ashford_GBR</t>
  </si>
  <si>
    <t>en_nuclear_smr_Ashford_GBR</t>
  </si>
  <si>
    <t>en_biomass_Ashford_GBR</t>
  </si>
  <si>
    <t>en_chp_gas_cc_ext_Ashford_GBR</t>
  </si>
  <si>
    <t>en_chp_biomass_chips_ext_Ashford_GBR</t>
  </si>
  <si>
    <t>en_chp_gas_cc_ext_ccs_Ashford_GBR</t>
  </si>
  <si>
    <t>en_hop_gas_boiler_Ashford_GBR</t>
  </si>
  <si>
    <t>en_hop_biomass_chips_Ashford_GBR</t>
  </si>
  <si>
    <t>en_hop_electric_boiler_Ashford_GBR</t>
  </si>
  <si>
    <t>en_hp_air_10mw_Ashford_GBR</t>
  </si>
  <si>
    <t>en_gas_ccgt_Lerwick_GBR</t>
  </si>
  <si>
    <t>en_gas_turbine_Lerwick_GBR</t>
  </si>
  <si>
    <t>en_gas_ccs_Lerwick_GBR</t>
  </si>
  <si>
    <t>en_coal_subcritical_Lerwick_GBR</t>
  </si>
  <si>
    <t>en_coal_supercritical_Lerwick_GBR</t>
  </si>
  <si>
    <t>en_coal_ultrasupercritical_Lerwick_GBR</t>
  </si>
  <si>
    <t>en_coal_igcc_Lerwick_GBR</t>
  </si>
  <si>
    <t>en_nuclear_Lerwick_GBR</t>
  </si>
  <si>
    <t>en_nuclear_smr_Lerwick_GBR</t>
  </si>
  <si>
    <t>en_biomass_Lerwick_GBR</t>
  </si>
  <si>
    <t>en_chp_gas_cc_ext_Lerwick_GBR</t>
  </si>
  <si>
    <t>en_chp_biomass_chips_ext_Lerwick_GBR</t>
  </si>
  <si>
    <t>en_chp_gas_cc_ext_ccs_Lerwick_GBR</t>
  </si>
  <si>
    <t>en_hop_gas_boiler_Lerwick_GBR</t>
  </si>
  <si>
    <t>en_hop_biomass_chips_Lerwick_GBR</t>
  </si>
  <si>
    <t>en_hop_electric_boiler_Lerwick_GBR</t>
  </si>
  <si>
    <t>en_hp_air_10mw_Lerwick_GBR</t>
  </si>
  <si>
    <t>en_battery_4h_Peterborough_GBR</t>
  </si>
  <si>
    <t>en_battery_8h_Peterborough_GBR</t>
  </si>
  <si>
    <t>en_battery_4h_Basildon_GBR</t>
  </si>
  <si>
    <t>en_battery_8h_Basildon_GBR</t>
  </si>
  <si>
    <t>en_battery_4h_Aberdeen_GBR</t>
  </si>
  <si>
    <t>en_battery_8h_Aberdeen_GBR</t>
  </si>
  <si>
    <t>en_battery_4h_Wick_GBR</t>
  </si>
  <si>
    <t>en_battery_8h_Wick_GBR</t>
  </si>
  <si>
    <t>en_battery_4h_Belfast_GBR</t>
  </si>
  <si>
    <t>en_battery_8h_Belfast_GBR</t>
  </si>
  <si>
    <t>en_battery_4h_Stranraer_GBR</t>
  </si>
  <si>
    <t>en_battery_8h_Stranraer_GBR</t>
  </si>
  <si>
    <t>en_battery_4h_Lisburn_GBR</t>
  </si>
  <si>
    <t>en_battery_8h_Lisburn_GBR</t>
  </si>
  <si>
    <t>en_battery_4h_Ipswich_GBR</t>
  </si>
  <si>
    <t>en_battery_8h_Ipswich_GBR</t>
  </si>
  <si>
    <t>en_battery_4h_Paisley_GBR</t>
  </si>
  <si>
    <t>en_battery_8h_Paisley_GBR</t>
  </si>
  <si>
    <t>en_battery_4h_Liverpool_GBR</t>
  </si>
  <si>
    <t>en_battery_8h_Liverpool_GBR</t>
  </si>
  <si>
    <t>en_battery_4h_Elgin_GBR</t>
  </si>
  <si>
    <t>en_battery_8h_Elgin_GBR</t>
  </si>
  <si>
    <t>en_battery_4h_Portsmouth_GBR</t>
  </si>
  <si>
    <t>en_battery_8h_Portsmouth_GBR</t>
  </si>
  <si>
    <t>en_battery_4h_Newcastle_GBR</t>
  </si>
  <si>
    <t>en_battery_8h_Newcastle_GBR</t>
  </si>
  <si>
    <t>en_battery_4h_Ashford_GBR</t>
  </si>
  <si>
    <t>en_battery_8h_Ashford_GBR</t>
  </si>
  <si>
    <t>en_battery_4h_Lerwick_GBR</t>
  </si>
  <si>
    <t>en_battery_8h_Lerwick_GBR</t>
  </si>
  <si>
    <t>windoff</t>
  </si>
  <si>
    <t>UCE_elcagg_spv_GBR_001</t>
  </si>
  <si>
    <t>elc_spv_GBR_001</t>
  </si>
  <si>
    <t>UCE_elcagg_spv_GBR_002</t>
  </si>
  <si>
    <t>elc_spv_GBR_002</t>
  </si>
  <si>
    <t>UCE_elcagg_spv_GBR_003</t>
  </si>
  <si>
    <t>elc_spv_GBR_003</t>
  </si>
  <si>
    <t>UCE_elcagg_spv_GBR_004</t>
  </si>
  <si>
    <t>elc_spv_GBR_004</t>
  </si>
  <si>
    <t>UCE_elcagg_spv_GBR_005</t>
  </si>
  <si>
    <t>elc_spv_GBR_005</t>
  </si>
  <si>
    <t>UCE_elcagg_spv_GBR_006</t>
  </si>
  <si>
    <t>elc_spv_GBR_006</t>
  </si>
  <si>
    <t>UCE_elcagg_spv_GBR_007</t>
  </si>
  <si>
    <t>elc_spv_GBR_007</t>
  </si>
  <si>
    <t>UCE_elcagg_spv_GBR_008</t>
  </si>
  <si>
    <t>elc_spv_GBR_008</t>
  </si>
  <si>
    <t>UCE_elcagg_spv_GBR_009</t>
  </si>
  <si>
    <t>elc_spv_GBR_009</t>
  </si>
  <si>
    <t>UCE_elcagg_spv_GBR_010</t>
  </si>
  <si>
    <t>elc_spv_GBR_010</t>
  </si>
  <si>
    <t>UCE_elcagg_spv_GBR_011</t>
  </si>
  <si>
    <t>elc_spv_GBR_011</t>
  </si>
  <si>
    <t>UCE_elcagg_spv_GBR_012</t>
  </si>
  <si>
    <t>elc_spv_GBR_012</t>
  </si>
  <si>
    <t>UCE_elcagg_spv_GBR_013</t>
  </si>
  <si>
    <t>elc_spv_GBR_013</t>
  </si>
  <si>
    <t>UCE_elcagg_spv_GBR_014</t>
  </si>
  <si>
    <t>elc_spv_GBR_014</t>
  </si>
  <si>
    <t>UCE_elcagg_spv_GBR_015</t>
  </si>
  <si>
    <t>elc_spv_GBR_015</t>
  </si>
  <si>
    <t>UCE_elcagg_spv_GBR_016</t>
  </si>
  <si>
    <t>elc_spv_GBR_016</t>
  </si>
  <si>
    <t>UCE_elcagg_spv_GBR_017</t>
  </si>
  <si>
    <t>elc_spv_GBR_017</t>
  </si>
  <si>
    <t>UCE_elcagg_spv_GBR_018</t>
  </si>
  <si>
    <t>elc_spv_GBR_018</t>
  </si>
  <si>
    <t>UCE_elcagg_spv_GBR_019</t>
  </si>
  <si>
    <t>elc_spv_GBR_019</t>
  </si>
  <si>
    <t>UCE_elcagg_spv_GBR_020</t>
  </si>
  <si>
    <t>elc_spv_GBR_020</t>
  </si>
  <si>
    <t>UCE_elcagg_spv_GBR_021</t>
  </si>
  <si>
    <t>elc_spv_GBR_021</t>
  </si>
  <si>
    <t>UCE_elcagg_wof_GBR_001</t>
  </si>
  <si>
    <t>elc_wof_GBR_001</t>
  </si>
  <si>
    <t>UCE_elcagg_wof_GBR_002</t>
  </si>
  <si>
    <t>elc_wof_GBR_002</t>
  </si>
  <si>
    <t>UCE_elcagg_wof_GBR_003</t>
  </si>
  <si>
    <t>elc_wof_GBR_003</t>
  </si>
  <si>
    <t>UCE_elcagg_wof_GBR_004</t>
  </si>
  <si>
    <t>elc_wof_GBR_004</t>
  </si>
  <si>
    <t>UCE_elcagg_wof_GBR_005</t>
  </si>
  <si>
    <t>elc_wof_GBR_005</t>
  </si>
  <si>
    <t>UCE_elcagg_wof_GBR_006</t>
  </si>
  <si>
    <t>elc_wof_GBR_006</t>
  </si>
  <si>
    <t>UCE_elcagg_wof_GBR_007</t>
  </si>
  <si>
    <t>elc_wof_GBR_007</t>
  </si>
  <si>
    <t>UCE_elcagg_wof_GBR_008</t>
  </si>
  <si>
    <t>elc_wof_GBR_008</t>
  </si>
  <si>
    <t>UCE_elcagg_wof_GBR_009</t>
  </si>
  <si>
    <t>elc_wof_GBR_009</t>
  </si>
  <si>
    <t>UCE_elcagg_wof_GBR_010</t>
  </si>
  <si>
    <t>elc_wof_GBR_010</t>
  </si>
  <si>
    <t>UCE_elcagg_wof_GBR_011</t>
  </si>
  <si>
    <t>elc_wof_GBR_011</t>
  </si>
  <si>
    <t>UCE_elcagg_wof_GBR_012</t>
  </si>
  <si>
    <t>elc_wof_GBR_012</t>
  </si>
  <si>
    <t>UCE_elcagg_wof_GBR_013</t>
  </si>
  <si>
    <t>elc_wof_GBR_013</t>
  </si>
  <si>
    <t>UCE_elcagg_wof_GBR_014</t>
  </si>
  <si>
    <t>elc_wof_GBR_014</t>
  </si>
  <si>
    <t>UCE_elcagg_wof_GBR_015</t>
  </si>
  <si>
    <t>elc_wof_GBR_015</t>
  </si>
  <si>
    <t>UCE_elcagg_wof_GBR_016</t>
  </si>
  <si>
    <t>elc_wof_GBR_016</t>
  </si>
  <si>
    <t>UCE_elcagg_wof_GBR_017</t>
  </si>
  <si>
    <t>elc_wof_GBR_017</t>
  </si>
  <si>
    <t>UCE_elcagg_wof_GBR_018</t>
  </si>
  <si>
    <t>elc_wof_GBR_018</t>
  </si>
  <si>
    <t>UCE_elcagg_wof_GBR_019</t>
  </si>
  <si>
    <t>elc_wof_GBR_019</t>
  </si>
  <si>
    <t>UCE_elcagg_wof_GBR_020</t>
  </si>
  <si>
    <t>elc_wof_GBR_020</t>
  </si>
  <si>
    <t>UCE_elcagg_wof_GBR_021</t>
  </si>
  <si>
    <t>elc_wof_GBR_021</t>
  </si>
  <si>
    <t>UCE_elcagg_wof_GBR_022</t>
  </si>
  <si>
    <t>elc_wof_GBR_022</t>
  </si>
  <si>
    <t>UCE_elcagg_wof_GBR_023</t>
  </si>
  <si>
    <t>elc_wof_GBR_023</t>
  </si>
  <si>
    <t>UCE_elcagg_wof_GBR_024</t>
  </si>
  <si>
    <t>elc_wof_GBR_024</t>
  </si>
  <si>
    <t>UCE_elcagg_wof_GBR_025</t>
  </si>
  <si>
    <t>elc_wof_GBR_025</t>
  </si>
  <si>
    <t>UCE_elcagg_wof_GBR_026</t>
  </si>
  <si>
    <t>elc_wof_GBR_026</t>
  </si>
  <si>
    <t>UCE_elcagg_wof_GBR_027</t>
  </si>
  <si>
    <t>elc_wof_GBR_027</t>
  </si>
  <si>
    <t>UCE_elcagg_wof_GBR_028</t>
  </si>
  <si>
    <t>elc_wof_GBR_028</t>
  </si>
  <si>
    <t>UCE_elcagg_wof_GBR_029</t>
  </si>
  <si>
    <t>elc_wof_GBR_029</t>
  </si>
  <si>
    <t>UCE_elcagg_wof_GBR_030</t>
  </si>
  <si>
    <t>elc_wof_GBR_030</t>
  </si>
  <si>
    <t>UCE_elcagg_wof_GBR_031</t>
  </si>
  <si>
    <t>elc_wof_GBR_031</t>
  </si>
  <si>
    <t>UCE_elcagg_wof_GBR_032</t>
  </si>
  <si>
    <t>elc_wof_GBR_032</t>
  </si>
  <si>
    <t>UCE_elcagg_wof_GBR_033</t>
  </si>
  <si>
    <t>elc_wof_GBR_033</t>
  </si>
  <si>
    <t>UCE_elcagg_wof_GBR_034</t>
  </si>
  <si>
    <t>elc_wof_GBR_034</t>
  </si>
  <si>
    <t>UCE_elcagg_won_GBR_001</t>
  </si>
  <si>
    <t>elc_won_GBR_001</t>
  </si>
  <si>
    <t>UCE_elcagg_won_GBR_002</t>
  </si>
  <si>
    <t>elc_won_GBR_002</t>
  </si>
  <si>
    <t>UCE_elcagg_won_GBR_003</t>
  </si>
  <si>
    <t>elc_won_GBR_003</t>
  </si>
  <si>
    <t>UCE_elcagg_won_GBR_004</t>
  </si>
  <si>
    <t>elc_won_GBR_004</t>
  </si>
  <si>
    <t>UCE_elcagg_won_GBR_005</t>
  </si>
  <si>
    <t>elc_won_GBR_005</t>
  </si>
  <si>
    <t>UCE_elcagg_won_GBR_006</t>
  </si>
  <si>
    <t>elc_won_GBR_006</t>
  </si>
  <si>
    <t>UCE_elcagg_won_GBR_007</t>
  </si>
  <si>
    <t>elc_won_GBR_007</t>
  </si>
  <si>
    <t>UCE_elcagg_won_GBR_008</t>
  </si>
  <si>
    <t>elc_won_GBR_008</t>
  </si>
  <si>
    <t>UCE_elcagg_won_GBR_009</t>
  </si>
  <si>
    <t>elc_won_GBR_009</t>
  </si>
  <si>
    <t>UCE_elcagg_won_GBR_010</t>
  </si>
  <si>
    <t>elc_won_GBR_010</t>
  </si>
  <si>
    <t>UCE_elcagg_won_GBR_011</t>
  </si>
  <si>
    <t>elc_won_GBR_011</t>
  </si>
  <si>
    <t>UCE_elcagg_won_GBR_012</t>
  </si>
  <si>
    <t>elc_won_GBR_012</t>
  </si>
  <si>
    <t>UCE_elcagg_won_GBR_013</t>
  </si>
  <si>
    <t>elc_won_GBR_013</t>
  </si>
  <si>
    <t>UCE_elcagg_won_GBR_014</t>
  </si>
  <si>
    <t>elc_won_GBR_014</t>
  </si>
  <si>
    <t>UCE_elcagg_won_GBR_015</t>
  </si>
  <si>
    <t>elc_won_GBR_015</t>
  </si>
  <si>
    <t>UCE_elcagg_won_GBR_016</t>
  </si>
  <si>
    <t>elc_won_GBR_016</t>
  </si>
  <si>
    <t>UCE_elcagg_won_GBR_017</t>
  </si>
  <si>
    <t>elc_won_GBR_017</t>
  </si>
  <si>
    <t>UCE_elcagg_won_GBR_018</t>
  </si>
  <si>
    <t>elc_won_GBR_018</t>
  </si>
  <si>
    <t>UCE_elcagg_won_GBR_019</t>
  </si>
  <si>
    <t>elc_won_GBR_019</t>
  </si>
  <si>
    <t>UCE_elcagg_won_GBR_020</t>
  </si>
  <si>
    <t>elc_won_GBR_020</t>
  </si>
  <si>
    <t>UCE_elcagg_won_GBR_021</t>
  </si>
  <si>
    <t>elc_won_GBR_021</t>
  </si>
  <si>
    <t>g_Amsterdam_NLD-Apeldoorn_NLD</t>
  </si>
  <si>
    <t>e_demand_Leeuwarden_NLD</t>
  </si>
  <si>
    <t>NLD</t>
  </si>
  <si>
    <t>e_Leeuwarden_NLD</t>
  </si>
  <si>
    <t>en_gas_ccgt_Leeuwarden_NLD</t>
  </si>
  <si>
    <t>g_Amsterdam_NLD-Tilburg_NLD</t>
  </si>
  <si>
    <t>e_demand_Veendam_NLD</t>
  </si>
  <si>
    <t>e_Veendam_NLD</t>
  </si>
  <si>
    <t>en_gas_turbine_Leeuwarden_NLD</t>
  </si>
  <si>
    <t>g_Apeldoorn_NLD-Enschede_NLD</t>
  </si>
  <si>
    <t>e_demand_Maastricht_NLD</t>
  </si>
  <si>
    <t>e_Maastricht_NLD</t>
  </si>
  <si>
    <t>en_gas_ccs_Leeuwarden_NLD</t>
  </si>
  <si>
    <t>g_Apeldoorn_NLD-Hoogezand_NLD</t>
  </si>
  <si>
    <t>e_demand_Eindhoven_NLD</t>
  </si>
  <si>
    <t>e_Eindhoven_NLD</t>
  </si>
  <si>
    <t>en_coal_subcritical_Leeuwarden_NLD</t>
  </si>
  <si>
    <t>g_Apeldoorn_NLD-Leeuwarden_NLD</t>
  </si>
  <si>
    <t>e_demand_Hoogezand_NLD</t>
  </si>
  <si>
    <t>e_Hoogezand_NLD</t>
  </si>
  <si>
    <t>en_coal_supercritical_Leeuwarden_NLD</t>
  </si>
  <si>
    <t>g_Eindhoven_NLD-Nijmegen_NLD</t>
  </si>
  <si>
    <t>e_demand_Tilburg_NLD</t>
  </si>
  <si>
    <t>e_Tilburg_NLD</t>
  </si>
  <si>
    <t>en_coal_ultrasupercritical_Leeuwarden_NLD</t>
  </si>
  <si>
    <t>g_Hoogezand_NLD-Veendam_NLD</t>
  </si>
  <si>
    <t>e_demand_Amsterdam_NLD</t>
  </si>
  <si>
    <t>e_Amsterdam_NLD</t>
  </si>
  <si>
    <t>en_coal_igcc_Leeuwarden_NLD</t>
  </si>
  <si>
    <t>g_Leeuwarden_NLD-Veendam_NLD</t>
  </si>
  <si>
    <t>e_demand_Roosendaal_NLD</t>
  </si>
  <si>
    <t>e_Roosendaal_NLD</t>
  </si>
  <si>
    <t>en_nuclear_Leeuwarden_NLD</t>
  </si>
  <si>
    <t>g_Maastricht_NLD-Eindhoven_NLD</t>
  </si>
  <si>
    <t>e_demand_Groningen_NLD</t>
  </si>
  <si>
    <t>e_Groningen_NLD</t>
  </si>
  <si>
    <t>en_nuclear_smr_Leeuwarden_NLD</t>
  </si>
  <si>
    <t>g_Nijmegen_NLD-Enschede_NLD</t>
  </si>
  <si>
    <t>e_demand_Nijmegen_NLD</t>
  </si>
  <si>
    <t>e_Nijmegen_NLD</t>
  </si>
  <si>
    <t>en_biomass_Leeuwarden_NLD</t>
  </si>
  <si>
    <t>g_Roosendaal_NLD-Tilburg_NLD</t>
  </si>
  <si>
    <t>e_demand_Enschede_NLD</t>
  </si>
  <si>
    <t>e_Enschede_NLD</t>
  </si>
  <si>
    <t>en_chp_gas_cc_ext_Leeuwarden_NLD</t>
  </si>
  <si>
    <t>g_Rotterdam_NLD-Amsterdam_NLD</t>
  </si>
  <si>
    <t>e_demand_Apeldoorn_NLD</t>
  </si>
  <si>
    <t>e_Apeldoorn_NLD</t>
  </si>
  <si>
    <t>h_Leeuwarden_NLD</t>
  </si>
  <si>
    <t>g_Rotterdam_NLD-Roosendaal_NLD</t>
  </si>
  <si>
    <t>e_demand_Rotterdam_NLD</t>
  </si>
  <si>
    <t>e_Rotterdam_NLD</t>
  </si>
  <si>
    <t>en_chp_biomass_chips_ext_Leeuwarden_NLD</t>
  </si>
  <si>
    <t>g_Rotterdam_NLD-Tilburg_NLD</t>
  </si>
  <si>
    <t>ev_battery_Leeuwarden_NLD</t>
  </si>
  <si>
    <t>g_Tilburg_NLD-Eindhoven_NLD</t>
  </si>
  <si>
    <t>ev_battery_Veendam_NLD</t>
  </si>
  <si>
    <t>en_chp_gas_cc_ext_ccs_Leeuwarden_NLD</t>
  </si>
  <si>
    <t>g_Veendam_NLD-Groningen_NLD</t>
  </si>
  <si>
    <t>ev_battery_Maastricht_NLD</t>
  </si>
  <si>
    <t>g_Veendam_NLD-Hoogezand_NLD</t>
  </si>
  <si>
    <t>ev_battery_Eindhoven_NLD</t>
  </si>
  <si>
    <t>en_hop_gas_boiler_Leeuwarden_NLD</t>
  </si>
  <si>
    <t>ev_battery_Hoogezand_NLD</t>
  </si>
  <si>
    <t>en_hop_biomass_chips_Leeuwarden_NLD</t>
  </si>
  <si>
    <t>ev_battery_Tilburg_NLD</t>
  </si>
  <si>
    <t>en_hop_electric_boiler_Leeuwarden_NLD</t>
  </si>
  <si>
    <t>ev_battery_Amsterdam_NLD</t>
  </si>
  <si>
    <t>ev_battery_Roosendaal_NLD</t>
  </si>
  <si>
    <t>en_hp_air_10mw_Leeuwarden_NLD</t>
  </si>
  <si>
    <t>ev_battery_Groningen_NLD</t>
  </si>
  <si>
    <t>ev_battery_Nijmegen_NLD</t>
  </si>
  <si>
    <t>en_gas_ccgt_Veendam_NLD</t>
  </si>
  <si>
    <t>ev_battery_Enschede_NLD</t>
  </si>
  <si>
    <t>en_gas_turbine_Veendam_NLD</t>
  </si>
  <si>
    <t>ev_battery_Apeldoorn_NLD</t>
  </si>
  <si>
    <t>en_gas_ccs_Veendam_NLD</t>
  </si>
  <si>
    <t>ev_battery_Rotterdam_NLD</t>
  </si>
  <si>
    <t>en_coal_subcritical_Veendam_NLD</t>
  </si>
  <si>
    <t>H2prd_Elc_PEM_Leeuwarden_NLD</t>
  </si>
  <si>
    <t>en_coal_supercritical_Veendam_NLD</t>
  </si>
  <si>
    <t>H2prd_Elc_PEM_Veendam_NLD</t>
  </si>
  <si>
    <t>en_coal_ultrasupercritical_Veendam_NLD</t>
  </si>
  <si>
    <t>H2prd_Elc_PEM_Maastricht_NLD</t>
  </si>
  <si>
    <t>en_coal_igcc_Veendam_NLD</t>
  </si>
  <si>
    <t>H2prd_Elc_PEM_Eindhoven_NLD</t>
  </si>
  <si>
    <t>en_nuclear_Veendam_NLD</t>
  </si>
  <si>
    <t>H2prd_Elc_PEM_Hoogezand_NLD</t>
  </si>
  <si>
    <t>en_nuclear_smr_Veendam_NLD</t>
  </si>
  <si>
    <t>H2prd_Elc_PEM_Tilburg_NLD</t>
  </si>
  <si>
    <t>en_biomass_Veendam_NLD</t>
  </si>
  <si>
    <t>H2prd_Elc_PEM_Amsterdam_NLD</t>
  </si>
  <si>
    <t>en_chp_gas_cc_ext_Veendam_NLD</t>
  </si>
  <si>
    <t>H2prd_Elc_PEM_Roosendaal_NLD</t>
  </si>
  <si>
    <t>h_Veendam_NLD</t>
  </si>
  <si>
    <t>H2prd_Elc_PEM_Groningen_NLD</t>
  </si>
  <si>
    <t>en_chp_biomass_chips_ext_Veendam_NLD</t>
  </si>
  <si>
    <t>H2prd_Elc_PEM_Nijmegen_NLD</t>
  </si>
  <si>
    <t>H2prd_Elc_PEM_Enschede_NLD</t>
  </si>
  <si>
    <t>en_chp_gas_cc_ext_ccs_Veendam_NLD</t>
  </si>
  <si>
    <t>H2prd_Elc_PEM_Apeldoorn_NLD</t>
  </si>
  <si>
    <t>H2prd_Elc_PEM_Rotterdam_NLD</t>
  </si>
  <si>
    <t>en_hop_gas_boiler_Veendam_NLD</t>
  </si>
  <si>
    <t>H2prd_Elc_ALK_Leeuwarden_NLD</t>
  </si>
  <si>
    <t>en_hop_biomass_chips_Veendam_NLD</t>
  </si>
  <si>
    <t>H2prd_Elc_ALK_Veendam_NLD</t>
  </si>
  <si>
    <t>en_hop_electric_boiler_Veendam_NLD</t>
  </si>
  <si>
    <t>H2prd_Elc_ALK_Maastricht_NLD</t>
  </si>
  <si>
    <t>H2prd_Elc_ALK_Eindhoven_NLD</t>
  </si>
  <si>
    <t>en_hp_air_10mw_Veendam_NLD</t>
  </si>
  <si>
    <t>H2prd_Elc_ALK_Hoogezand_NLD</t>
  </si>
  <si>
    <t>H2prd_Elc_ALK_Tilburg_NLD</t>
  </si>
  <si>
    <t>en_gas_ccgt_Maastricht_NLD</t>
  </si>
  <si>
    <t>H2prd_Elc_ALK_Amsterdam_NLD</t>
  </si>
  <si>
    <t>en_gas_turbine_Maastricht_NLD</t>
  </si>
  <si>
    <t>H2prd_Elc_ALK_Roosendaal_NLD</t>
  </si>
  <si>
    <t>en_gas_ccs_Maastricht_NLD</t>
  </si>
  <si>
    <t>H2prd_Elc_ALK_Groningen_NLD</t>
  </si>
  <si>
    <t>en_coal_subcritical_Maastricht_NLD</t>
  </si>
  <si>
    <t>H2prd_Elc_ALK_Nijmegen_NLD</t>
  </si>
  <si>
    <t>en_coal_supercritical_Maastricht_NLD</t>
  </si>
  <si>
    <t>H2prd_Elc_ALK_Enschede_NLD</t>
  </si>
  <si>
    <t>en_coal_ultrasupercritical_Maastricht_NLD</t>
  </si>
  <si>
    <t>H2prd_Elc_ALK_Apeldoorn_NLD</t>
  </si>
  <si>
    <t>en_coal_igcc_Maastricht_NLD</t>
  </si>
  <si>
    <t>H2prd_Elc_ALK_Rotterdam_NLD</t>
  </si>
  <si>
    <t>en_nuclear_Maastricht_NLD</t>
  </si>
  <si>
    <t>h_demand_Amsterdam_NLD</t>
  </si>
  <si>
    <t>h_Amsterdam_NLD</t>
  </si>
  <si>
    <t>en_nuclear_smr_Maastricht_NLD</t>
  </si>
  <si>
    <t>h_demand_Nijmegen_NLD</t>
  </si>
  <si>
    <t>h_Nijmegen_NLD</t>
  </si>
  <si>
    <t>en_biomass_Maastricht_NLD</t>
  </si>
  <si>
    <t>h_demand_Veendam_NLD</t>
  </si>
  <si>
    <t>en_chp_gas_cc_ext_Maastricht_NLD</t>
  </si>
  <si>
    <t>h_demand_Tilburg_NLD</t>
  </si>
  <si>
    <t>h_Tilburg_NLD</t>
  </si>
  <si>
    <t>h_Maastricht_NLD</t>
  </si>
  <si>
    <t>h_demand_Roosendaal_NLD</t>
  </si>
  <si>
    <t>h_Roosendaal_NLD</t>
  </si>
  <si>
    <t>en_chp_biomass_chips_ext_Maastricht_NLD</t>
  </si>
  <si>
    <t>h_demand_Enschede_NLD</t>
  </si>
  <si>
    <t>h_Enschede_NLD</t>
  </si>
  <si>
    <t>h_demand_Rotterdam_NLD</t>
  </si>
  <si>
    <t>h_Rotterdam_NLD</t>
  </si>
  <si>
    <t>en_chp_gas_cc_ext_ccs_Maastricht_NLD</t>
  </si>
  <si>
    <t>h_demand_Eindhoven_NLD</t>
  </si>
  <si>
    <t>h_Eindhoven_NLD</t>
  </si>
  <si>
    <t>h_demand_Leeuwarden_NLD</t>
  </si>
  <si>
    <t>en_hop_gas_boiler_Maastricht_NLD</t>
  </si>
  <si>
    <t>h_demand_Hoogezand_NLD</t>
  </si>
  <si>
    <t>h_Hoogezand_NLD</t>
  </si>
  <si>
    <t>en_hop_biomass_chips_Maastricht_NLD</t>
  </si>
  <si>
    <t>h_demand_Maastricht_NLD</t>
  </si>
  <si>
    <t>en_hop_electric_boiler_Maastricht_NLD</t>
  </si>
  <si>
    <t>en_hp_air_10mw_Maastricht_NLD</t>
  </si>
  <si>
    <t>en_gas_ccgt_Eindhoven_NLD</t>
  </si>
  <si>
    <t>en_gas_turbine_Eindhoven_NLD</t>
  </si>
  <si>
    <t>en_gas_ccs_Eindhoven_NLD</t>
  </si>
  <si>
    <t>en_coal_subcritical_Eindhoven_NLD</t>
  </si>
  <si>
    <t>en_coal_supercritical_Eindhoven_NLD</t>
  </si>
  <si>
    <t>en_coal_ultrasupercritical_Eindhoven_NLD</t>
  </si>
  <si>
    <t>en_coal_igcc_Eindhoven_NLD</t>
  </si>
  <si>
    <t>en_nuclear_Eindhoven_NLD</t>
  </si>
  <si>
    <t>en_nuclear_smr_Eindhoven_NLD</t>
  </si>
  <si>
    <t>en_biomass_Eindhoven_NLD</t>
  </si>
  <si>
    <t>en_chp_gas_cc_ext_Eindhoven_NLD</t>
  </si>
  <si>
    <t>en_chp_biomass_chips_ext_Eindhoven_NLD</t>
  </si>
  <si>
    <t>en_chp_gas_cc_ext_ccs_Eindhoven_NLD</t>
  </si>
  <si>
    <t>en_hop_gas_boiler_Eindhoven_NLD</t>
  </si>
  <si>
    <t>en_hop_biomass_chips_Eindhoven_NLD</t>
  </si>
  <si>
    <t>en_hop_electric_boiler_Eindhoven_NLD</t>
  </si>
  <si>
    <t>en_hp_air_10mw_Eindhoven_NLD</t>
  </si>
  <si>
    <t>en_gas_ccgt_Hoogezand_NLD</t>
  </si>
  <si>
    <t>en_gas_turbine_Hoogezand_NLD</t>
  </si>
  <si>
    <t>en_gas_ccs_Hoogezand_NLD</t>
  </si>
  <si>
    <t>en_coal_subcritical_Hoogezand_NLD</t>
  </si>
  <si>
    <t>en_coal_supercritical_Hoogezand_NLD</t>
  </si>
  <si>
    <t>en_coal_ultrasupercritical_Hoogezand_NLD</t>
  </si>
  <si>
    <t>en_coal_igcc_Hoogezand_NLD</t>
  </si>
  <si>
    <t>en_nuclear_Hoogezand_NLD</t>
  </si>
  <si>
    <t>en_nuclear_smr_Hoogezand_NLD</t>
  </si>
  <si>
    <t>en_biomass_Hoogezand_NLD</t>
  </si>
  <si>
    <t>en_chp_gas_cc_ext_Hoogezand_NLD</t>
  </si>
  <si>
    <t>en_chp_biomass_chips_ext_Hoogezand_NLD</t>
  </si>
  <si>
    <t>en_chp_gas_cc_ext_ccs_Hoogezand_NLD</t>
  </si>
  <si>
    <t>en_hop_gas_boiler_Hoogezand_NLD</t>
  </si>
  <si>
    <t>en_hop_biomass_chips_Hoogezand_NLD</t>
  </si>
  <si>
    <t>en_hop_electric_boiler_Hoogezand_NLD</t>
  </si>
  <si>
    <t>en_hp_air_10mw_Hoogezand_NLD</t>
  </si>
  <si>
    <t>en_gas_ccgt_Tilburg_NLD</t>
  </si>
  <si>
    <t>en_gas_turbine_Tilburg_NLD</t>
  </si>
  <si>
    <t>en_gas_ccs_Tilburg_NLD</t>
  </si>
  <si>
    <t>en_coal_subcritical_Tilburg_NLD</t>
  </si>
  <si>
    <t>en_coal_supercritical_Tilburg_NLD</t>
  </si>
  <si>
    <t>en_coal_ultrasupercritical_Tilburg_NLD</t>
  </si>
  <si>
    <t>en_coal_igcc_Tilburg_NLD</t>
  </si>
  <si>
    <t>en_nuclear_Tilburg_NLD</t>
  </si>
  <si>
    <t>en_nuclear_smr_Tilburg_NLD</t>
  </si>
  <si>
    <t>en_biomass_Tilburg_NLD</t>
  </si>
  <si>
    <t>en_chp_gas_cc_ext_Tilburg_NLD</t>
  </si>
  <si>
    <t>en_chp_biomass_chips_ext_Tilburg_NLD</t>
  </si>
  <si>
    <t>en_chp_gas_cc_ext_ccs_Tilburg_NLD</t>
  </si>
  <si>
    <t>en_hop_gas_boiler_Tilburg_NLD</t>
  </si>
  <si>
    <t>en_hop_biomass_chips_Tilburg_NLD</t>
  </si>
  <si>
    <t>en_hop_electric_boiler_Tilburg_NLD</t>
  </si>
  <si>
    <t>en_hp_air_10mw_Tilburg_NLD</t>
  </si>
  <si>
    <t>en_gas_ccgt_Amsterdam_NLD</t>
  </si>
  <si>
    <t>en_gas_turbine_Amsterdam_NLD</t>
  </si>
  <si>
    <t>en_gas_ccs_Amsterdam_NLD</t>
  </si>
  <si>
    <t>en_coal_subcritical_Amsterdam_NLD</t>
  </si>
  <si>
    <t>en_coal_supercritical_Amsterdam_NLD</t>
  </si>
  <si>
    <t>en_coal_ultrasupercritical_Amsterdam_NLD</t>
  </si>
  <si>
    <t>en_coal_igcc_Amsterdam_NLD</t>
  </si>
  <si>
    <t>en_nuclear_Amsterdam_NLD</t>
  </si>
  <si>
    <t>en_nuclear_smr_Amsterdam_NLD</t>
  </si>
  <si>
    <t>en_biomass_Amsterdam_NLD</t>
  </si>
  <si>
    <t>en_chp_gas_cc_ext_Amsterdam_NLD</t>
  </si>
  <si>
    <t>en_chp_biomass_chips_ext_Amsterdam_NLD</t>
  </si>
  <si>
    <t>en_chp_gas_cc_ext_ccs_Amsterdam_NLD</t>
  </si>
  <si>
    <t>en_hop_gas_boiler_Amsterdam_NLD</t>
  </si>
  <si>
    <t>en_hop_biomass_chips_Amsterdam_NLD</t>
  </si>
  <si>
    <t>en_hop_electric_boiler_Amsterdam_NLD</t>
  </si>
  <si>
    <t>en_hp_air_10mw_Amsterdam_NLD</t>
  </si>
  <si>
    <t>en_gas_ccgt_Roosendaal_NLD</t>
  </si>
  <si>
    <t>en_gas_turbine_Roosendaal_NLD</t>
  </si>
  <si>
    <t>en_gas_ccs_Roosendaal_NLD</t>
  </si>
  <si>
    <t>en_coal_subcritical_Roosendaal_NLD</t>
  </si>
  <si>
    <t>en_coal_supercritical_Roosendaal_NLD</t>
  </si>
  <si>
    <t>en_coal_ultrasupercritical_Roosendaal_NLD</t>
  </si>
  <si>
    <t>en_coal_igcc_Roosendaal_NLD</t>
  </si>
  <si>
    <t>en_nuclear_Roosendaal_NLD</t>
  </si>
  <si>
    <t>en_nuclear_smr_Roosendaal_NLD</t>
  </si>
  <si>
    <t>en_biomass_Roosendaal_NLD</t>
  </si>
  <si>
    <t>en_chp_gas_cc_ext_Roosendaal_NLD</t>
  </si>
  <si>
    <t>en_chp_biomass_chips_ext_Roosendaal_NLD</t>
  </si>
  <si>
    <t>en_chp_gas_cc_ext_ccs_Roosendaal_NLD</t>
  </si>
  <si>
    <t>en_hop_gas_boiler_Roosendaal_NLD</t>
  </si>
  <si>
    <t>en_hop_biomass_chips_Roosendaal_NLD</t>
  </si>
  <si>
    <t>en_hop_electric_boiler_Roosendaal_NLD</t>
  </si>
  <si>
    <t>en_hp_air_10mw_Roosendaal_NLD</t>
  </si>
  <si>
    <t>en_gas_ccgt_Groningen_NLD</t>
  </si>
  <si>
    <t>en_gas_turbine_Groningen_NLD</t>
  </si>
  <si>
    <t>en_gas_ccs_Groningen_NLD</t>
  </si>
  <si>
    <t>en_coal_subcritical_Groningen_NLD</t>
  </si>
  <si>
    <t>en_coal_supercritical_Groningen_NLD</t>
  </si>
  <si>
    <t>en_coal_ultrasupercritical_Groningen_NLD</t>
  </si>
  <si>
    <t>en_coal_igcc_Groningen_NLD</t>
  </si>
  <si>
    <t>en_nuclear_Groningen_NLD</t>
  </si>
  <si>
    <t>en_nuclear_smr_Groningen_NLD</t>
  </si>
  <si>
    <t>en_biomass_Groningen_NLD</t>
  </si>
  <si>
    <t>en_chp_gas_cc_ext_Groningen_NLD</t>
  </si>
  <si>
    <t>h_Groningen_NLD</t>
  </si>
  <si>
    <t>en_chp_biomass_chips_ext_Groningen_NLD</t>
  </si>
  <si>
    <t>en_chp_gas_cc_ext_ccs_Groningen_NLD</t>
  </si>
  <si>
    <t>en_hop_gas_boiler_Groningen_NLD</t>
  </si>
  <si>
    <t>en_hop_biomass_chips_Groningen_NLD</t>
  </si>
  <si>
    <t>en_hop_electric_boiler_Groningen_NLD</t>
  </si>
  <si>
    <t>en_hp_air_10mw_Groningen_NLD</t>
  </si>
  <si>
    <t>en_gas_ccgt_Nijmegen_NLD</t>
  </si>
  <si>
    <t>en_gas_turbine_Nijmegen_NLD</t>
  </si>
  <si>
    <t>en_gas_ccs_Nijmegen_NLD</t>
  </si>
  <si>
    <t>en_coal_subcritical_Nijmegen_NLD</t>
  </si>
  <si>
    <t>en_coal_supercritical_Nijmegen_NLD</t>
  </si>
  <si>
    <t>en_coal_ultrasupercritical_Nijmegen_NLD</t>
  </si>
  <si>
    <t>en_coal_igcc_Nijmegen_NLD</t>
  </si>
  <si>
    <t>en_nuclear_Nijmegen_NLD</t>
  </si>
  <si>
    <t>en_nuclear_smr_Nijmegen_NLD</t>
  </si>
  <si>
    <t>en_biomass_Nijmegen_NLD</t>
  </si>
  <si>
    <t>en_chp_gas_cc_ext_Nijmegen_NLD</t>
  </si>
  <si>
    <t>en_chp_biomass_chips_ext_Nijmegen_NLD</t>
  </si>
  <si>
    <t>en_chp_gas_cc_ext_ccs_Nijmegen_NLD</t>
  </si>
  <si>
    <t>en_hop_gas_boiler_Nijmegen_NLD</t>
  </si>
  <si>
    <t>en_hop_biomass_chips_Nijmegen_NLD</t>
  </si>
  <si>
    <t>en_hop_electric_boiler_Nijmegen_NLD</t>
  </si>
  <si>
    <t>en_hp_air_10mw_Nijmegen_NLD</t>
  </si>
  <si>
    <t>en_gas_ccgt_Enschede_NLD</t>
  </si>
  <si>
    <t>en_gas_turbine_Enschede_NLD</t>
  </si>
  <si>
    <t>en_gas_ccs_Enschede_NLD</t>
  </si>
  <si>
    <t>en_coal_subcritical_Enschede_NLD</t>
  </si>
  <si>
    <t>en_coal_supercritical_Enschede_NLD</t>
  </si>
  <si>
    <t>en_coal_ultrasupercritical_Enschede_NLD</t>
  </si>
  <si>
    <t>en_coal_igcc_Enschede_NLD</t>
  </si>
  <si>
    <t>en_nuclear_Enschede_NLD</t>
  </si>
  <si>
    <t>en_nuclear_smr_Enschede_NLD</t>
  </si>
  <si>
    <t>en_biomass_Enschede_NLD</t>
  </si>
  <si>
    <t>en_chp_gas_cc_ext_Enschede_NLD</t>
  </si>
  <si>
    <t>en_chp_biomass_chips_ext_Enschede_NLD</t>
  </si>
  <si>
    <t>en_chp_gas_cc_ext_ccs_Enschede_NLD</t>
  </si>
  <si>
    <t>en_hop_gas_boiler_Enschede_NLD</t>
  </si>
  <si>
    <t>en_hop_biomass_chips_Enschede_NLD</t>
  </si>
  <si>
    <t>en_hop_electric_boiler_Enschede_NLD</t>
  </si>
  <si>
    <t>en_hp_air_10mw_Enschede_NLD</t>
  </si>
  <si>
    <t>en_gas_ccgt_Apeldoorn_NLD</t>
  </si>
  <si>
    <t>en_gas_turbine_Apeldoorn_NLD</t>
  </si>
  <si>
    <t>en_gas_ccs_Apeldoorn_NLD</t>
  </si>
  <si>
    <t>en_coal_subcritical_Apeldoorn_NLD</t>
  </si>
  <si>
    <t>en_coal_supercritical_Apeldoorn_NLD</t>
  </si>
  <si>
    <t>en_coal_ultrasupercritical_Apeldoorn_NLD</t>
  </si>
  <si>
    <t>en_coal_igcc_Apeldoorn_NLD</t>
  </si>
  <si>
    <t>en_nuclear_Apeldoorn_NLD</t>
  </si>
  <si>
    <t>en_nuclear_smr_Apeldoorn_NLD</t>
  </si>
  <si>
    <t>en_biomass_Apeldoorn_NLD</t>
  </si>
  <si>
    <t>en_chp_gas_cc_ext_Apeldoorn_NLD</t>
  </si>
  <si>
    <t>h_Apeldoorn_NLD</t>
  </si>
  <si>
    <t>en_chp_biomass_chips_ext_Apeldoorn_NLD</t>
  </si>
  <si>
    <t>en_chp_gas_cc_ext_ccs_Apeldoorn_NLD</t>
  </si>
  <si>
    <t>en_hop_gas_boiler_Apeldoorn_NLD</t>
  </si>
  <si>
    <t>en_hop_biomass_chips_Apeldoorn_NLD</t>
  </si>
  <si>
    <t>en_hop_electric_boiler_Apeldoorn_NLD</t>
  </si>
  <si>
    <t>en_hp_air_10mw_Apeldoorn_NLD</t>
  </si>
  <si>
    <t>en_gas_ccgt_Rotterdam_NLD</t>
  </si>
  <si>
    <t>en_gas_turbine_Rotterdam_NLD</t>
  </si>
  <si>
    <t>en_gas_ccs_Rotterdam_NLD</t>
  </si>
  <si>
    <t>en_coal_subcritical_Rotterdam_NLD</t>
  </si>
  <si>
    <t>en_coal_supercritical_Rotterdam_NLD</t>
  </si>
  <si>
    <t>en_coal_ultrasupercritical_Rotterdam_NLD</t>
  </si>
  <si>
    <t>en_coal_igcc_Rotterdam_NLD</t>
  </si>
  <si>
    <t>en_nuclear_Rotterdam_NLD</t>
  </si>
  <si>
    <t>en_nuclear_smr_Rotterdam_NLD</t>
  </si>
  <si>
    <t>en_biomass_Rotterdam_NLD</t>
  </si>
  <si>
    <t>en_chp_gas_cc_ext_Rotterdam_NLD</t>
  </si>
  <si>
    <t>en_chp_biomass_chips_ext_Rotterdam_NLD</t>
  </si>
  <si>
    <t>en_chp_gas_cc_ext_ccs_Rotterdam_NLD</t>
  </si>
  <si>
    <t>en_hop_gas_boiler_Rotterdam_NLD</t>
  </si>
  <si>
    <t>en_hop_biomass_chips_Rotterdam_NLD</t>
  </si>
  <si>
    <t>en_hop_electric_boiler_Rotterdam_NLD</t>
  </si>
  <si>
    <t>en_hp_air_10mw_Rotterdam_NLD</t>
  </si>
  <si>
    <t>en_battery_4h_Leeuwarden_NLD</t>
  </si>
  <si>
    <t>en_battery_8h_Leeuwarden_NLD</t>
  </si>
  <si>
    <t>en_battery_4h_Veendam_NLD</t>
  </si>
  <si>
    <t>en_battery_8h_Veendam_NLD</t>
  </si>
  <si>
    <t>en_battery_4h_Maastricht_NLD</t>
  </si>
  <si>
    <t>en_battery_8h_Maastricht_NLD</t>
  </si>
  <si>
    <t>en_battery_4h_Eindhoven_NLD</t>
  </si>
  <si>
    <t>en_battery_8h_Eindhoven_NLD</t>
  </si>
  <si>
    <t>en_battery_4h_Hoogezand_NLD</t>
  </si>
  <si>
    <t>en_battery_8h_Hoogezand_NLD</t>
  </si>
  <si>
    <t>en_battery_4h_Tilburg_NLD</t>
  </si>
  <si>
    <t>en_battery_8h_Tilburg_NLD</t>
  </si>
  <si>
    <t>en_battery_4h_Amsterdam_NLD</t>
  </si>
  <si>
    <t>en_battery_8h_Amsterdam_NLD</t>
  </si>
  <si>
    <t>en_battery_4h_Roosendaal_NLD</t>
  </si>
  <si>
    <t>en_battery_8h_Roosendaal_NLD</t>
  </si>
  <si>
    <t>en_battery_4h_Groningen_NLD</t>
  </si>
  <si>
    <t>en_battery_8h_Groningen_NLD</t>
  </si>
  <si>
    <t>en_battery_4h_Nijmegen_NLD</t>
  </si>
  <si>
    <t>en_battery_8h_Nijmegen_NLD</t>
  </si>
  <si>
    <t>en_battery_4h_Enschede_NLD</t>
  </si>
  <si>
    <t>en_battery_8h_Enschede_NLD</t>
  </si>
  <si>
    <t>en_battery_4h_Apeldoorn_NLD</t>
  </si>
  <si>
    <t>en_battery_8h_Apeldoorn_NLD</t>
  </si>
  <si>
    <t>en_battery_4h_Rotterdam_NLD</t>
  </si>
  <si>
    <t>en_battery_8h_Rotterdam_NLD</t>
  </si>
  <si>
    <t>UCE_elcagg_spv_NLD_001</t>
  </si>
  <si>
    <t>elc_spv_NLD_001</t>
  </si>
  <si>
    <t>UCE_elcagg_spv_NLD_002</t>
  </si>
  <si>
    <t>elc_spv_NLD_002</t>
  </si>
  <si>
    <t>UCE_elcagg_spv_NLD_003</t>
  </si>
  <si>
    <t>elc_spv_NLD_003</t>
  </si>
  <si>
    <t>UCE_elcagg_spv_NLD_004</t>
  </si>
  <si>
    <t>elc_spv_NLD_004</t>
  </si>
  <si>
    <t>UCE_elcagg_spv_NLD_005</t>
  </si>
  <si>
    <t>elc_spv_NLD_005</t>
  </si>
  <si>
    <t>UCE_elcagg_spv_NLD_006</t>
  </si>
  <si>
    <t>elc_spv_NLD_006</t>
  </si>
  <si>
    <t>UCE_elcagg_spv_NLD_007</t>
  </si>
  <si>
    <t>elc_spv_NLD_007</t>
  </si>
  <si>
    <t>UCE_elcagg_spv_NLD_008</t>
  </si>
  <si>
    <t>elc_spv_NLD_008</t>
  </si>
  <si>
    <t>UCE_elcagg_spv_NLD_009</t>
  </si>
  <si>
    <t>elc_spv_NLD_009</t>
  </si>
  <si>
    <t>UCE_elcagg_spv_NLD_010</t>
  </si>
  <si>
    <t>elc_spv_NLD_010</t>
  </si>
  <si>
    <t>UCE_elcagg_wof_NLD_001</t>
  </si>
  <si>
    <t>elc_wof_NLD_001</t>
  </si>
  <si>
    <t>UCE_elcagg_wof_NLD_002</t>
  </si>
  <si>
    <t>elc_wof_NLD_002</t>
  </si>
  <si>
    <t>UCE_elcagg_wof_NLD_003</t>
  </si>
  <si>
    <t>elc_wof_NLD_003</t>
  </si>
  <si>
    <t>UCE_elcagg_wof_NLD_004</t>
  </si>
  <si>
    <t>elc_wof_NLD_004</t>
  </si>
  <si>
    <t>UCE_elcagg_wof_NLD_005</t>
  </si>
  <si>
    <t>elc_wof_NLD_005</t>
  </si>
  <si>
    <t>UCE_elcagg_won_NLD_001</t>
  </si>
  <si>
    <t>elc_won_NLD_001</t>
  </si>
  <si>
    <t>UCE_elcagg_won_NLD_002</t>
  </si>
  <si>
    <t>elc_won_NLD_002</t>
  </si>
  <si>
    <t>UCE_elcagg_won_NLD_003</t>
  </si>
  <si>
    <t>elc_won_NLD_003</t>
  </si>
  <si>
    <t>UCE_elcagg_won_NLD_004</t>
  </si>
  <si>
    <t>elc_won_NLD_004</t>
  </si>
  <si>
    <t>UCE_elcagg_won_NLD_005</t>
  </si>
  <si>
    <t>elc_won_NLD_005</t>
  </si>
  <si>
    <t>UCE_elcagg_won_NLD_006</t>
  </si>
  <si>
    <t>elc_won_NLD_006</t>
  </si>
  <si>
    <t>UCE_elcagg_won_NLD_007</t>
  </si>
  <si>
    <t>elc_won_NLD_007</t>
  </si>
  <si>
    <t>UCE_elcagg_won_NLD_008</t>
  </si>
  <si>
    <t>elc_won_NLD_008</t>
  </si>
  <si>
    <t>UCE_elcagg_won_NLD_009</t>
  </si>
  <si>
    <t>elc_won_NLD_009</t>
  </si>
  <si>
    <t>UCE_elcagg_won_NLD_010</t>
  </si>
  <si>
    <t>elc_won_NLD_010</t>
  </si>
  <si>
    <t>g_Arlon_BEL-Seraing_BEL</t>
  </si>
  <si>
    <t>e_demand_Charleroi_BEL</t>
  </si>
  <si>
    <t>BEL</t>
  </si>
  <si>
    <t>e_Charleroi_BEL</t>
  </si>
  <si>
    <t>en_gas_ccgt_Charleroi_BEL</t>
  </si>
  <si>
    <t>g_Aubange_BEL-Seraing_BEL</t>
  </si>
  <si>
    <t>e_demand_Aubange_BEL</t>
  </si>
  <si>
    <t>e_Aubange_BEL</t>
  </si>
  <si>
    <t>en_gas_turbine_Charleroi_BEL</t>
  </si>
  <si>
    <t>g_Bruges_BEL-Gent_BEL</t>
  </si>
  <si>
    <t>e_demand_Arlon_BEL</t>
  </si>
  <si>
    <t>e_Arlon_BEL</t>
  </si>
  <si>
    <t>en_gas_ccs_Charleroi_BEL</t>
  </si>
  <si>
    <t>g_Brussels_BEL-Charleroi_BEL</t>
  </si>
  <si>
    <t>e_demand_Hasselt_BEL</t>
  </si>
  <si>
    <t>e_Hasselt_BEL</t>
  </si>
  <si>
    <t>en_coal_subcritical_Charleroi_BEL</t>
  </si>
  <si>
    <t>g_Brussels_BEL-Gent_BEL</t>
  </si>
  <si>
    <t>e_demand_Brussels_BEL</t>
  </si>
  <si>
    <t>e_Brussels_BEL</t>
  </si>
  <si>
    <t>en_coal_supercritical_Charleroi_BEL</t>
  </si>
  <si>
    <t>g_Brussels_BEL-Liege_BEL</t>
  </si>
  <si>
    <t>e_demand_Gent_BEL</t>
  </si>
  <si>
    <t>e_Gent_BEL</t>
  </si>
  <si>
    <t>en_coal_ultrasupercritical_Charleroi_BEL</t>
  </si>
  <si>
    <t>g_Charleroi_BEL-Liege_BEL</t>
  </si>
  <si>
    <t>e_demand_Bruges_BEL</t>
  </si>
  <si>
    <t>e_Bruges_BEL</t>
  </si>
  <si>
    <t>en_coal_igcc_Charleroi_BEL</t>
  </si>
  <si>
    <t>g_Kortrijk_BEL-Gent_BEL</t>
  </si>
  <si>
    <t>e_demand_Kortrijk_BEL</t>
  </si>
  <si>
    <t>e_Kortrijk_BEL</t>
  </si>
  <si>
    <t>en_nuclear_Charleroi_BEL</t>
  </si>
  <si>
    <t>g_Liege_BEL-Hasselt_BEL</t>
  </si>
  <si>
    <t>e_demand_Liege_BEL</t>
  </si>
  <si>
    <t>e_Liege_BEL</t>
  </si>
  <si>
    <t>en_nuclear_smr_Charleroi_BEL</t>
  </si>
  <si>
    <t>g_Liege_BEL-Seraing_BEL</t>
  </si>
  <si>
    <t>e_demand_Namur_BEL</t>
  </si>
  <si>
    <t>e_Namur_BEL</t>
  </si>
  <si>
    <t>en_biomass_Charleroi_BEL</t>
  </si>
  <si>
    <t>g_Namur_BEL-Liege_BEL</t>
  </si>
  <si>
    <t>e_demand_Seraing_BEL</t>
  </si>
  <si>
    <t>e_Seraing_BEL</t>
  </si>
  <si>
    <t>en_chp_gas_cc_ext_Charleroi_BEL</t>
  </si>
  <si>
    <t>ev_battery_Charleroi_BEL</t>
  </si>
  <si>
    <t>h_Charleroi_BEL</t>
  </si>
  <si>
    <t>ev_battery_Aubange_BEL</t>
  </si>
  <si>
    <t>en_chp_biomass_chips_ext_Charleroi_BEL</t>
  </si>
  <si>
    <t>ev_battery_Arlon_BEL</t>
  </si>
  <si>
    <t>ev_battery_Hasselt_BEL</t>
  </si>
  <si>
    <t>en_chp_gas_cc_ext_ccs_Charleroi_BEL</t>
  </si>
  <si>
    <t>ev_battery_Brussels_BEL</t>
  </si>
  <si>
    <t>ev_battery_Gent_BEL</t>
  </si>
  <si>
    <t>en_hop_gas_boiler_Charleroi_BEL</t>
  </si>
  <si>
    <t>ev_battery_Bruges_BEL</t>
  </si>
  <si>
    <t>en_hop_biomass_chips_Charleroi_BEL</t>
  </si>
  <si>
    <t>ev_battery_Kortrijk_BEL</t>
  </si>
  <si>
    <t>en_hop_electric_boiler_Charleroi_BEL</t>
  </si>
  <si>
    <t>ev_battery_Liege_BEL</t>
  </si>
  <si>
    <t>ev_battery_Namur_BEL</t>
  </si>
  <si>
    <t>en_hp_air_10mw_Charleroi_BEL</t>
  </si>
  <si>
    <t>ev_battery_Seraing_BEL</t>
  </si>
  <si>
    <t>H2prd_Elc_PEM_Charleroi_BEL</t>
  </si>
  <si>
    <t>en_gas_ccgt_Aubange_BEL</t>
  </si>
  <si>
    <t>H2prd_Elc_PEM_Aubange_BEL</t>
  </si>
  <si>
    <t>en_gas_turbine_Aubange_BEL</t>
  </si>
  <si>
    <t>H2prd_Elc_PEM_Arlon_BEL</t>
  </si>
  <si>
    <t>en_gas_ccs_Aubange_BEL</t>
  </si>
  <si>
    <t>H2prd_Elc_PEM_Hasselt_BEL</t>
  </si>
  <si>
    <t>en_coal_subcritical_Aubange_BEL</t>
  </si>
  <si>
    <t>H2prd_Elc_PEM_Brussels_BEL</t>
  </si>
  <si>
    <t>en_coal_supercritical_Aubange_BEL</t>
  </si>
  <si>
    <t>H2prd_Elc_PEM_Gent_BEL</t>
  </si>
  <si>
    <t>en_coal_ultrasupercritical_Aubange_BEL</t>
  </si>
  <si>
    <t>H2prd_Elc_PEM_Bruges_BEL</t>
  </si>
  <si>
    <t>en_coal_igcc_Aubange_BEL</t>
  </si>
  <si>
    <t>H2prd_Elc_PEM_Kortrijk_BEL</t>
  </si>
  <si>
    <t>en_nuclear_Aubange_BEL</t>
  </si>
  <si>
    <t>H2prd_Elc_PEM_Liege_BEL</t>
  </si>
  <si>
    <t>en_nuclear_smr_Aubange_BEL</t>
  </si>
  <si>
    <t>H2prd_Elc_PEM_Namur_BEL</t>
  </si>
  <si>
    <t>en_biomass_Aubange_BEL</t>
  </si>
  <si>
    <t>H2prd_Elc_PEM_Seraing_BEL</t>
  </si>
  <si>
    <t>en_chp_gas_cc_ext_Aubange_BEL</t>
  </si>
  <si>
    <t>H2prd_Elc_ALK_Charleroi_BEL</t>
  </si>
  <si>
    <t>h_Aubange_BEL</t>
  </si>
  <si>
    <t>H2prd_Elc_ALK_Aubange_BEL</t>
  </si>
  <si>
    <t>en_chp_biomass_chips_ext_Aubange_BEL</t>
  </si>
  <si>
    <t>H2prd_Elc_ALK_Arlon_BEL</t>
  </si>
  <si>
    <t>H2prd_Elc_ALK_Hasselt_BEL</t>
  </si>
  <si>
    <t>en_chp_gas_cc_ext_ccs_Aubange_BEL</t>
  </si>
  <si>
    <t>H2prd_Elc_ALK_Brussels_BEL</t>
  </si>
  <si>
    <t>H2prd_Elc_ALK_Gent_BEL</t>
  </si>
  <si>
    <t>en_hop_gas_boiler_Aubange_BEL</t>
  </si>
  <si>
    <t>H2prd_Elc_ALK_Bruges_BEL</t>
  </si>
  <si>
    <t>en_hop_biomass_chips_Aubange_BEL</t>
  </si>
  <si>
    <t>H2prd_Elc_ALK_Kortrijk_BEL</t>
  </si>
  <si>
    <t>en_hop_electric_boiler_Aubange_BEL</t>
  </si>
  <si>
    <t>H2prd_Elc_ALK_Liege_BEL</t>
  </si>
  <si>
    <t>H2prd_Elc_ALK_Namur_BEL</t>
  </si>
  <si>
    <t>en_hp_air_10mw_Aubange_BEL</t>
  </si>
  <si>
    <t>H2prd_Elc_ALK_Seraing_BEL</t>
  </si>
  <si>
    <t>h_demand_Brussels_BEL</t>
  </si>
  <si>
    <t>h_Brussels_BEL</t>
  </si>
  <si>
    <t>en_gas_ccgt_Arlon_BEL</t>
  </si>
  <si>
    <t>h_demand_Gent_BEL</t>
  </si>
  <si>
    <t>h_Gent_BEL</t>
  </si>
  <si>
    <t>en_gas_turbine_Arlon_BEL</t>
  </si>
  <si>
    <t>h_demand_Liege_BEL</t>
  </si>
  <si>
    <t>h_Liege_BEL</t>
  </si>
  <si>
    <t>en_gas_ccs_Arlon_BEL</t>
  </si>
  <si>
    <t>h_demand_Charleroi_BEL</t>
  </si>
  <si>
    <t>en_coal_subcritical_Arlon_BEL</t>
  </si>
  <si>
    <t>h_demand_Kortrijk_BEL</t>
  </si>
  <si>
    <t>h_Kortrijk_BEL</t>
  </si>
  <si>
    <t>en_coal_supercritical_Arlon_BEL</t>
  </si>
  <si>
    <t>h_demand_Bruges_BEL</t>
  </si>
  <si>
    <t>h_Bruges_BEL</t>
  </si>
  <si>
    <t>en_coal_ultrasupercritical_Arlon_BEL</t>
  </si>
  <si>
    <t>en_coal_igcc_Arlon_BEL</t>
  </si>
  <si>
    <t>en_nuclear_Arlon_BEL</t>
  </si>
  <si>
    <t>en_nuclear_smr_Arlon_BEL</t>
  </si>
  <si>
    <t>en_biomass_Arlon_BEL</t>
  </si>
  <si>
    <t>en_chp_gas_cc_ext_Arlon_BEL</t>
  </si>
  <si>
    <t>h_Arlon_BEL</t>
  </si>
  <si>
    <t>en_chp_biomass_chips_ext_Arlon_BEL</t>
  </si>
  <si>
    <t>en_chp_gas_cc_ext_ccs_Arlon_BEL</t>
  </si>
  <si>
    <t>en_hop_gas_boiler_Arlon_BEL</t>
  </si>
  <si>
    <t>en_hop_biomass_chips_Arlon_BEL</t>
  </si>
  <si>
    <t>en_hop_electric_boiler_Arlon_BEL</t>
  </si>
  <si>
    <t>en_hp_air_10mw_Arlon_BEL</t>
  </si>
  <si>
    <t>en_gas_ccgt_Hasselt_BEL</t>
  </si>
  <si>
    <t>en_gas_turbine_Hasselt_BEL</t>
  </si>
  <si>
    <t>en_gas_ccs_Hasselt_BEL</t>
  </si>
  <si>
    <t>en_coal_subcritical_Hasselt_BEL</t>
  </si>
  <si>
    <t>en_coal_supercritical_Hasselt_BEL</t>
  </si>
  <si>
    <t>en_coal_ultrasupercritical_Hasselt_BEL</t>
  </si>
  <si>
    <t>en_coal_igcc_Hasselt_BEL</t>
  </si>
  <si>
    <t>en_nuclear_Hasselt_BEL</t>
  </si>
  <si>
    <t>en_nuclear_smr_Hasselt_BEL</t>
  </si>
  <si>
    <t>en_biomass_Hasselt_BEL</t>
  </si>
  <si>
    <t>en_chp_gas_cc_ext_Hasselt_BEL</t>
  </si>
  <si>
    <t>h_Hasselt_BEL</t>
  </si>
  <si>
    <t>en_chp_biomass_chips_ext_Hasselt_BEL</t>
  </si>
  <si>
    <t>en_chp_gas_cc_ext_ccs_Hasselt_BEL</t>
  </si>
  <si>
    <t>en_hop_gas_boiler_Hasselt_BEL</t>
  </si>
  <si>
    <t>en_hop_biomass_chips_Hasselt_BEL</t>
  </si>
  <si>
    <t>en_hop_electric_boiler_Hasselt_BEL</t>
  </si>
  <si>
    <t>en_hp_air_10mw_Hasselt_BEL</t>
  </si>
  <si>
    <t>en_gas_ccgt_Brussels_BEL</t>
  </si>
  <si>
    <t>en_gas_turbine_Brussels_BEL</t>
  </si>
  <si>
    <t>en_gas_ccs_Brussels_BEL</t>
  </si>
  <si>
    <t>en_coal_subcritical_Brussels_BEL</t>
  </si>
  <si>
    <t>en_coal_supercritical_Brussels_BEL</t>
  </si>
  <si>
    <t>en_coal_ultrasupercritical_Brussels_BEL</t>
  </si>
  <si>
    <t>en_coal_igcc_Brussels_BEL</t>
  </si>
  <si>
    <t>en_nuclear_Brussels_BEL</t>
  </si>
  <si>
    <t>en_nuclear_smr_Brussels_BEL</t>
  </si>
  <si>
    <t>en_biomass_Brussels_BEL</t>
  </si>
  <si>
    <t>en_chp_gas_cc_ext_Brussels_BEL</t>
  </si>
  <si>
    <t>en_chp_biomass_chips_ext_Brussels_BEL</t>
  </si>
  <si>
    <t>en_chp_gas_cc_ext_ccs_Brussels_BEL</t>
  </si>
  <si>
    <t>en_hop_gas_boiler_Brussels_BEL</t>
  </si>
  <si>
    <t>en_hop_biomass_chips_Brussels_BEL</t>
  </si>
  <si>
    <t>en_hop_electric_boiler_Brussels_BEL</t>
  </si>
  <si>
    <t>en_hp_air_10mw_Brussels_BEL</t>
  </si>
  <si>
    <t>en_gas_ccgt_Gent_BEL</t>
  </si>
  <si>
    <t>en_gas_turbine_Gent_BEL</t>
  </si>
  <si>
    <t>en_gas_ccs_Gent_BEL</t>
  </si>
  <si>
    <t>en_coal_subcritical_Gent_BEL</t>
  </si>
  <si>
    <t>en_coal_supercritical_Gent_BEL</t>
  </si>
  <si>
    <t>en_coal_ultrasupercritical_Gent_BEL</t>
  </si>
  <si>
    <t>en_coal_igcc_Gent_BEL</t>
  </si>
  <si>
    <t>en_nuclear_Gent_BEL</t>
  </si>
  <si>
    <t>en_nuclear_smr_Gent_BEL</t>
  </si>
  <si>
    <t>en_biomass_Gent_BEL</t>
  </si>
  <si>
    <t>en_chp_gas_cc_ext_Gent_BEL</t>
  </si>
  <si>
    <t>en_chp_biomass_chips_ext_Gent_BEL</t>
  </si>
  <si>
    <t>en_chp_gas_cc_ext_ccs_Gent_BEL</t>
  </si>
  <si>
    <t>en_hop_gas_boiler_Gent_BEL</t>
  </si>
  <si>
    <t>en_hop_biomass_chips_Gent_BEL</t>
  </si>
  <si>
    <t>en_hop_electric_boiler_Gent_BEL</t>
  </si>
  <si>
    <t>en_hp_air_10mw_Gent_BEL</t>
  </si>
  <si>
    <t>en_gas_ccgt_Bruges_BEL</t>
  </si>
  <si>
    <t>en_gas_turbine_Bruges_BEL</t>
  </si>
  <si>
    <t>en_gas_ccs_Bruges_BEL</t>
  </si>
  <si>
    <t>en_coal_subcritical_Bruges_BEL</t>
  </si>
  <si>
    <t>en_coal_supercritical_Bruges_BEL</t>
  </si>
  <si>
    <t>en_coal_ultrasupercritical_Bruges_BEL</t>
  </si>
  <si>
    <t>en_coal_igcc_Bruges_BEL</t>
  </si>
  <si>
    <t>en_nuclear_Bruges_BEL</t>
  </si>
  <si>
    <t>en_nuclear_smr_Bruges_BEL</t>
  </si>
  <si>
    <t>en_biomass_Bruges_BEL</t>
  </si>
  <si>
    <t>en_chp_gas_cc_ext_Bruges_BEL</t>
  </si>
  <si>
    <t>en_chp_biomass_chips_ext_Bruges_BEL</t>
  </si>
  <si>
    <t>en_chp_gas_cc_ext_ccs_Bruges_BEL</t>
  </si>
  <si>
    <t>en_hop_gas_boiler_Bruges_BEL</t>
  </si>
  <si>
    <t>en_hop_biomass_chips_Bruges_BEL</t>
  </si>
  <si>
    <t>en_hop_electric_boiler_Bruges_BEL</t>
  </si>
  <si>
    <t>en_hp_air_10mw_Bruges_BEL</t>
  </si>
  <si>
    <t>en_gas_ccgt_Kortrijk_BEL</t>
  </si>
  <si>
    <t>en_gas_turbine_Kortrijk_BEL</t>
  </si>
  <si>
    <t>en_gas_ccs_Kortrijk_BEL</t>
  </si>
  <si>
    <t>en_coal_subcritical_Kortrijk_BEL</t>
  </si>
  <si>
    <t>en_coal_supercritical_Kortrijk_BEL</t>
  </si>
  <si>
    <t>en_coal_ultrasupercritical_Kortrijk_BEL</t>
  </si>
  <si>
    <t>en_coal_igcc_Kortrijk_BEL</t>
  </si>
  <si>
    <t>en_nuclear_Kortrijk_BEL</t>
  </si>
  <si>
    <t>en_nuclear_smr_Kortrijk_BEL</t>
  </si>
  <si>
    <t>en_biomass_Kortrijk_BEL</t>
  </si>
  <si>
    <t>en_chp_gas_cc_ext_Kortrijk_BEL</t>
  </si>
  <si>
    <t>en_chp_biomass_chips_ext_Kortrijk_BEL</t>
  </si>
  <si>
    <t>en_chp_gas_cc_ext_ccs_Kortrijk_BEL</t>
  </si>
  <si>
    <t>en_hop_gas_boiler_Kortrijk_BEL</t>
  </si>
  <si>
    <t>en_hop_biomass_chips_Kortrijk_BEL</t>
  </si>
  <si>
    <t>en_hop_electric_boiler_Kortrijk_BEL</t>
  </si>
  <si>
    <t>en_hp_air_10mw_Kortrijk_BEL</t>
  </si>
  <si>
    <t>en_gas_ccgt_Liege_BEL</t>
  </si>
  <si>
    <t>en_gas_turbine_Liege_BEL</t>
  </si>
  <si>
    <t>en_gas_ccs_Liege_BEL</t>
  </si>
  <si>
    <t>en_coal_subcritical_Liege_BEL</t>
  </si>
  <si>
    <t>en_coal_supercritical_Liege_BEL</t>
  </si>
  <si>
    <t>en_coal_ultrasupercritical_Liege_BEL</t>
  </si>
  <si>
    <t>en_coal_igcc_Liege_BEL</t>
  </si>
  <si>
    <t>en_nuclear_Liege_BEL</t>
  </si>
  <si>
    <t>en_nuclear_smr_Liege_BEL</t>
  </si>
  <si>
    <t>en_biomass_Liege_BEL</t>
  </si>
  <si>
    <t>en_chp_gas_cc_ext_Liege_BEL</t>
  </si>
  <si>
    <t>en_chp_biomass_chips_ext_Liege_BEL</t>
  </si>
  <si>
    <t>en_chp_gas_cc_ext_ccs_Liege_BEL</t>
  </si>
  <si>
    <t>en_hop_gas_boiler_Liege_BEL</t>
  </si>
  <si>
    <t>en_hop_biomass_chips_Liege_BEL</t>
  </si>
  <si>
    <t>en_hop_electric_boiler_Liege_BEL</t>
  </si>
  <si>
    <t>en_hp_air_10mw_Liege_BEL</t>
  </si>
  <si>
    <t>en_gas_ccgt_Namur_BEL</t>
  </si>
  <si>
    <t>en_gas_turbine_Namur_BEL</t>
  </si>
  <si>
    <t>en_gas_ccs_Namur_BEL</t>
  </si>
  <si>
    <t>en_coal_subcritical_Namur_BEL</t>
  </si>
  <si>
    <t>en_coal_supercritical_Namur_BEL</t>
  </si>
  <si>
    <t>en_coal_ultrasupercritical_Namur_BEL</t>
  </si>
  <si>
    <t>en_coal_igcc_Namur_BEL</t>
  </si>
  <si>
    <t>en_nuclear_Namur_BEL</t>
  </si>
  <si>
    <t>en_nuclear_smr_Namur_BEL</t>
  </si>
  <si>
    <t>en_biomass_Namur_BEL</t>
  </si>
  <si>
    <t>en_chp_gas_cc_ext_Namur_BEL</t>
  </si>
  <si>
    <t>h_Namur_BEL</t>
  </si>
  <si>
    <t>en_chp_biomass_chips_ext_Namur_BEL</t>
  </si>
  <si>
    <t>en_chp_gas_cc_ext_ccs_Namur_BEL</t>
  </si>
  <si>
    <t>en_hop_gas_boiler_Namur_BEL</t>
  </si>
  <si>
    <t>en_hop_biomass_chips_Namur_BEL</t>
  </si>
  <si>
    <t>en_hop_electric_boiler_Namur_BEL</t>
  </si>
  <si>
    <t>en_hp_air_10mw_Namur_BEL</t>
  </si>
  <si>
    <t>en_gas_ccgt_Seraing_BEL</t>
  </si>
  <si>
    <t>en_gas_turbine_Seraing_BEL</t>
  </si>
  <si>
    <t>en_gas_ccs_Seraing_BEL</t>
  </si>
  <si>
    <t>en_coal_subcritical_Seraing_BEL</t>
  </si>
  <si>
    <t>en_coal_supercritical_Seraing_BEL</t>
  </si>
  <si>
    <t>en_coal_ultrasupercritical_Seraing_BEL</t>
  </si>
  <si>
    <t>en_coal_igcc_Seraing_BEL</t>
  </si>
  <si>
    <t>en_nuclear_Seraing_BEL</t>
  </si>
  <si>
    <t>en_nuclear_smr_Seraing_BEL</t>
  </si>
  <si>
    <t>en_biomass_Seraing_BEL</t>
  </si>
  <si>
    <t>en_chp_gas_cc_ext_Seraing_BEL</t>
  </si>
  <si>
    <t>h_Seraing_BEL</t>
  </si>
  <si>
    <t>en_chp_biomass_chips_ext_Seraing_BEL</t>
  </si>
  <si>
    <t>en_chp_gas_cc_ext_ccs_Seraing_BEL</t>
  </si>
  <si>
    <t>en_hop_gas_boiler_Seraing_BEL</t>
  </si>
  <si>
    <t>en_hop_biomass_chips_Seraing_BEL</t>
  </si>
  <si>
    <t>en_hop_electric_boiler_Seraing_BEL</t>
  </si>
  <si>
    <t>en_hp_air_10mw_Seraing_BEL</t>
  </si>
  <si>
    <t>en_battery_4h_Charleroi_BEL</t>
  </si>
  <si>
    <t>en_battery_8h_Charleroi_BEL</t>
  </si>
  <si>
    <t>en_battery_4h_Aubange_BEL</t>
  </si>
  <si>
    <t>en_battery_8h_Aubange_BEL</t>
  </si>
  <si>
    <t>en_battery_4h_Arlon_BEL</t>
  </si>
  <si>
    <t>en_battery_8h_Arlon_BEL</t>
  </si>
  <si>
    <t>en_battery_4h_Hasselt_BEL</t>
  </si>
  <si>
    <t>en_battery_8h_Hasselt_BEL</t>
  </si>
  <si>
    <t>en_battery_4h_Brussels_BEL</t>
  </si>
  <si>
    <t>en_battery_8h_Brussels_BEL</t>
  </si>
  <si>
    <t>en_battery_4h_Gent_BEL</t>
  </si>
  <si>
    <t>en_battery_8h_Gent_BEL</t>
  </si>
  <si>
    <t>en_battery_4h_Bruges_BEL</t>
  </si>
  <si>
    <t>en_battery_8h_Bruges_BEL</t>
  </si>
  <si>
    <t>en_battery_4h_Kortrijk_BEL</t>
  </si>
  <si>
    <t>en_battery_8h_Kortrijk_BEL</t>
  </si>
  <si>
    <t>en_battery_4h_Liege_BEL</t>
  </si>
  <si>
    <t>en_battery_8h_Liege_BEL</t>
  </si>
  <si>
    <t>en_battery_4h_Namur_BEL</t>
  </si>
  <si>
    <t>en_battery_8h_Namur_BEL</t>
  </si>
  <si>
    <t>en_battery_4h_Seraing_BEL</t>
  </si>
  <si>
    <t>en_battery_8h_Seraing_BEL</t>
  </si>
  <si>
    <t>UCE_elcagg_spv_BEL_001</t>
  </si>
  <si>
    <t>elc_spv_BEL_001</t>
  </si>
  <si>
    <t>UCE_elcagg_spv_BEL_002</t>
  </si>
  <si>
    <t>elc_spv_BEL_002</t>
  </si>
  <si>
    <t>UCE_elcagg_spv_BEL_003</t>
  </si>
  <si>
    <t>elc_spv_BEL_003</t>
  </si>
  <si>
    <t>UCE_elcagg_spv_BEL_004</t>
  </si>
  <si>
    <t>elc_spv_BEL_004</t>
  </si>
  <si>
    <t>UCE_elcagg_spv_BEL_005</t>
  </si>
  <si>
    <t>elc_spv_BEL_005</t>
  </si>
  <si>
    <t>UCE_elcagg_spv_BEL_006</t>
  </si>
  <si>
    <t>elc_spv_BEL_006</t>
  </si>
  <si>
    <t>UCE_elcagg_spv_BEL_007</t>
  </si>
  <si>
    <t>elc_spv_BEL_007</t>
  </si>
  <si>
    <t>UCE_elcagg_spv_BEL_008</t>
  </si>
  <si>
    <t>elc_spv_BEL_008</t>
  </si>
  <si>
    <t>UCE_elcagg_spv_BEL_009</t>
  </si>
  <si>
    <t>elc_spv_BEL_009</t>
  </si>
  <si>
    <t>UCE_elcagg_spv_BEL_010</t>
  </si>
  <si>
    <t>elc_spv_BEL_010</t>
  </si>
  <si>
    <t>UCE_elcagg_won_BEL_001</t>
  </si>
  <si>
    <t>elc_won_BEL_001</t>
  </si>
  <si>
    <t>UCE_elcagg_won_BEL_002</t>
  </si>
  <si>
    <t>elc_won_BEL_002</t>
  </si>
  <si>
    <t>UCE_elcagg_won_BEL_003</t>
  </si>
  <si>
    <t>elc_won_BEL_003</t>
  </si>
  <si>
    <t>UCE_elcagg_won_BEL_004</t>
  </si>
  <si>
    <t>elc_won_BEL_004</t>
  </si>
  <si>
    <t>UCE_elcagg_won_BEL_005</t>
  </si>
  <si>
    <t>elc_won_BEL_005</t>
  </si>
  <si>
    <t>UCE_elcagg_won_BEL_006</t>
  </si>
  <si>
    <t>elc_won_BEL_006</t>
  </si>
  <si>
    <t>UCE_elcagg_won_BEL_007</t>
  </si>
  <si>
    <t>elc_won_BEL_007</t>
  </si>
  <si>
    <t>UCE_elcagg_won_BEL_008</t>
  </si>
  <si>
    <t>elc_won_BEL_008</t>
  </si>
  <si>
    <t>UCE_elcagg_won_BEL_009</t>
  </si>
  <si>
    <t>elc_won_BEL_009</t>
  </si>
  <si>
    <t>UCE_elcagg_won_BEL_010</t>
  </si>
  <si>
    <t>elc_won_BEL_010</t>
  </si>
  <si>
    <t>g_Amberg_DEU-Muhldorf_DEU</t>
  </si>
  <si>
    <t>e_demand_Trier_DEU</t>
  </si>
  <si>
    <t>DEU</t>
  </si>
  <si>
    <t>e_Trier_DEU</t>
  </si>
  <si>
    <t>en_gas_ccgt_Trier_DEU</t>
  </si>
  <si>
    <t>g_Amberg_DEU-Weilheim_DEU</t>
  </si>
  <si>
    <t>e_demand_Ulm_DEU</t>
  </si>
  <si>
    <t>e_Ulm_DEU</t>
  </si>
  <si>
    <t>en_gas_turbine_Trier_DEU</t>
  </si>
  <si>
    <t>g_Bautzen_DEU-Gorlitz_DEU</t>
  </si>
  <si>
    <t>e_demand_Muhldorf_DEU</t>
  </si>
  <si>
    <t>e_Muhldorf_DEU</t>
  </si>
  <si>
    <t>en_gas_ccs_Trier_DEU</t>
  </si>
  <si>
    <t>g_Chemnitz_DEU-Radebeul_DEU</t>
  </si>
  <si>
    <t>e_demand_VillingenSchwennin_DEU</t>
  </si>
  <si>
    <t>e_VillingenSchwennin_DEU</t>
  </si>
  <si>
    <t>en_coal_subcritical_Trier_DEU</t>
  </si>
  <si>
    <t>g_Cologne_DEU-Konz_DEU</t>
  </si>
  <si>
    <t>e_demand_Duisburg_DEU</t>
  </si>
  <si>
    <t>e_Duisburg_DEU</t>
  </si>
  <si>
    <t>en_coal_supercritical_Trier_DEU</t>
  </si>
  <si>
    <t>g_Cologne_DEU-Wurzburg_DEU</t>
  </si>
  <si>
    <t>e_demand_Wurzburg_DEU</t>
  </si>
  <si>
    <t>e_Wurzburg_DEU</t>
  </si>
  <si>
    <t>en_coal_ultrasupercritical_Trier_DEU</t>
  </si>
  <si>
    <t>g_Donaueschingen_DEU-Ravensburg_DEU</t>
  </si>
  <si>
    <t>e_demand_Hamburg_DEU</t>
  </si>
  <si>
    <t>e_Hamburg_DEU</t>
  </si>
  <si>
    <t>en_coal_igcc_Trier_DEU</t>
  </si>
  <si>
    <t>g_Duisburg_DEU-Cologne_DEU</t>
  </si>
  <si>
    <t>e_demand_Oldenburg_DEU</t>
  </si>
  <si>
    <t>e_Oldenburg_DEU</t>
  </si>
  <si>
    <t>en_nuclear_Trier_DEU</t>
  </si>
  <si>
    <t>g_Duisburg_DEU-Rheine_DEU</t>
  </si>
  <si>
    <t>e_demand_Emden_DEU</t>
  </si>
  <si>
    <t>e_Emden_DEU</t>
  </si>
  <si>
    <t>en_nuclear_smr_Trier_DEU</t>
  </si>
  <si>
    <t>g_Eisenhuttenstadt_DEU-Bautzen_DEU</t>
  </si>
  <si>
    <t>e_demand_Jena_DEU</t>
  </si>
  <si>
    <t>e_Jena_DEU</t>
  </si>
  <si>
    <t>en_biomass_Trier_DEU</t>
  </si>
  <si>
    <t>g_Eisenhuttenstadt_DEU-Radebeul_DEU</t>
  </si>
  <si>
    <t>e_demand_Radebeul_DEU</t>
  </si>
  <si>
    <t>e_Radebeul_DEU</t>
  </si>
  <si>
    <t>en_chp_gas_cc_ext_Trier_DEU</t>
  </si>
  <si>
    <t>g_Eisenhuttenstadt_DEU-SchwedtOder_DEU</t>
  </si>
  <si>
    <t>e_demand_Bautzen_DEU</t>
  </si>
  <si>
    <t>e_Bautzen_DEU</t>
  </si>
  <si>
    <t>h_Trier_DEU</t>
  </si>
  <si>
    <t>g_Elmshorn_DEU-Lubeck_DEU</t>
  </si>
  <si>
    <t>e_demand_SchwedtOder_DEU</t>
  </si>
  <si>
    <t>e_SchwedtOder_DEU</t>
  </si>
  <si>
    <t>en_chp_biomass_chips_ext_Trier_DEU</t>
  </si>
  <si>
    <t>g_Emden_DEU-Oldenburg_DEU</t>
  </si>
  <si>
    <t>e_demand_Cologne_DEU</t>
  </si>
  <si>
    <t>e_Cologne_DEU</t>
  </si>
  <si>
    <t>g_Emmendingen_DEU-Offenburg_DEU</t>
  </si>
  <si>
    <t>e_demand_Ravensburg_DEU</t>
  </si>
  <si>
    <t>e_Ravensburg_DEU</t>
  </si>
  <si>
    <t>en_chp_gas_cc_ext_ccs_Trier_DEU</t>
  </si>
  <si>
    <t>g_Emmendingen_DEU-WaldshutTiengen_DEU</t>
  </si>
  <si>
    <t>e_demand_Magdeburg_DEU</t>
  </si>
  <si>
    <t>e_Magdeburg_DEU</t>
  </si>
  <si>
    <t>g_Flensburg_DEU-Elmshorn_DEU</t>
  </si>
  <si>
    <t>e_demand_Lubeck_DEU</t>
  </si>
  <si>
    <t>e_Lubeck_DEU</t>
  </si>
  <si>
    <t>en_hop_gas_boiler_Trier_DEU</t>
  </si>
  <si>
    <t>g_FreiburgImBreisgau_DEU-Lorrach_DEU</t>
  </si>
  <si>
    <t>e_demand_Amberg_DEU</t>
  </si>
  <si>
    <t>e_Amberg_DEU</t>
  </si>
  <si>
    <t>en_hop_biomass_chips_Trier_DEU</t>
  </si>
  <si>
    <t>g_FreiburgImBreisgau_DEU-Offenburg_DEU</t>
  </si>
  <si>
    <t>e_demand_Friedrichshafen_DEU</t>
  </si>
  <si>
    <t>e_Friedrichshafen_DEU</t>
  </si>
  <si>
    <t>en_hop_electric_boiler_Trier_DEU</t>
  </si>
  <si>
    <t>g_Friedrichshafen_DEU-Ulm_DEU</t>
  </si>
  <si>
    <t>e_demand_WaldshutTiengen_DEU</t>
  </si>
  <si>
    <t>e_WaldshutTiengen_DEU</t>
  </si>
  <si>
    <t>g_Gustrow_DEU-Magdeburg_DEU</t>
  </si>
  <si>
    <t>e_demand_Donaueschingen_DEU</t>
  </si>
  <si>
    <t>e_Donaueschingen_DEU</t>
  </si>
  <si>
    <t>en_hp_air_10mw_Trier_DEU</t>
  </si>
  <si>
    <t>g_Gustrow_DEU-SchwedtOder_DEU</t>
  </si>
  <si>
    <t>e_demand_Flensburg_DEU</t>
  </si>
  <si>
    <t>e_Flensburg_DEU</t>
  </si>
  <si>
    <t>g_Hamburg_DEU-Elmshorn_DEU</t>
  </si>
  <si>
    <t>e_demand_Elmshorn_DEU</t>
  </si>
  <si>
    <t>e_Elmshorn_DEU</t>
  </si>
  <si>
    <t>en_gas_ccgt_Ulm_DEU</t>
  </si>
  <si>
    <t>g_Hamburg_DEU-Gustrow_DEU</t>
  </si>
  <si>
    <t>e_demand_Kempten_DEU</t>
  </si>
  <si>
    <t>e_Kempten_DEU</t>
  </si>
  <si>
    <t>en_gas_turbine_Ulm_DEU</t>
  </si>
  <si>
    <t>g_Hamburg_DEU-Jena_DEU</t>
  </si>
  <si>
    <t>e_demand_Gorlitz_DEU</t>
  </si>
  <si>
    <t>e_Gorlitz_DEU</t>
  </si>
  <si>
    <t>en_gas_ccs_Ulm_DEU</t>
  </si>
  <si>
    <t>g_Hamburg_DEU-Lubeck_DEU</t>
  </si>
  <si>
    <t>e_demand_Weilheim_DEU</t>
  </si>
  <si>
    <t>e_Weilheim_DEU</t>
  </si>
  <si>
    <t>en_coal_subcritical_Ulm_DEU</t>
  </si>
  <si>
    <t>g_Hamburg_DEU-Magdeburg_DEU</t>
  </si>
  <si>
    <t>e_demand_Offenburg_DEU</t>
  </si>
  <si>
    <t>e_Offenburg_DEU</t>
  </si>
  <si>
    <t>en_coal_supercritical_Ulm_DEU</t>
  </si>
  <si>
    <t>g_Jena_DEU-Amberg_DEU</t>
  </si>
  <si>
    <t>e_demand_Saarbrucken_DEU</t>
  </si>
  <si>
    <t>e_Saarbrucken_DEU</t>
  </si>
  <si>
    <t>en_coal_ultrasupercritical_Ulm_DEU</t>
  </si>
  <si>
    <t>g_Jena_DEU-Chemnitz_DEU</t>
  </si>
  <si>
    <t>e_demand_Emmendingen_DEU</t>
  </si>
  <si>
    <t>e_Emmendingen_DEU</t>
  </si>
  <si>
    <t>en_coal_igcc_Ulm_DEU</t>
  </si>
  <si>
    <t>g_Jena_DEU-Magdeburg_DEU</t>
  </si>
  <si>
    <t>e_demand_FreiburgImBreisgau_DEU</t>
  </si>
  <si>
    <t>e_FreiburgImBreisgau_DEU</t>
  </si>
  <si>
    <t>en_nuclear_Ulm_DEU</t>
  </si>
  <si>
    <t>g_Jena_DEU-Radebeul_DEU</t>
  </si>
  <si>
    <t>e_demand_RheinfeldenBaden_DEU</t>
  </si>
  <si>
    <t>e_RheinfeldenBaden_DEU</t>
  </si>
  <si>
    <t>en_nuclear_smr_Ulm_DEU</t>
  </si>
  <si>
    <t>g_Kempten_DEU-Ulm_DEU</t>
  </si>
  <si>
    <t>e_demand_Lorrach_DEU</t>
  </si>
  <si>
    <t>e_Lorrach_DEU</t>
  </si>
  <si>
    <t>en_biomass_Ulm_DEU</t>
  </si>
  <si>
    <t>g_Konz_DEU-Trier_DEU</t>
  </si>
  <si>
    <t>e_demand_Konz_DEU</t>
  </si>
  <si>
    <t>e_Konz_DEU</t>
  </si>
  <si>
    <t>en_chp_gas_cc_ext_Ulm_DEU</t>
  </si>
  <si>
    <t>g_Lubeck_DEU-Gustrow_DEU</t>
  </si>
  <si>
    <t>e_demand_Gustrow_DEU</t>
  </si>
  <si>
    <t>e_Gustrow_DEU</t>
  </si>
  <si>
    <t>h_Ulm_DEU</t>
  </si>
  <si>
    <t>g_Magdeburg_DEU-Eisenhuttenstadt_DEU</t>
  </si>
  <si>
    <t>e_demand_Eisenhuttenstadt_DEU</t>
  </si>
  <si>
    <t>e_Eisenhuttenstadt_DEU</t>
  </si>
  <si>
    <t>en_chp_biomass_chips_ext_Ulm_DEU</t>
  </si>
  <si>
    <t>g_Magdeburg_DEU-SchwedtOder_DEU</t>
  </si>
  <si>
    <t>e_demand_Chemnitz_DEU</t>
  </si>
  <si>
    <t>e_Chemnitz_DEU</t>
  </si>
  <si>
    <t>g_Offenburg_DEU-Cologne_DEU</t>
  </si>
  <si>
    <t>e_demand_Rheine_DEU</t>
  </si>
  <si>
    <t>e_Rheine_DEU</t>
  </si>
  <si>
    <t>en_chp_gas_cc_ext_ccs_Ulm_DEU</t>
  </si>
  <si>
    <t>g_Offenburg_DEU-Ravensburg_DEU</t>
  </si>
  <si>
    <t>ev_battery_Trier_DEU</t>
  </si>
  <si>
    <t>g_Offenburg_DEU-Saarbrucken_DEU</t>
  </si>
  <si>
    <t>ev_battery_Ulm_DEU</t>
  </si>
  <si>
    <t>en_hop_gas_boiler_Ulm_DEU</t>
  </si>
  <si>
    <t>g_Oldenburg_DEU-Elmshorn_DEU</t>
  </si>
  <si>
    <t>ev_battery_Muhldorf_DEU</t>
  </si>
  <si>
    <t>en_hop_biomass_chips_Ulm_DEU</t>
  </si>
  <si>
    <t>g_Oldenburg_DEU-Hamburg_DEU</t>
  </si>
  <si>
    <t>ev_battery_VillingenSchwennin_DEU</t>
  </si>
  <si>
    <t>en_hop_electric_boiler_Ulm_DEU</t>
  </si>
  <si>
    <t>g_Oldenburg_DEU-Wurzburg_DEU</t>
  </si>
  <si>
    <t>ev_battery_Duisburg_DEU</t>
  </si>
  <si>
    <t>g_Radebeul_DEU-Bautzen_DEU</t>
  </si>
  <si>
    <t>ev_battery_Wurzburg_DEU</t>
  </si>
  <si>
    <t>en_hp_air_10mw_Ulm_DEU</t>
  </si>
  <si>
    <t>g_Radebeul_DEU-Magdeburg_DEU</t>
  </si>
  <si>
    <t>ev_battery_Hamburg_DEU</t>
  </si>
  <si>
    <t>g_Radebeul_DEU-SchwedtOder_DEU</t>
  </si>
  <si>
    <t>ev_battery_Oldenburg_DEU</t>
  </si>
  <si>
    <t>en_gas_ccgt_Muhldorf_DEU</t>
  </si>
  <si>
    <t>g_Ravensburg_DEU-Friedrichshafen_DEU</t>
  </si>
  <si>
    <t>ev_battery_Emden_DEU</t>
  </si>
  <si>
    <t>en_gas_turbine_Muhldorf_DEU</t>
  </si>
  <si>
    <t>g_Ravensburg_DEU-VillingenSchwennin_DEU</t>
  </si>
  <si>
    <t>ev_battery_Jena_DEU</t>
  </si>
  <si>
    <t>en_gas_ccs_Muhldorf_DEU</t>
  </si>
  <si>
    <t>g_Ravensburg_DEU-Wurzburg_DEU</t>
  </si>
  <si>
    <t>ev_battery_Radebeul_DEU</t>
  </si>
  <si>
    <t>en_coal_subcritical_Muhldorf_DEU</t>
  </si>
  <si>
    <t>g_Rheine_DEU-Cologne_DEU</t>
  </si>
  <si>
    <t>ev_battery_Bautzen_DEU</t>
  </si>
  <si>
    <t>en_coal_supercritical_Muhldorf_DEU</t>
  </si>
  <si>
    <t>g_Rheine_DEU-Emden_DEU</t>
  </si>
  <si>
    <t>ev_battery_SchwedtOder_DEU</t>
  </si>
  <si>
    <t>en_coal_ultrasupercritical_Muhldorf_DEU</t>
  </si>
  <si>
    <t>g_Rheine_DEU-Oldenburg_DEU</t>
  </si>
  <si>
    <t>ev_battery_Cologne_DEU</t>
  </si>
  <si>
    <t>en_coal_igcc_Muhldorf_DEU</t>
  </si>
  <si>
    <t>g_RheinfeldenBaden_DEU-Lorrach_DEU</t>
  </si>
  <si>
    <t>ev_battery_Ravensburg_DEU</t>
  </si>
  <si>
    <t>en_nuclear_Muhldorf_DEU</t>
  </si>
  <si>
    <t>g_Trier_DEU-Cologne_DEU</t>
  </si>
  <si>
    <t>ev_battery_Magdeburg_DEU</t>
  </si>
  <si>
    <t>en_nuclear_smr_Muhldorf_DEU</t>
  </si>
  <si>
    <t>g_Trier_DEU-Saarbrucken_DEU</t>
  </si>
  <si>
    <t>ev_battery_Lubeck_DEU</t>
  </si>
  <si>
    <t>en_biomass_Muhldorf_DEU</t>
  </si>
  <si>
    <t>g_Ulm_DEU-Ravensburg_DEU</t>
  </si>
  <si>
    <t>ev_battery_Amberg_DEU</t>
  </si>
  <si>
    <t>en_chp_gas_cc_ext_Muhldorf_DEU</t>
  </si>
  <si>
    <t>g_Ulm_DEU-Weilheim_DEU</t>
  </si>
  <si>
    <t>ev_battery_Friedrichshafen_DEU</t>
  </si>
  <si>
    <t>h_Muhldorf_DEU</t>
  </si>
  <si>
    <t>g_WaldshutTiengen_DEU-Ravensburg_DEU</t>
  </si>
  <si>
    <t>ev_battery_WaldshutTiengen_DEU</t>
  </si>
  <si>
    <t>en_chp_biomass_chips_ext_Muhldorf_DEU</t>
  </si>
  <si>
    <t>g_WaldshutTiengen_DEU-VillingenSchwennin_DEU</t>
  </si>
  <si>
    <t>ev_battery_Donaueschingen_DEU</t>
  </si>
  <si>
    <t>g_Weilheim_DEU-Muhldorf_DEU</t>
  </si>
  <si>
    <t>ev_battery_Flensburg_DEU</t>
  </si>
  <si>
    <t>en_chp_gas_cc_ext_ccs_Muhldorf_DEU</t>
  </si>
  <si>
    <t>g_Wurzburg_DEU-Amberg_DEU</t>
  </si>
  <si>
    <t>ev_battery_Elmshorn_DEU</t>
  </si>
  <si>
    <t>g_Wurzburg_DEU-Jena_DEU</t>
  </si>
  <si>
    <t>ev_battery_Kempten_DEU</t>
  </si>
  <si>
    <t>en_hop_gas_boiler_Muhldorf_DEU</t>
  </si>
  <si>
    <t>g_Wurzburg_DEU-Offenburg_DEU</t>
  </si>
  <si>
    <t>ev_battery_Gorlitz_DEU</t>
  </si>
  <si>
    <t>en_hop_biomass_chips_Muhldorf_DEU</t>
  </si>
  <si>
    <t>g_Wurzburg_DEU-Rheine_DEU</t>
  </si>
  <si>
    <t>ev_battery_Weilheim_DEU</t>
  </si>
  <si>
    <t>en_hop_electric_boiler_Muhldorf_DEU</t>
  </si>
  <si>
    <t>g_Wurzburg_DEU-Ulm_DEU</t>
  </si>
  <si>
    <t>ev_battery_Offenburg_DEU</t>
  </si>
  <si>
    <t>ev_battery_Saarbrucken_DEU</t>
  </si>
  <si>
    <t>en_hp_air_10mw_Muhldorf_DEU</t>
  </si>
  <si>
    <t>ev_battery_Emmendingen_DEU</t>
  </si>
  <si>
    <t>ev_battery_FreiburgImBreisgau_DEU</t>
  </si>
  <si>
    <t>en_gas_ccgt_VillingenSchwennin_DEU</t>
  </si>
  <si>
    <t>ev_battery_RheinfeldenBaden_DEU</t>
  </si>
  <si>
    <t>en_gas_turbine_VillingenSchwennin_DEU</t>
  </si>
  <si>
    <t>ev_battery_Lorrach_DEU</t>
  </si>
  <si>
    <t>en_gas_ccs_VillingenSchwennin_DEU</t>
  </si>
  <si>
    <t>ev_battery_Konz_DEU</t>
  </si>
  <si>
    <t>en_coal_subcritical_VillingenSchwennin_DEU</t>
  </si>
  <si>
    <t>ev_battery_Gustrow_DEU</t>
  </si>
  <si>
    <t>en_coal_supercritical_VillingenSchwennin_DEU</t>
  </si>
  <si>
    <t>ev_battery_Eisenhuttenstadt_DEU</t>
  </si>
  <si>
    <t>en_coal_ultrasupercritical_VillingenSchwennin_DEU</t>
  </si>
  <si>
    <t>ev_battery_Chemnitz_DEU</t>
  </si>
  <si>
    <t>en_coal_igcc_VillingenSchwennin_DEU</t>
  </si>
  <si>
    <t>ev_battery_Rheine_DEU</t>
  </si>
  <si>
    <t>en_nuclear_VillingenSchwennin_DEU</t>
  </si>
  <si>
    <t>H2prd_Elc_PEM_Trier_DEU</t>
  </si>
  <si>
    <t>en_nuclear_smr_VillingenSchwennin_DEU</t>
  </si>
  <si>
    <t>H2prd_Elc_PEM_Ulm_DEU</t>
  </si>
  <si>
    <t>en_biomass_VillingenSchwennin_DEU</t>
  </si>
  <si>
    <t>H2prd_Elc_PEM_Muhldorf_DEU</t>
  </si>
  <si>
    <t>en_chp_gas_cc_ext_VillingenSchwennin_DEU</t>
  </si>
  <si>
    <t>H2prd_Elc_PEM_VillingenSchwennin_DEU</t>
  </si>
  <si>
    <t>h_VillingenSchwennin_DEU</t>
  </si>
  <si>
    <t>H2prd_Elc_PEM_Duisburg_DEU</t>
  </si>
  <si>
    <t>en_chp_biomass_chips_ext_VillingenSchwennin_DEU</t>
  </si>
  <si>
    <t>H2prd_Elc_PEM_Wurzburg_DEU</t>
  </si>
  <si>
    <t>H2prd_Elc_PEM_Hamburg_DEU</t>
  </si>
  <si>
    <t>en_chp_gas_cc_ext_ccs_VillingenSchwennin_DEU</t>
  </si>
  <si>
    <t>H2prd_Elc_PEM_Oldenburg_DEU</t>
  </si>
  <si>
    <t>H2prd_Elc_PEM_Emden_DEU</t>
  </si>
  <si>
    <t>en_hop_gas_boiler_VillingenSchwennin_DEU</t>
  </si>
  <si>
    <t>H2prd_Elc_PEM_Jena_DEU</t>
  </si>
  <si>
    <t>en_hop_biomass_chips_VillingenSchwennin_DEU</t>
  </si>
  <si>
    <t>H2prd_Elc_PEM_Radebeul_DEU</t>
  </si>
  <si>
    <t>en_hop_electric_boiler_VillingenSchwennin_DEU</t>
  </si>
  <si>
    <t>H2prd_Elc_PEM_Bautzen_DEU</t>
  </si>
  <si>
    <t>H2prd_Elc_PEM_SchwedtOder_DEU</t>
  </si>
  <si>
    <t>en_hp_air_10mw_VillingenSchwennin_DEU</t>
  </si>
  <si>
    <t>H2prd_Elc_PEM_Cologne_DEU</t>
  </si>
  <si>
    <t>H2prd_Elc_PEM_Ravensburg_DEU</t>
  </si>
  <si>
    <t>en_gas_ccgt_Duisburg_DEU</t>
  </si>
  <si>
    <t>H2prd_Elc_PEM_Magdeburg_DEU</t>
  </si>
  <si>
    <t>en_gas_turbine_Duisburg_DEU</t>
  </si>
  <si>
    <t>H2prd_Elc_PEM_Lubeck_DEU</t>
  </si>
  <si>
    <t>en_gas_ccs_Duisburg_DEU</t>
  </si>
  <si>
    <t>H2prd_Elc_PEM_Amberg_DEU</t>
  </si>
  <si>
    <t>en_coal_subcritical_Duisburg_DEU</t>
  </si>
  <si>
    <t>H2prd_Elc_PEM_Friedrichshafen_DEU</t>
  </si>
  <si>
    <t>en_coal_supercritical_Duisburg_DEU</t>
  </si>
  <si>
    <t>H2prd_Elc_PEM_WaldshutTiengen_DEU</t>
  </si>
  <si>
    <t>en_coal_ultrasupercritical_Duisburg_DEU</t>
  </si>
  <si>
    <t>H2prd_Elc_PEM_Donaueschingen_DEU</t>
  </si>
  <si>
    <t>en_coal_igcc_Duisburg_DEU</t>
  </si>
  <si>
    <t>H2prd_Elc_PEM_Flensburg_DEU</t>
  </si>
  <si>
    <t>en_nuclear_Duisburg_DEU</t>
  </si>
  <si>
    <t>H2prd_Elc_PEM_Elmshorn_DEU</t>
  </si>
  <si>
    <t>en_nuclear_smr_Duisburg_DEU</t>
  </si>
  <si>
    <t>H2prd_Elc_PEM_Kempten_DEU</t>
  </si>
  <si>
    <t>en_biomass_Duisburg_DEU</t>
  </si>
  <si>
    <t>H2prd_Elc_PEM_Gorlitz_DEU</t>
  </si>
  <si>
    <t>en_chp_gas_cc_ext_Duisburg_DEU</t>
  </si>
  <si>
    <t>H2prd_Elc_PEM_Weilheim_DEU</t>
  </si>
  <si>
    <t>h_Duisburg_DEU</t>
  </si>
  <si>
    <t>H2prd_Elc_PEM_Offenburg_DEU</t>
  </si>
  <si>
    <t>en_chp_biomass_chips_ext_Duisburg_DEU</t>
  </si>
  <si>
    <t>H2prd_Elc_PEM_Saarbrucken_DEU</t>
  </si>
  <si>
    <t>H2prd_Elc_PEM_Emmendingen_DEU</t>
  </si>
  <si>
    <t>en_chp_gas_cc_ext_ccs_Duisburg_DEU</t>
  </si>
  <si>
    <t>H2prd_Elc_PEM_FreiburgImBreisgau_DEU</t>
  </si>
  <si>
    <t>H2prd_Elc_PEM_RheinfeldenBaden_DEU</t>
  </si>
  <si>
    <t>en_hop_gas_boiler_Duisburg_DEU</t>
  </si>
  <si>
    <t>H2prd_Elc_PEM_Lorrach_DEU</t>
  </si>
  <si>
    <t>en_hop_biomass_chips_Duisburg_DEU</t>
  </si>
  <si>
    <t>H2prd_Elc_PEM_Konz_DEU</t>
  </si>
  <si>
    <t>en_hop_electric_boiler_Duisburg_DEU</t>
  </si>
  <si>
    <t>H2prd_Elc_PEM_Gustrow_DEU</t>
  </si>
  <si>
    <t>H2prd_Elc_PEM_Eisenhuttenstadt_DEU</t>
  </si>
  <si>
    <t>en_hp_air_10mw_Duisburg_DEU</t>
  </si>
  <si>
    <t>H2prd_Elc_PEM_Chemnitz_DEU</t>
  </si>
  <si>
    <t>H2prd_Elc_PEM_Rheine_DEU</t>
  </si>
  <si>
    <t>en_gas_ccgt_Wurzburg_DEU</t>
  </si>
  <si>
    <t>H2prd_Elc_ALK_Trier_DEU</t>
  </si>
  <si>
    <t>en_gas_turbine_Wurzburg_DEU</t>
  </si>
  <si>
    <t>H2prd_Elc_ALK_Ulm_DEU</t>
  </si>
  <si>
    <t>en_gas_ccs_Wurzburg_DEU</t>
  </si>
  <si>
    <t>H2prd_Elc_ALK_Muhldorf_DEU</t>
  </si>
  <si>
    <t>en_coal_subcritical_Wurzburg_DEU</t>
  </si>
  <si>
    <t>H2prd_Elc_ALK_VillingenSchwennin_DEU</t>
  </si>
  <si>
    <t>en_coal_supercritical_Wurzburg_DEU</t>
  </si>
  <si>
    <t>H2prd_Elc_ALK_Duisburg_DEU</t>
  </si>
  <si>
    <t>en_coal_ultrasupercritical_Wurzburg_DEU</t>
  </si>
  <si>
    <t>H2prd_Elc_ALK_Wurzburg_DEU</t>
  </si>
  <si>
    <t>en_coal_igcc_Wurzburg_DEU</t>
  </si>
  <si>
    <t>H2prd_Elc_ALK_Hamburg_DEU</t>
  </si>
  <si>
    <t>en_nuclear_Wurzburg_DEU</t>
  </si>
  <si>
    <t>H2prd_Elc_ALK_Oldenburg_DEU</t>
  </si>
  <si>
    <t>en_nuclear_smr_Wurzburg_DEU</t>
  </si>
  <si>
    <t>H2prd_Elc_ALK_Emden_DEU</t>
  </si>
  <si>
    <t>en_biomass_Wurzburg_DEU</t>
  </si>
  <si>
    <t>H2prd_Elc_ALK_Jena_DEU</t>
  </si>
  <si>
    <t>en_chp_gas_cc_ext_Wurzburg_DEU</t>
  </si>
  <si>
    <t>H2prd_Elc_ALK_Radebeul_DEU</t>
  </si>
  <si>
    <t>h_Wurzburg_DEU</t>
  </si>
  <si>
    <t>H2prd_Elc_ALK_Bautzen_DEU</t>
  </si>
  <si>
    <t>en_chp_biomass_chips_ext_Wurzburg_DEU</t>
  </si>
  <si>
    <t>H2prd_Elc_ALK_SchwedtOder_DEU</t>
  </si>
  <si>
    <t>H2prd_Elc_ALK_Cologne_DEU</t>
  </si>
  <si>
    <t>en_chp_gas_cc_ext_ccs_Wurzburg_DEU</t>
  </si>
  <si>
    <t>H2prd_Elc_ALK_Ravensburg_DEU</t>
  </si>
  <si>
    <t>H2prd_Elc_ALK_Magdeburg_DEU</t>
  </si>
  <si>
    <t>en_hop_gas_boiler_Wurzburg_DEU</t>
  </si>
  <si>
    <t>H2prd_Elc_ALK_Lubeck_DEU</t>
  </si>
  <si>
    <t>en_hop_biomass_chips_Wurzburg_DEU</t>
  </si>
  <si>
    <t>H2prd_Elc_ALK_Amberg_DEU</t>
  </si>
  <si>
    <t>en_hop_electric_boiler_Wurzburg_DEU</t>
  </si>
  <si>
    <t>H2prd_Elc_ALK_Friedrichshafen_DEU</t>
  </si>
  <si>
    <t>H2prd_Elc_ALK_WaldshutTiengen_DEU</t>
  </si>
  <si>
    <t>en_hp_air_10mw_Wurzburg_DEU</t>
  </si>
  <si>
    <t>H2prd_Elc_ALK_Donaueschingen_DEU</t>
  </si>
  <si>
    <t>H2prd_Elc_ALK_Flensburg_DEU</t>
  </si>
  <si>
    <t>en_gas_ccgt_Hamburg_DEU</t>
  </si>
  <si>
    <t>H2prd_Elc_ALK_Elmshorn_DEU</t>
  </si>
  <si>
    <t>en_gas_turbine_Hamburg_DEU</t>
  </si>
  <si>
    <t>H2prd_Elc_ALK_Kempten_DEU</t>
  </si>
  <si>
    <t>en_gas_ccs_Hamburg_DEU</t>
  </si>
  <si>
    <t>H2prd_Elc_ALK_Gorlitz_DEU</t>
  </si>
  <si>
    <t>en_coal_subcritical_Hamburg_DEU</t>
  </si>
  <si>
    <t>H2prd_Elc_ALK_Weilheim_DEU</t>
  </si>
  <si>
    <t>en_coal_supercritical_Hamburg_DEU</t>
  </si>
  <si>
    <t>H2prd_Elc_ALK_Offenburg_DEU</t>
  </si>
  <si>
    <t>en_coal_ultrasupercritical_Hamburg_DEU</t>
  </si>
  <si>
    <t>H2prd_Elc_ALK_Saarbrucken_DEU</t>
  </si>
  <si>
    <t>en_coal_igcc_Hamburg_DEU</t>
  </si>
  <si>
    <t>H2prd_Elc_ALK_Emmendingen_DEU</t>
  </si>
  <si>
    <t>en_nuclear_Hamburg_DEU</t>
  </si>
  <si>
    <t>H2prd_Elc_ALK_FreiburgImBreisgau_DEU</t>
  </si>
  <si>
    <t>en_nuclear_smr_Hamburg_DEU</t>
  </si>
  <si>
    <t>H2prd_Elc_ALK_RheinfeldenBaden_DEU</t>
  </si>
  <si>
    <t>en_biomass_Hamburg_DEU</t>
  </si>
  <si>
    <t>H2prd_Elc_ALK_Lorrach_DEU</t>
  </si>
  <si>
    <t>en_chp_gas_cc_ext_Hamburg_DEU</t>
  </si>
  <si>
    <t>H2prd_Elc_ALK_Konz_DEU</t>
  </si>
  <si>
    <t>h_Hamburg_DEU</t>
  </si>
  <si>
    <t>H2prd_Elc_ALK_Gustrow_DEU</t>
  </si>
  <si>
    <t>en_chp_biomass_chips_ext_Hamburg_DEU</t>
  </si>
  <si>
    <t>H2prd_Elc_ALK_Eisenhuttenstadt_DEU</t>
  </si>
  <si>
    <t>H2prd_Elc_ALK_Chemnitz_DEU</t>
  </si>
  <si>
    <t>en_chp_gas_cc_ext_ccs_Hamburg_DEU</t>
  </si>
  <si>
    <t>H2prd_Elc_ALK_Rheine_DEU</t>
  </si>
  <si>
    <t>h_demand_Amberg_DEU</t>
  </si>
  <si>
    <t>h_Amberg_DEU</t>
  </si>
  <si>
    <t>en_hop_gas_boiler_Hamburg_DEU</t>
  </si>
  <si>
    <t>h_demand_Cologne_DEU</t>
  </si>
  <si>
    <t>h_Cologne_DEU</t>
  </si>
  <si>
    <t>en_hop_biomass_chips_Hamburg_DEU</t>
  </si>
  <si>
    <t>h_demand_Emden_DEU</t>
  </si>
  <si>
    <t>h_Emden_DEU</t>
  </si>
  <si>
    <t>en_hop_electric_boiler_Hamburg_DEU</t>
  </si>
  <si>
    <t>h_demand_Offenburg_DEU</t>
  </si>
  <si>
    <t>h_Offenburg_DEU</t>
  </si>
  <si>
    <t>h_demand_Wurzburg_DEU</t>
  </si>
  <si>
    <t>en_hp_air_10mw_Hamburg_DEU</t>
  </si>
  <si>
    <t>h_demand_SchwedtOder_DEU</t>
  </si>
  <si>
    <t>h_SchwedtOder_DEU</t>
  </si>
  <si>
    <t>h_demand_Oldenburg_DEU</t>
  </si>
  <si>
    <t>h_Oldenburg_DEU</t>
  </si>
  <si>
    <t>en_gas_ccgt_Oldenburg_DEU</t>
  </si>
  <si>
    <t>h_demand_Duisburg_DEU</t>
  </si>
  <si>
    <t>en_gas_turbine_Oldenburg_DEU</t>
  </si>
  <si>
    <t>h_demand_Magdeburg_DEU</t>
  </si>
  <si>
    <t>h_Magdeburg_DEU</t>
  </si>
  <si>
    <t>en_gas_ccs_Oldenburg_DEU</t>
  </si>
  <si>
    <t>h_demand_Eisenhuttenstadt_DEU</t>
  </si>
  <si>
    <t>h_Eisenhuttenstadt_DEU</t>
  </si>
  <si>
    <t>en_coal_subcritical_Oldenburg_DEU</t>
  </si>
  <si>
    <t>h_demand_Jena_DEU</t>
  </si>
  <si>
    <t>h_Jena_DEU</t>
  </si>
  <si>
    <t>en_coal_supercritical_Oldenburg_DEU</t>
  </si>
  <si>
    <t>h_demand_Elmshorn_DEU</t>
  </si>
  <si>
    <t>h_Elmshorn_DEU</t>
  </si>
  <si>
    <t>en_coal_ultrasupercritical_Oldenburg_DEU</t>
  </si>
  <si>
    <t>h_demand_Hamburg_DEU</t>
  </si>
  <si>
    <t>en_coal_igcc_Oldenburg_DEU</t>
  </si>
  <si>
    <t>h_demand_Bautzen_DEU</t>
  </si>
  <si>
    <t>h_Bautzen_DEU</t>
  </si>
  <si>
    <t>en_nuclear_Oldenburg_DEU</t>
  </si>
  <si>
    <t>h_demand_Gustrow_DEU</t>
  </si>
  <si>
    <t>h_Gustrow_DEU</t>
  </si>
  <si>
    <t>en_nuclear_smr_Oldenburg_DEU</t>
  </si>
  <si>
    <t>h_demand_Weilheim_DEU</t>
  </si>
  <si>
    <t>h_Weilheim_DEU</t>
  </si>
  <si>
    <t>en_biomass_Oldenburg_DEU</t>
  </si>
  <si>
    <t>h_demand_Lubeck_DEU</t>
  </si>
  <si>
    <t>h_Lubeck_DEU</t>
  </si>
  <si>
    <t>en_chp_gas_cc_ext_Oldenburg_DEU</t>
  </si>
  <si>
    <t>h_demand_Saarbrucken_DEU</t>
  </si>
  <si>
    <t>h_Saarbrucken_DEU</t>
  </si>
  <si>
    <t>h_demand_Rheine_DEU</t>
  </si>
  <si>
    <t>h_Rheine_DEU</t>
  </si>
  <si>
    <t>en_chp_biomass_chips_ext_Oldenburg_DEU</t>
  </si>
  <si>
    <t>h_demand_Ulm_DEU</t>
  </si>
  <si>
    <t>h_demand_Ravensburg_DEU</t>
  </si>
  <si>
    <t>h_Ravensburg_DEU</t>
  </si>
  <si>
    <t>en_chp_gas_cc_ext_ccs_Oldenburg_DEU</t>
  </si>
  <si>
    <t>h_demand_Chemnitz_DEU</t>
  </si>
  <si>
    <t>h_Chemnitz_DEU</t>
  </si>
  <si>
    <t>h_demand_Muhldorf_DEU</t>
  </si>
  <si>
    <t>en_hop_gas_boiler_Oldenburg_DEU</t>
  </si>
  <si>
    <t>h_demand_Radebeul_DEU</t>
  </si>
  <si>
    <t>h_Radebeul_DEU</t>
  </si>
  <si>
    <t>en_hop_biomass_chips_Oldenburg_DEU</t>
  </si>
  <si>
    <t>h_demand_Flensburg_DEU</t>
  </si>
  <si>
    <t>h_Flensburg_DEU</t>
  </si>
  <si>
    <t>en_hop_electric_boiler_Oldenburg_DEU</t>
  </si>
  <si>
    <t>h_demand_FreiburgImBreisgau_DEU</t>
  </si>
  <si>
    <t>h_FreiburgImBreisgau_DEU</t>
  </si>
  <si>
    <t>h_demand_RheinfeldenBaden_DEU</t>
  </si>
  <si>
    <t>h_RheinfeldenBaden_DEU</t>
  </si>
  <si>
    <t>en_hp_air_10mw_Oldenburg_DEU</t>
  </si>
  <si>
    <t>h_demand_Kempten_DEU</t>
  </si>
  <si>
    <t>h_Kempten_DEU</t>
  </si>
  <si>
    <t>en_gas_ccgt_Emden_DEU</t>
  </si>
  <si>
    <t>en_gas_turbine_Emden_DEU</t>
  </si>
  <si>
    <t>en_gas_ccs_Emden_DEU</t>
  </si>
  <si>
    <t>en_coal_subcritical_Emden_DEU</t>
  </si>
  <si>
    <t>en_coal_supercritical_Emden_DEU</t>
  </si>
  <si>
    <t>en_coal_ultrasupercritical_Emden_DEU</t>
  </si>
  <si>
    <t>en_coal_igcc_Emden_DEU</t>
  </si>
  <si>
    <t>en_nuclear_Emden_DEU</t>
  </si>
  <si>
    <t>en_nuclear_smr_Emden_DEU</t>
  </si>
  <si>
    <t>en_biomass_Emden_DEU</t>
  </si>
  <si>
    <t>en_chp_gas_cc_ext_Emden_DEU</t>
  </si>
  <si>
    <t>en_chp_biomass_chips_ext_Emden_DEU</t>
  </si>
  <si>
    <t>en_chp_gas_cc_ext_ccs_Emden_DEU</t>
  </si>
  <si>
    <t>en_hop_gas_boiler_Emden_DEU</t>
  </si>
  <si>
    <t>en_hop_biomass_chips_Emden_DEU</t>
  </si>
  <si>
    <t>en_hop_electric_boiler_Emden_DEU</t>
  </si>
  <si>
    <t>en_hp_air_10mw_Emden_DEU</t>
  </si>
  <si>
    <t>en_gas_ccgt_Jena_DEU</t>
  </si>
  <si>
    <t>en_gas_turbine_Jena_DEU</t>
  </si>
  <si>
    <t>en_gas_ccs_Jena_DEU</t>
  </si>
  <si>
    <t>en_coal_subcritical_Jena_DEU</t>
  </si>
  <si>
    <t>en_coal_supercritical_Jena_DEU</t>
  </si>
  <si>
    <t>en_coal_ultrasupercritical_Jena_DEU</t>
  </si>
  <si>
    <t>en_coal_igcc_Jena_DEU</t>
  </si>
  <si>
    <t>en_nuclear_Jena_DEU</t>
  </si>
  <si>
    <t>en_nuclear_smr_Jena_DEU</t>
  </si>
  <si>
    <t>en_biomass_Jena_DEU</t>
  </si>
  <si>
    <t>en_chp_gas_cc_ext_Jena_DEU</t>
  </si>
  <si>
    <t>en_chp_biomass_chips_ext_Jena_DEU</t>
  </si>
  <si>
    <t>en_chp_gas_cc_ext_ccs_Jena_DEU</t>
  </si>
  <si>
    <t>en_hop_gas_boiler_Jena_DEU</t>
  </si>
  <si>
    <t>en_hop_biomass_chips_Jena_DEU</t>
  </si>
  <si>
    <t>en_hop_electric_boiler_Jena_DEU</t>
  </si>
  <si>
    <t>en_hp_air_10mw_Jena_DEU</t>
  </si>
  <si>
    <t>en_gas_ccgt_Radebeul_DEU</t>
  </si>
  <si>
    <t>en_gas_turbine_Radebeul_DEU</t>
  </si>
  <si>
    <t>en_gas_ccs_Radebeul_DEU</t>
  </si>
  <si>
    <t>en_coal_subcritical_Radebeul_DEU</t>
  </si>
  <si>
    <t>en_coal_supercritical_Radebeul_DEU</t>
  </si>
  <si>
    <t>en_coal_ultrasupercritical_Radebeul_DEU</t>
  </si>
  <si>
    <t>en_coal_igcc_Radebeul_DEU</t>
  </si>
  <si>
    <t>en_nuclear_Radebeul_DEU</t>
  </si>
  <si>
    <t>en_nuclear_smr_Radebeul_DEU</t>
  </si>
  <si>
    <t>en_biomass_Radebeul_DEU</t>
  </si>
  <si>
    <t>en_chp_gas_cc_ext_Radebeul_DEU</t>
  </si>
  <si>
    <t>en_chp_biomass_chips_ext_Radebeul_DEU</t>
  </si>
  <si>
    <t>en_chp_gas_cc_ext_ccs_Radebeul_DEU</t>
  </si>
  <si>
    <t>en_hop_gas_boiler_Radebeul_DEU</t>
  </si>
  <si>
    <t>en_hop_biomass_chips_Radebeul_DEU</t>
  </si>
  <si>
    <t>en_hop_electric_boiler_Radebeul_DEU</t>
  </si>
  <si>
    <t>en_hp_air_10mw_Radebeul_DEU</t>
  </si>
  <si>
    <t>en_gas_ccgt_Bautzen_DEU</t>
  </si>
  <si>
    <t>en_gas_turbine_Bautzen_DEU</t>
  </si>
  <si>
    <t>en_gas_ccs_Bautzen_DEU</t>
  </si>
  <si>
    <t>en_coal_subcritical_Bautzen_DEU</t>
  </si>
  <si>
    <t>en_coal_supercritical_Bautzen_DEU</t>
  </si>
  <si>
    <t>en_coal_ultrasupercritical_Bautzen_DEU</t>
  </si>
  <si>
    <t>en_coal_igcc_Bautzen_DEU</t>
  </si>
  <si>
    <t>en_nuclear_Bautzen_DEU</t>
  </si>
  <si>
    <t>en_nuclear_smr_Bautzen_DEU</t>
  </si>
  <si>
    <t>en_biomass_Bautzen_DEU</t>
  </si>
  <si>
    <t>en_chp_gas_cc_ext_Bautzen_DEU</t>
  </si>
  <si>
    <t>en_chp_biomass_chips_ext_Bautzen_DEU</t>
  </si>
  <si>
    <t>en_chp_gas_cc_ext_ccs_Bautzen_DEU</t>
  </si>
  <si>
    <t>en_hop_gas_boiler_Bautzen_DEU</t>
  </si>
  <si>
    <t>en_hop_biomass_chips_Bautzen_DEU</t>
  </si>
  <si>
    <t>en_hop_electric_boiler_Bautzen_DEU</t>
  </si>
  <si>
    <t>en_hp_air_10mw_Bautzen_DEU</t>
  </si>
  <si>
    <t>en_gas_ccgt_SchwedtOder_DEU</t>
  </si>
  <si>
    <t>en_gas_turbine_SchwedtOder_DEU</t>
  </si>
  <si>
    <t>en_gas_ccs_SchwedtOder_DEU</t>
  </si>
  <si>
    <t>en_coal_subcritical_SchwedtOder_DEU</t>
  </si>
  <si>
    <t>en_coal_supercritical_SchwedtOder_DEU</t>
  </si>
  <si>
    <t>en_coal_ultrasupercritical_SchwedtOder_DEU</t>
  </si>
  <si>
    <t>en_coal_igcc_SchwedtOder_DEU</t>
  </si>
  <si>
    <t>en_nuclear_SchwedtOder_DEU</t>
  </si>
  <si>
    <t>en_nuclear_smr_SchwedtOder_DEU</t>
  </si>
  <si>
    <t>en_biomass_SchwedtOder_DEU</t>
  </si>
  <si>
    <t>en_chp_gas_cc_ext_SchwedtOder_DEU</t>
  </si>
  <si>
    <t>en_chp_biomass_chips_ext_SchwedtOder_DEU</t>
  </si>
  <si>
    <t>en_chp_gas_cc_ext_ccs_SchwedtOder_DEU</t>
  </si>
  <si>
    <t>en_hop_gas_boiler_SchwedtOder_DEU</t>
  </si>
  <si>
    <t>en_hop_biomass_chips_SchwedtOder_DEU</t>
  </si>
  <si>
    <t>en_hop_electric_boiler_SchwedtOder_DEU</t>
  </si>
  <si>
    <t>en_hp_air_10mw_SchwedtOder_DEU</t>
  </si>
  <si>
    <t>en_gas_ccgt_Cologne_DEU</t>
  </si>
  <si>
    <t>en_gas_turbine_Cologne_DEU</t>
  </si>
  <si>
    <t>en_gas_ccs_Cologne_DEU</t>
  </si>
  <si>
    <t>en_coal_subcritical_Cologne_DEU</t>
  </si>
  <si>
    <t>en_coal_supercritical_Cologne_DEU</t>
  </si>
  <si>
    <t>en_coal_ultrasupercritical_Cologne_DEU</t>
  </si>
  <si>
    <t>en_coal_igcc_Cologne_DEU</t>
  </si>
  <si>
    <t>en_nuclear_Cologne_DEU</t>
  </si>
  <si>
    <t>en_nuclear_smr_Cologne_DEU</t>
  </si>
  <si>
    <t>en_biomass_Cologne_DEU</t>
  </si>
  <si>
    <t>en_chp_gas_cc_ext_Cologne_DEU</t>
  </si>
  <si>
    <t>en_chp_biomass_chips_ext_Cologne_DEU</t>
  </si>
  <si>
    <t>en_chp_gas_cc_ext_ccs_Cologne_DEU</t>
  </si>
  <si>
    <t>en_hop_gas_boiler_Cologne_DEU</t>
  </si>
  <si>
    <t>en_hop_biomass_chips_Cologne_DEU</t>
  </si>
  <si>
    <t>en_hop_electric_boiler_Cologne_DEU</t>
  </si>
  <si>
    <t>en_hp_air_10mw_Cologne_DEU</t>
  </si>
  <si>
    <t>en_gas_ccgt_Ravensburg_DEU</t>
  </si>
  <si>
    <t>en_gas_turbine_Ravensburg_DEU</t>
  </si>
  <si>
    <t>en_gas_ccs_Ravensburg_DEU</t>
  </si>
  <si>
    <t>en_coal_subcritical_Ravensburg_DEU</t>
  </si>
  <si>
    <t>en_coal_supercritical_Ravensburg_DEU</t>
  </si>
  <si>
    <t>en_coal_ultrasupercritical_Ravensburg_DEU</t>
  </si>
  <si>
    <t>en_coal_igcc_Ravensburg_DEU</t>
  </si>
  <si>
    <t>en_nuclear_Ravensburg_DEU</t>
  </si>
  <si>
    <t>en_nuclear_smr_Ravensburg_DEU</t>
  </si>
  <si>
    <t>en_biomass_Ravensburg_DEU</t>
  </si>
  <si>
    <t>en_chp_gas_cc_ext_Ravensburg_DEU</t>
  </si>
  <si>
    <t>en_chp_biomass_chips_ext_Ravensburg_DEU</t>
  </si>
  <si>
    <t>en_chp_gas_cc_ext_ccs_Ravensburg_DEU</t>
  </si>
  <si>
    <t>en_hop_gas_boiler_Ravensburg_DEU</t>
  </si>
  <si>
    <t>en_hop_biomass_chips_Ravensburg_DEU</t>
  </si>
  <si>
    <t>en_hop_electric_boiler_Ravensburg_DEU</t>
  </si>
  <si>
    <t>en_hp_air_10mw_Ravensburg_DEU</t>
  </si>
  <si>
    <t>en_gas_ccgt_Magdeburg_DEU</t>
  </si>
  <si>
    <t>en_gas_turbine_Magdeburg_DEU</t>
  </si>
  <si>
    <t>en_gas_ccs_Magdeburg_DEU</t>
  </si>
  <si>
    <t>en_coal_subcritical_Magdeburg_DEU</t>
  </si>
  <si>
    <t>en_coal_supercritical_Magdeburg_DEU</t>
  </si>
  <si>
    <t>en_coal_ultrasupercritical_Magdeburg_DEU</t>
  </si>
  <si>
    <t>en_coal_igcc_Magdeburg_DEU</t>
  </si>
  <si>
    <t>en_nuclear_Magdeburg_DEU</t>
  </si>
  <si>
    <t>en_nuclear_smr_Magdeburg_DEU</t>
  </si>
  <si>
    <t>en_biomass_Magdeburg_DEU</t>
  </si>
  <si>
    <t>en_chp_gas_cc_ext_Magdeburg_DEU</t>
  </si>
  <si>
    <t>en_chp_biomass_chips_ext_Magdeburg_DEU</t>
  </si>
  <si>
    <t>en_chp_gas_cc_ext_ccs_Magdeburg_DEU</t>
  </si>
  <si>
    <t>en_hop_gas_boiler_Magdeburg_DEU</t>
  </si>
  <si>
    <t>en_hop_biomass_chips_Magdeburg_DEU</t>
  </si>
  <si>
    <t>en_hop_electric_boiler_Magdeburg_DEU</t>
  </si>
  <si>
    <t>en_hp_air_10mw_Magdeburg_DEU</t>
  </si>
  <si>
    <t>en_gas_ccgt_Lubeck_DEU</t>
  </si>
  <si>
    <t>en_gas_turbine_Lubeck_DEU</t>
  </si>
  <si>
    <t>en_gas_ccs_Lubeck_DEU</t>
  </si>
  <si>
    <t>en_coal_subcritical_Lubeck_DEU</t>
  </si>
  <si>
    <t>en_coal_supercritical_Lubeck_DEU</t>
  </si>
  <si>
    <t>en_coal_ultrasupercritical_Lubeck_DEU</t>
  </si>
  <si>
    <t>en_coal_igcc_Lubeck_DEU</t>
  </si>
  <si>
    <t>en_nuclear_Lubeck_DEU</t>
  </si>
  <si>
    <t>en_nuclear_smr_Lubeck_DEU</t>
  </si>
  <si>
    <t>en_biomass_Lubeck_DEU</t>
  </si>
  <si>
    <t>en_chp_gas_cc_ext_Lubeck_DEU</t>
  </si>
  <si>
    <t>en_chp_biomass_chips_ext_Lubeck_DEU</t>
  </si>
  <si>
    <t>en_chp_gas_cc_ext_ccs_Lubeck_DEU</t>
  </si>
  <si>
    <t>en_hop_gas_boiler_Lubeck_DEU</t>
  </si>
  <si>
    <t>en_hop_biomass_chips_Lubeck_DEU</t>
  </si>
  <si>
    <t>en_hop_electric_boiler_Lubeck_DEU</t>
  </si>
  <si>
    <t>en_hp_air_10mw_Lubeck_DEU</t>
  </si>
  <si>
    <t>en_gas_ccgt_Amberg_DEU</t>
  </si>
  <si>
    <t>en_gas_turbine_Amberg_DEU</t>
  </si>
  <si>
    <t>en_gas_ccs_Amberg_DEU</t>
  </si>
  <si>
    <t>en_coal_subcritical_Amberg_DEU</t>
  </si>
  <si>
    <t>en_coal_supercritical_Amberg_DEU</t>
  </si>
  <si>
    <t>en_coal_ultrasupercritical_Amberg_DEU</t>
  </si>
  <si>
    <t>en_coal_igcc_Amberg_DEU</t>
  </si>
  <si>
    <t>en_nuclear_Amberg_DEU</t>
  </si>
  <si>
    <t>en_nuclear_smr_Amberg_DEU</t>
  </si>
  <si>
    <t>en_biomass_Amberg_DEU</t>
  </si>
  <si>
    <t>en_chp_gas_cc_ext_Amberg_DEU</t>
  </si>
  <si>
    <t>en_chp_biomass_chips_ext_Amberg_DEU</t>
  </si>
  <si>
    <t>en_chp_gas_cc_ext_ccs_Amberg_DEU</t>
  </si>
  <si>
    <t>en_hop_gas_boiler_Amberg_DEU</t>
  </si>
  <si>
    <t>en_hop_biomass_chips_Amberg_DEU</t>
  </si>
  <si>
    <t>en_hop_electric_boiler_Amberg_DEU</t>
  </si>
  <si>
    <t>en_hp_air_10mw_Amberg_DEU</t>
  </si>
  <si>
    <t>en_gas_ccgt_Friedrichshafen_DEU</t>
  </si>
  <si>
    <t>en_gas_turbine_Friedrichshafen_DEU</t>
  </si>
  <si>
    <t>en_gas_ccs_Friedrichshafen_DEU</t>
  </si>
  <si>
    <t>en_coal_subcritical_Friedrichshafen_DEU</t>
  </si>
  <si>
    <t>en_coal_supercritical_Friedrichshafen_DEU</t>
  </si>
  <si>
    <t>en_coal_ultrasupercritical_Friedrichshafen_DEU</t>
  </si>
  <si>
    <t>en_coal_igcc_Friedrichshafen_DEU</t>
  </si>
  <si>
    <t>en_nuclear_Friedrichshafen_DEU</t>
  </si>
  <si>
    <t>en_nuclear_smr_Friedrichshafen_DEU</t>
  </si>
  <si>
    <t>en_biomass_Friedrichshafen_DEU</t>
  </si>
  <si>
    <t>en_chp_gas_cc_ext_Friedrichshafen_DEU</t>
  </si>
  <si>
    <t>h_Friedrichshafen_DEU</t>
  </si>
  <si>
    <t>en_chp_biomass_chips_ext_Friedrichshafen_DEU</t>
  </si>
  <si>
    <t>en_chp_gas_cc_ext_ccs_Friedrichshafen_DEU</t>
  </si>
  <si>
    <t>en_hop_gas_boiler_Friedrichshafen_DEU</t>
  </si>
  <si>
    <t>en_hop_biomass_chips_Friedrichshafen_DEU</t>
  </si>
  <si>
    <t>en_hop_electric_boiler_Friedrichshafen_DEU</t>
  </si>
  <si>
    <t>en_hp_air_10mw_Friedrichshafen_DEU</t>
  </si>
  <si>
    <t>en_gas_ccgt_WaldshutTiengen_DEU</t>
  </si>
  <si>
    <t>en_gas_turbine_WaldshutTiengen_DEU</t>
  </si>
  <si>
    <t>en_gas_ccs_WaldshutTiengen_DEU</t>
  </si>
  <si>
    <t>en_coal_subcritical_WaldshutTiengen_DEU</t>
  </si>
  <si>
    <t>en_coal_supercritical_WaldshutTiengen_DEU</t>
  </si>
  <si>
    <t>en_coal_ultrasupercritical_WaldshutTiengen_DEU</t>
  </si>
  <si>
    <t>en_coal_igcc_WaldshutTiengen_DEU</t>
  </si>
  <si>
    <t>en_nuclear_WaldshutTiengen_DEU</t>
  </si>
  <si>
    <t>en_nuclear_smr_WaldshutTiengen_DEU</t>
  </si>
  <si>
    <t>en_biomass_WaldshutTiengen_DEU</t>
  </si>
  <si>
    <t>en_chp_gas_cc_ext_WaldshutTiengen_DEU</t>
  </si>
  <si>
    <t>h_WaldshutTiengen_DEU</t>
  </si>
  <si>
    <t>en_chp_biomass_chips_ext_WaldshutTiengen_DEU</t>
  </si>
  <si>
    <t>en_chp_gas_cc_ext_ccs_WaldshutTiengen_DEU</t>
  </si>
  <si>
    <t>en_hop_gas_boiler_WaldshutTiengen_DEU</t>
  </si>
  <si>
    <t>en_hop_biomass_chips_WaldshutTiengen_DEU</t>
  </si>
  <si>
    <t>en_hop_electric_boiler_WaldshutTiengen_DEU</t>
  </si>
  <si>
    <t>en_hp_air_10mw_WaldshutTiengen_DEU</t>
  </si>
  <si>
    <t>en_gas_ccgt_Donaueschingen_DEU</t>
  </si>
  <si>
    <t>en_gas_turbine_Donaueschingen_DEU</t>
  </si>
  <si>
    <t>en_gas_ccs_Donaueschingen_DEU</t>
  </si>
  <si>
    <t>en_coal_subcritical_Donaueschingen_DEU</t>
  </si>
  <si>
    <t>en_coal_supercritical_Donaueschingen_DEU</t>
  </si>
  <si>
    <t>en_coal_ultrasupercritical_Donaueschingen_DEU</t>
  </si>
  <si>
    <t>en_coal_igcc_Donaueschingen_DEU</t>
  </si>
  <si>
    <t>en_nuclear_Donaueschingen_DEU</t>
  </si>
  <si>
    <t>en_nuclear_smr_Donaueschingen_DEU</t>
  </si>
  <si>
    <t>en_biomass_Donaueschingen_DEU</t>
  </si>
  <si>
    <t>en_chp_gas_cc_ext_Donaueschingen_DEU</t>
  </si>
  <si>
    <t>h_Donaueschingen_DEU</t>
  </si>
  <si>
    <t>en_chp_biomass_chips_ext_Donaueschingen_DEU</t>
  </si>
  <si>
    <t>en_chp_gas_cc_ext_ccs_Donaueschingen_DEU</t>
  </si>
  <si>
    <t>en_hop_gas_boiler_Donaueschingen_DEU</t>
  </si>
  <si>
    <t>en_hop_biomass_chips_Donaueschingen_DEU</t>
  </si>
  <si>
    <t>en_hop_electric_boiler_Donaueschingen_DEU</t>
  </si>
  <si>
    <t>en_hp_air_10mw_Donaueschingen_DEU</t>
  </si>
  <si>
    <t>en_gas_ccgt_Flensburg_DEU</t>
  </si>
  <si>
    <t>en_gas_turbine_Flensburg_DEU</t>
  </si>
  <si>
    <t>en_gas_ccs_Flensburg_DEU</t>
  </si>
  <si>
    <t>en_coal_subcritical_Flensburg_DEU</t>
  </si>
  <si>
    <t>en_coal_supercritical_Flensburg_DEU</t>
  </si>
  <si>
    <t>en_coal_ultrasupercritical_Flensburg_DEU</t>
  </si>
  <si>
    <t>en_coal_igcc_Flensburg_DEU</t>
  </si>
  <si>
    <t>en_nuclear_Flensburg_DEU</t>
  </si>
  <si>
    <t>en_nuclear_smr_Flensburg_DEU</t>
  </si>
  <si>
    <t>en_biomass_Flensburg_DEU</t>
  </si>
  <si>
    <t>en_chp_gas_cc_ext_Flensburg_DEU</t>
  </si>
  <si>
    <t>en_chp_biomass_chips_ext_Flensburg_DEU</t>
  </si>
  <si>
    <t>en_chp_gas_cc_ext_ccs_Flensburg_DEU</t>
  </si>
  <si>
    <t>en_hop_gas_boiler_Flensburg_DEU</t>
  </si>
  <si>
    <t>en_hop_biomass_chips_Flensburg_DEU</t>
  </si>
  <si>
    <t>en_hop_electric_boiler_Flensburg_DEU</t>
  </si>
  <si>
    <t>en_hp_air_10mw_Flensburg_DEU</t>
  </si>
  <si>
    <t>en_gas_ccgt_Elmshorn_DEU</t>
  </si>
  <si>
    <t>en_gas_turbine_Elmshorn_DEU</t>
  </si>
  <si>
    <t>en_gas_ccs_Elmshorn_DEU</t>
  </si>
  <si>
    <t>en_coal_subcritical_Elmshorn_DEU</t>
  </si>
  <si>
    <t>en_coal_supercritical_Elmshorn_DEU</t>
  </si>
  <si>
    <t>en_coal_ultrasupercritical_Elmshorn_DEU</t>
  </si>
  <si>
    <t>en_coal_igcc_Elmshorn_DEU</t>
  </si>
  <si>
    <t>en_nuclear_Elmshorn_DEU</t>
  </si>
  <si>
    <t>en_nuclear_smr_Elmshorn_DEU</t>
  </si>
  <si>
    <t>en_biomass_Elmshorn_DEU</t>
  </si>
  <si>
    <t>en_chp_gas_cc_ext_Elmshorn_DEU</t>
  </si>
  <si>
    <t>en_chp_biomass_chips_ext_Elmshorn_DEU</t>
  </si>
  <si>
    <t>en_chp_gas_cc_ext_ccs_Elmshorn_DEU</t>
  </si>
  <si>
    <t>en_hop_gas_boiler_Elmshorn_DEU</t>
  </si>
  <si>
    <t>en_hop_biomass_chips_Elmshorn_DEU</t>
  </si>
  <si>
    <t>en_hop_electric_boiler_Elmshorn_DEU</t>
  </si>
  <si>
    <t>en_hp_air_10mw_Elmshorn_DEU</t>
  </si>
  <si>
    <t>en_gas_ccgt_Kempten_DEU</t>
  </si>
  <si>
    <t>en_gas_turbine_Kempten_DEU</t>
  </si>
  <si>
    <t>en_gas_ccs_Kempten_DEU</t>
  </si>
  <si>
    <t>en_coal_subcritical_Kempten_DEU</t>
  </si>
  <si>
    <t>en_coal_supercritical_Kempten_DEU</t>
  </si>
  <si>
    <t>en_coal_ultrasupercritical_Kempten_DEU</t>
  </si>
  <si>
    <t>en_coal_igcc_Kempten_DEU</t>
  </si>
  <si>
    <t>en_nuclear_Kempten_DEU</t>
  </si>
  <si>
    <t>en_nuclear_smr_Kempten_DEU</t>
  </si>
  <si>
    <t>en_biomass_Kempten_DEU</t>
  </si>
  <si>
    <t>en_chp_gas_cc_ext_Kempten_DEU</t>
  </si>
  <si>
    <t>en_chp_biomass_chips_ext_Kempten_DEU</t>
  </si>
  <si>
    <t>en_chp_gas_cc_ext_ccs_Kempten_DEU</t>
  </si>
  <si>
    <t>en_hop_gas_boiler_Kempten_DEU</t>
  </si>
  <si>
    <t>en_hop_biomass_chips_Kempten_DEU</t>
  </si>
  <si>
    <t>en_hop_electric_boiler_Kempten_DEU</t>
  </si>
  <si>
    <t>en_hp_air_10mw_Kempten_DEU</t>
  </si>
  <si>
    <t>en_gas_ccgt_Gorlitz_DEU</t>
  </si>
  <si>
    <t>en_gas_turbine_Gorlitz_DEU</t>
  </si>
  <si>
    <t>en_gas_ccs_Gorlitz_DEU</t>
  </si>
  <si>
    <t>en_coal_subcritical_Gorlitz_DEU</t>
  </si>
  <si>
    <t>en_coal_supercritical_Gorlitz_DEU</t>
  </si>
  <si>
    <t>en_coal_ultrasupercritical_Gorlitz_DEU</t>
  </si>
  <si>
    <t>en_coal_igcc_Gorlitz_DEU</t>
  </si>
  <si>
    <t>en_nuclear_Gorlitz_DEU</t>
  </si>
  <si>
    <t>en_nuclear_smr_Gorlitz_DEU</t>
  </si>
  <si>
    <t>en_biomass_Gorlitz_DEU</t>
  </si>
  <si>
    <t>en_chp_gas_cc_ext_Gorlitz_DEU</t>
  </si>
  <si>
    <t>h_Gorlitz_DEU</t>
  </si>
  <si>
    <t>en_chp_biomass_chips_ext_Gorlitz_DEU</t>
  </si>
  <si>
    <t>en_chp_gas_cc_ext_ccs_Gorlitz_DEU</t>
  </si>
  <si>
    <t>en_hop_gas_boiler_Gorlitz_DEU</t>
  </si>
  <si>
    <t>en_hop_biomass_chips_Gorlitz_DEU</t>
  </si>
  <si>
    <t>en_hop_electric_boiler_Gorlitz_DEU</t>
  </si>
  <si>
    <t>en_hp_air_10mw_Gorlitz_DEU</t>
  </si>
  <si>
    <t>en_gas_ccgt_Weilheim_DEU</t>
  </si>
  <si>
    <t>en_gas_turbine_Weilheim_DEU</t>
  </si>
  <si>
    <t>en_gas_ccs_Weilheim_DEU</t>
  </si>
  <si>
    <t>en_coal_subcritical_Weilheim_DEU</t>
  </si>
  <si>
    <t>en_coal_supercritical_Weilheim_DEU</t>
  </si>
  <si>
    <t>en_coal_ultrasupercritical_Weilheim_DEU</t>
  </si>
  <si>
    <t>en_coal_igcc_Weilheim_DEU</t>
  </si>
  <si>
    <t>en_nuclear_Weilheim_DEU</t>
  </si>
  <si>
    <t>en_nuclear_smr_Weilheim_DEU</t>
  </si>
  <si>
    <t>en_biomass_Weilheim_DEU</t>
  </si>
  <si>
    <t>en_chp_gas_cc_ext_Weilheim_DEU</t>
  </si>
  <si>
    <t>en_chp_biomass_chips_ext_Weilheim_DEU</t>
  </si>
  <si>
    <t>en_chp_gas_cc_ext_ccs_Weilheim_DEU</t>
  </si>
  <si>
    <t>en_hop_gas_boiler_Weilheim_DEU</t>
  </si>
  <si>
    <t>en_hop_biomass_chips_Weilheim_DEU</t>
  </si>
  <si>
    <t>en_hop_electric_boiler_Weilheim_DEU</t>
  </si>
  <si>
    <t>en_hp_air_10mw_Weilheim_DEU</t>
  </si>
  <si>
    <t>en_gas_ccgt_Offenburg_DEU</t>
  </si>
  <si>
    <t>en_gas_turbine_Offenburg_DEU</t>
  </si>
  <si>
    <t>en_gas_ccs_Offenburg_DEU</t>
  </si>
  <si>
    <t>en_coal_subcritical_Offenburg_DEU</t>
  </si>
  <si>
    <t>en_coal_supercritical_Offenburg_DEU</t>
  </si>
  <si>
    <t>en_coal_ultrasupercritical_Offenburg_DEU</t>
  </si>
  <si>
    <t>en_coal_igcc_Offenburg_DEU</t>
  </si>
  <si>
    <t>en_nuclear_Offenburg_DEU</t>
  </si>
  <si>
    <t>en_nuclear_smr_Offenburg_DEU</t>
  </si>
  <si>
    <t>en_biomass_Offenburg_DEU</t>
  </si>
  <si>
    <t>en_chp_gas_cc_ext_Offenburg_DEU</t>
  </si>
  <si>
    <t>en_chp_biomass_chips_ext_Offenburg_DEU</t>
  </si>
  <si>
    <t>en_chp_gas_cc_ext_ccs_Offenburg_DEU</t>
  </si>
  <si>
    <t>en_hop_gas_boiler_Offenburg_DEU</t>
  </si>
  <si>
    <t>en_hop_biomass_chips_Offenburg_DEU</t>
  </si>
  <si>
    <t>en_hop_electric_boiler_Offenburg_DEU</t>
  </si>
  <si>
    <t>en_hp_air_10mw_Offenburg_DEU</t>
  </si>
  <si>
    <t>en_gas_ccgt_Saarbrucken_DEU</t>
  </si>
  <si>
    <t>en_gas_turbine_Saarbrucken_DEU</t>
  </si>
  <si>
    <t>en_gas_ccs_Saarbrucken_DEU</t>
  </si>
  <si>
    <t>en_coal_subcritical_Saarbrucken_DEU</t>
  </si>
  <si>
    <t>en_coal_supercritical_Saarbrucken_DEU</t>
  </si>
  <si>
    <t>en_coal_ultrasupercritical_Saarbrucken_DEU</t>
  </si>
  <si>
    <t>en_coal_igcc_Saarbrucken_DEU</t>
  </si>
  <si>
    <t>en_nuclear_Saarbrucken_DEU</t>
  </si>
  <si>
    <t>en_nuclear_smr_Saarbrucken_DEU</t>
  </si>
  <si>
    <t>en_biomass_Saarbrucken_DEU</t>
  </si>
  <si>
    <t>en_chp_gas_cc_ext_Saarbrucken_DEU</t>
  </si>
  <si>
    <t>en_chp_biomass_chips_ext_Saarbrucken_DEU</t>
  </si>
  <si>
    <t>en_chp_gas_cc_ext_ccs_Saarbrucken_DEU</t>
  </si>
  <si>
    <t>en_hop_gas_boiler_Saarbrucken_DEU</t>
  </si>
  <si>
    <t>en_hop_biomass_chips_Saarbrucken_DEU</t>
  </si>
  <si>
    <t>en_hop_electric_boiler_Saarbrucken_DEU</t>
  </si>
  <si>
    <t>en_hp_air_10mw_Saarbrucken_DEU</t>
  </si>
  <si>
    <t>en_gas_ccgt_Emmendingen_DEU</t>
  </si>
  <si>
    <t>en_gas_turbine_Emmendingen_DEU</t>
  </si>
  <si>
    <t>en_gas_ccs_Emmendingen_DEU</t>
  </si>
  <si>
    <t>en_coal_subcritical_Emmendingen_DEU</t>
  </si>
  <si>
    <t>en_coal_supercritical_Emmendingen_DEU</t>
  </si>
  <si>
    <t>en_coal_ultrasupercritical_Emmendingen_DEU</t>
  </si>
  <si>
    <t>en_coal_igcc_Emmendingen_DEU</t>
  </si>
  <si>
    <t>en_nuclear_Emmendingen_DEU</t>
  </si>
  <si>
    <t>en_nuclear_smr_Emmendingen_DEU</t>
  </si>
  <si>
    <t>en_biomass_Emmendingen_DEU</t>
  </si>
  <si>
    <t>en_chp_gas_cc_ext_Emmendingen_DEU</t>
  </si>
  <si>
    <t>h_Emmendingen_DEU</t>
  </si>
  <si>
    <t>en_chp_biomass_chips_ext_Emmendingen_DEU</t>
  </si>
  <si>
    <t>en_chp_gas_cc_ext_ccs_Emmendingen_DEU</t>
  </si>
  <si>
    <t>en_hop_gas_boiler_Emmendingen_DEU</t>
  </si>
  <si>
    <t>en_hop_biomass_chips_Emmendingen_DEU</t>
  </si>
  <si>
    <t>en_hop_electric_boiler_Emmendingen_DEU</t>
  </si>
  <si>
    <t>en_hp_air_10mw_Emmendingen_DEU</t>
  </si>
  <si>
    <t>en_gas_ccgt_FreiburgImBreisgau_DEU</t>
  </si>
  <si>
    <t>en_gas_turbine_FreiburgImBreisgau_DEU</t>
  </si>
  <si>
    <t>en_gas_ccs_FreiburgImBreisgau_DEU</t>
  </si>
  <si>
    <t>en_coal_subcritical_FreiburgImBreisgau_DEU</t>
  </si>
  <si>
    <t>en_coal_supercritical_FreiburgImBreisgau_DEU</t>
  </si>
  <si>
    <t>en_coal_ultrasupercritical_FreiburgImBreisgau_DEU</t>
  </si>
  <si>
    <t>en_coal_igcc_FreiburgImBreisgau_DEU</t>
  </si>
  <si>
    <t>en_nuclear_FreiburgImBreisgau_DEU</t>
  </si>
  <si>
    <t>en_nuclear_smr_FreiburgImBreisgau_DEU</t>
  </si>
  <si>
    <t>en_biomass_FreiburgImBreisgau_DEU</t>
  </si>
  <si>
    <t>en_chp_gas_cc_ext_FreiburgImBreisgau_DEU</t>
  </si>
  <si>
    <t>en_chp_biomass_chips_ext_FreiburgImBreisgau_DEU</t>
  </si>
  <si>
    <t>en_chp_gas_cc_ext_ccs_FreiburgImBreisgau_DEU</t>
  </si>
  <si>
    <t>en_hop_gas_boiler_FreiburgImBreisgau_DEU</t>
  </si>
  <si>
    <t>en_hop_biomass_chips_FreiburgImBreisgau_DEU</t>
  </si>
  <si>
    <t>en_hop_electric_boiler_FreiburgImBreisgau_DEU</t>
  </si>
  <si>
    <t>en_hp_air_10mw_FreiburgImBreisgau_DEU</t>
  </si>
  <si>
    <t>en_gas_ccgt_RheinfeldenBaden_DEU</t>
  </si>
  <si>
    <t>en_gas_turbine_RheinfeldenBaden_DEU</t>
  </si>
  <si>
    <t>en_gas_ccs_RheinfeldenBaden_DEU</t>
  </si>
  <si>
    <t>en_coal_subcritical_RheinfeldenBaden_DEU</t>
  </si>
  <si>
    <t>en_coal_supercritical_RheinfeldenBaden_DEU</t>
  </si>
  <si>
    <t>en_coal_ultrasupercritical_RheinfeldenBaden_DEU</t>
  </si>
  <si>
    <t>en_coal_igcc_RheinfeldenBaden_DEU</t>
  </si>
  <si>
    <t>en_nuclear_RheinfeldenBaden_DEU</t>
  </si>
  <si>
    <t>en_nuclear_smr_RheinfeldenBaden_DEU</t>
  </si>
  <si>
    <t>en_biomass_RheinfeldenBaden_DEU</t>
  </si>
  <si>
    <t>en_chp_gas_cc_ext_RheinfeldenBaden_DEU</t>
  </si>
  <si>
    <t>en_chp_biomass_chips_ext_RheinfeldenBaden_DEU</t>
  </si>
  <si>
    <t>en_chp_gas_cc_ext_ccs_RheinfeldenBaden_DEU</t>
  </si>
  <si>
    <t>en_hop_gas_boiler_RheinfeldenBaden_DEU</t>
  </si>
  <si>
    <t>en_hop_biomass_chips_RheinfeldenBaden_DEU</t>
  </si>
  <si>
    <t>en_hop_electric_boiler_RheinfeldenBaden_DEU</t>
  </si>
  <si>
    <t>en_hp_air_10mw_RheinfeldenBaden_DEU</t>
  </si>
  <si>
    <t>en_gas_ccgt_Lorrach_DEU</t>
  </si>
  <si>
    <t>en_gas_turbine_Lorrach_DEU</t>
  </si>
  <si>
    <t>en_gas_ccs_Lorrach_DEU</t>
  </si>
  <si>
    <t>en_coal_subcritical_Lorrach_DEU</t>
  </si>
  <si>
    <t>en_coal_supercritical_Lorrach_DEU</t>
  </si>
  <si>
    <t>en_coal_ultrasupercritical_Lorrach_DEU</t>
  </si>
  <si>
    <t>en_coal_igcc_Lorrach_DEU</t>
  </si>
  <si>
    <t>en_nuclear_Lorrach_DEU</t>
  </si>
  <si>
    <t>en_nuclear_smr_Lorrach_DEU</t>
  </si>
  <si>
    <t>en_biomass_Lorrach_DEU</t>
  </si>
  <si>
    <t>en_chp_gas_cc_ext_Lorrach_DEU</t>
  </si>
  <si>
    <t>h_Lorrach_DEU</t>
  </si>
  <si>
    <t>en_chp_biomass_chips_ext_Lorrach_DEU</t>
  </si>
  <si>
    <t>en_chp_gas_cc_ext_ccs_Lorrach_DEU</t>
  </si>
  <si>
    <t>en_hop_gas_boiler_Lorrach_DEU</t>
  </si>
  <si>
    <t>en_hop_biomass_chips_Lorrach_DEU</t>
  </si>
  <si>
    <t>en_hop_electric_boiler_Lorrach_DEU</t>
  </si>
  <si>
    <t>en_hp_air_10mw_Lorrach_DEU</t>
  </si>
  <si>
    <t>en_gas_ccgt_Konz_DEU</t>
  </si>
  <si>
    <t>en_gas_turbine_Konz_DEU</t>
  </si>
  <si>
    <t>en_gas_ccs_Konz_DEU</t>
  </si>
  <si>
    <t>en_coal_subcritical_Konz_DEU</t>
  </si>
  <si>
    <t>en_coal_supercritical_Konz_DEU</t>
  </si>
  <si>
    <t>en_coal_ultrasupercritical_Konz_DEU</t>
  </si>
  <si>
    <t>en_coal_igcc_Konz_DEU</t>
  </si>
  <si>
    <t>en_nuclear_Konz_DEU</t>
  </si>
  <si>
    <t>en_nuclear_smr_Konz_DEU</t>
  </si>
  <si>
    <t>en_biomass_Konz_DEU</t>
  </si>
  <si>
    <t>en_chp_gas_cc_ext_Konz_DEU</t>
  </si>
  <si>
    <t>h_Konz_DEU</t>
  </si>
  <si>
    <t>en_chp_biomass_chips_ext_Konz_DEU</t>
  </si>
  <si>
    <t>en_chp_gas_cc_ext_ccs_Konz_DEU</t>
  </si>
  <si>
    <t>en_hop_gas_boiler_Konz_DEU</t>
  </si>
  <si>
    <t>en_hop_biomass_chips_Konz_DEU</t>
  </si>
  <si>
    <t>en_hop_electric_boiler_Konz_DEU</t>
  </si>
  <si>
    <t>en_hp_air_10mw_Konz_DEU</t>
  </si>
  <si>
    <t>en_gas_ccgt_Gustrow_DEU</t>
  </si>
  <si>
    <t>en_gas_turbine_Gustrow_DEU</t>
  </si>
  <si>
    <t>en_gas_ccs_Gustrow_DEU</t>
  </si>
  <si>
    <t>en_coal_subcritical_Gustrow_DEU</t>
  </si>
  <si>
    <t>en_coal_supercritical_Gustrow_DEU</t>
  </si>
  <si>
    <t>en_coal_ultrasupercritical_Gustrow_DEU</t>
  </si>
  <si>
    <t>en_coal_igcc_Gustrow_DEU</t>
  </si>
  <si>
    <t>en_nuclear_Gustrow_DEU</t>
  </si>
  <si>
    <t>en_nuclear_smr_Gustrow_DEU</t>
  </si>
  <si>
    <t>en_biomass_Gustrow_DEU</t>
  </si>
  <si>
    <t>en_chp_gas_cc_ext_Gustrow_DEU</t>
  </si>
  <si>
    <t>en_chp_biomass_chips_ext_Gustrow_DEU</t>
  </si>
  <si>
    <t>en_chp_gas_cc_ext_ccs_Gustrow_DEU</t>
  </si>
  <si>
    <t>en_hop_gas_boiler_Gustrow_DEU</t>
  </si>
  <si>
    <t>en_hop_biomass_chips_Gustrow_DEU</t>
  </si>
  <si>
    <t>en_hop_electric_boiler_Gustrow_DEU</t>
  </si>
  <si>
    <t>en_hp_air_10mw_Gustrow_DEU</t>
  </si>
  <si>
    <t>en_gas_ccgt_Eisenhuttenstadt_DEU</t>
  </si>
  <si>
    <t>en_gas_turbine_Eisenhuttenstadt_DEU</t>
  </si>
  <si>
    <t>en_gas_ccs_Eisenhuttenstadt_DEU</t>
  </si>
  <si>
    <t>en_coal_subcritical_Eisenhuttenstadt_DEU</t>
  </si>
  <si>
    <t>en_coal_supercritical_Eisenhuttenstadt_DEU</t>
  </si>
  <si>
    <t>en_coal_ultrasupercritical_Eisenhuttenstadt_DEU</t>
  </si>
  <si>
    <t>en_coal_igcc_Eisenhuttenstadt_DEU</t>
  </si>
  <si>
    <t>en_nuclear_Eisenhuttenstadt_DEU</t>
  </si>
  <si>
    <t>en_nuclear_smr_Eisenhuttenstadt_DEU</t>
  </si>
  <si>
    <t>en_biomass_Eisenhuttenstadt_DEU</t>
  </si>
  <si>
    <t>en_chp_gas_cc_ext_Eisenhuttenstadt_DEU</t>
  </si>
  <si>
    <t>en_chp_biomass_chips_ext_Eisenhuttenstadt_DEU</t>
  </si>
  <si>
    <t>en_chp_gas_cc_ext_ccs_Eisenhuttenstadt_DEU</t>
  </si>
  <si>
    <t>en_hop_gas_boiler_Eisenhuttenstadt_DEU</t>
  </si>
  <si>
    <t>en_hop_biomass_chips_Eisenhuttenstadt_DEU</t>
  </si>
  <si>
    <t>en_hop_electric_boiler_Eisenhuttenstadt_DEU</t>
  </si>
  <si>
    <t>en_hp_air_10mw_Eisenhuttenstadt_DEU</t>
  </si>
  <si>
    <t>en_gas_ccgt_Chemnitz_DEU</t>
  </si>
  <si>
    <t>en_gas_turbine_Chemnitz_DEU</t>
  </si>
  <si>
    <t>en_gas_ccs_Chemnitz_DEU</t>
  </si>
  <si>
    <t>en_coal_subcritical_Chemnitz_DEU</t>
  </si>
  <si>
    <t>en_coal_supercritical_Chemnitz_DEU</t>
  </si>
  <si>
    <t>en_coal_ultrasupercritical_Chemnitz_DEU</t>
  </si>
  <si>
    <t>en_coal_igcc_Chemnitz_DEU</t>
  </si>
  <si>
    <t>en_nuclear_Chemnitz_DEU</t>
  </si>
  <si>
    <t>en_nuclear_smr_Chemnitz_DEU</t>
  </si>
  <si>
    <t>en_biomass_Chemnitz_DEU</t>
  </si>
  <si>
    <t>en_chp_gas_cc_ext_Chemnitz_DEU</t>
  </si>
  <si>
    <t>en_chp_biomass_chips_ext_Chemnitz_DEU</t>
  </si>
  <si>
    <t>en_chp_gas_cc_ext_ccs_Chemnitz_DEU</t>
  </si>
  <si>
    <t>en_hop_gas_boiler_Chemnitz_DEU</t>
  </si>
  <si>
    <t>en_hop_biomass_chips_Chemnitz_DEU</t>
  </si>
  <si>
    <t>en_hop_electric_boiler_Chemnitz_DEU</t>
  </si>
  <si>
    <t>en_hp_air_10mw_Chemnitz_DEU</t>
  </si>
  <si>
    <t>en_gas_ccgt_Rheine_DEU</t>
  </si>
  <si>
    <t>en_gas_turbine_Rheine_DEU</t>
  </si>
  <si>
    <t>en_gas_ccs_Rheine_DEU</t>
  </si>
  <si>
    <t>en_coal_subcritical_Rheine_DEU</t>
  </si>
  <si>
    <t>en_coal_supercritical_Rheine_DEU</t>
  </si>
  <si>
    <t>en_coal_ultrasupercritical_Rheine_DEU</t>
  </si>
  <si>
    <t>en_coal_igcc_Rheine_DEU</t>
  </si>
  <si>
    <t>en_nuclear_Rheine_DEU</t>
  </si>
  <si>
    <t>en_nuclear_smr_Rheine_DEU</t>
  </si>
  <si>
    <t>en_biomass_Rheine_DEU</t>
  </si>
  <si>
    <t>en_chp_gas_cc_ext_Rheine_DEU</t>
  </si>
  <si>
    <t>en_chp_biomass_chips_ext_Rheine_DEU</t>
  </si>
  <si>
    <t>en_chp_gas_cc_ext_ccs_Rheine_DEU</t>
  </si>
  <si>
    <t>en_hop_gas_boiler_Rheine_DEU</t>
  </si>
  <si>
    <t>en_hop_biomass_chips_Rheine_DEU</t>
  </si>
  <si>
    <t>en_hop_electric_boiler_Rheine_DEU</t>
  </si>
  <si>
    <t>en_hp_air_10mw_Rheine_DEU</t>
  </si>
  <si>
    <t>en_battery_4h_Trier_DEU</t>
  </si>
  <si>
    <t>en_battery_8h_Trier_DEU</t>
  </si>
  <si>
    <t>en_battery_4h_Ulm_DEU</t>
  </si>
  <si>
    <t>en_battery_8h_Ulm_DEU</t>
  </si>
  <si>
    <t>en_battery_4h_Muhldorf_DEU</t>
  </si>
  <si>
    <t>en_battery_8h_Muhldorf_DEU</t>
  </si>
  <si>
    <t>en_battery_4h_VillingenSchwennin_DEU</t>
  </si>
  <si>
    <t>en_battery_8h_VillingenSchwennin_DEU</t>
  </si>
  <si>
    <t>en_battery_4h_Duisburg_DEU</t>
  </si>
  <si>
    <t>en_battery_8h_Duisburg_DEU</t>
  </si>
  <si>
    <t>en_battery_4h_Wurzburg_DEU</t>
  </si>
  <si>
    <t>en_battery_8h_Wurzburg_DEU</t>
  </si>
  <si>
    <t>en_battery_4h_Hamburg_DEU</t>
  </si>
  <si>
    <t>en_battery_8h_Hamburg_DEU</t>
  </si>
  <si>
    <t>en_battery_4h_Oldenburg_DEU</t>
  </si>
  <si>
    <t>en_battery_8h_Oldenburg_DEU</t>
  </si>
  <si>
    <t>en_battery_4h_Emden_DEU</t>
  </si>
  <si>
    <t>en_battery_8h_Emden_DEU</t>
  </si>
  <si>
    <t>en_battery_4h_Jena_DEU</t>
  </si>
  <si>
    <t>en_battery_8h_Jena_DEU</t>
  </si>
  <si>
    <t>en_battery_4h_Radebeul_DEU</t>
  </si>
  <si>
    <t>en_battery_8h_Radebeul_DEU</t>
  </si>
  <si>
    <t>en_battery_4h_Bautzen_DEU</t>
  </si>
  <si>
    <t>en_battery_8h_Bautzen_DEU</t>
  </si>
  <si>
    <t>en_battery_4h_SchwedtOder_DEU</t>
  </si>
  <si>
    <t>en_battery_8h_SchwedtOder_DEU</t>
  </si>
  <si>
    <t>en_battery_4h_Cologne_DEU</t>
  </si>
  <si>
    <t>en_battery_8h_Cologne_DEU</t>
  </si>
  <si>
    <t>en_battery_4h_Ravensburg_DEU</t>
  </si>
  <si>
    <t>en_battery_8h_Ravensburg_DEU</t>
  </si>
  <si>
    <t>en_battery_4h_Magdeburg_DEU</t>
  </si>
  <si>
    <t>en_battery_8h_Magdeburg_DEU</t>
  </si>
  <si>
    <t>en_battery_4h_Lubeck_DEU</t>
  </si>
  <si>
    <t>en_battery_8h_Lubeck_DEU</t>
  </si>
  <si>
    <t>en_battery_4h_Amberg_DEU</t>
  </si>
  <si>
    <t>en_battery_8h_Amberg_DEU</t>
  </si>
  <si>
    <t>en_battery_4h_Friedrichshafen_DEU</t>
  </si>
  <si>
    <t>en_battery_8h_Friedrichshafen_DEU</t>
  </si>
  <si>
    <t>en_battery_4h_WaldshutTiengen_DEU</t>
  </si>
  <si>
    <t>en_battery_8h_WaldshutTiengen_DEU</t>
  </si>
  <si>
    <t>en_battery_4h_Donaueschingen_DEU</t>
  </si>
  <si>
    <t>en_battery_8h_Donaueschingen_DEU</t>
  </si>
  <si>
    <t>en_battery_4h_Flensburg_DEU</t>
  </si>
  <si>
    <t>en_battery_8h_Flensburg_DEU</t>
  </si>
  <si>
    <t>en_battery_4h_Elmshorn_DEU</t>
  </si>
  <si>
    <t>en_battery_8h_Elmshorn_DEU</t>
  </si>
  <si>
    <t>en_battery_4h_Kempten_DEU</t>
  </si>
  <si>
    <t>en_battery_8h_Kempten_DEU</t>
  </si>
  <si>
    <t>en_battery_4h_Gorlitz_DEU</t>
  </si>
  <si>
    <t>en_battery_8h_Gorlitz_DEU</t>
  </si>
  <si>
    <t>en_battery_4h_Weilheim_DEU</t>
  </si>
  <si>
    <t>en_battery_8h_Weilheim_DEU</t>
  </si>
  <si>
    <t>en_battery_4h_Offenburg_DEU</t>
  </si>
  <si>
    <t>en_battery_8h_Offenburg_DEU</t>
  </si>
  <si>
    <t>en_battery_4h_Saarbrucken_DEU</t>
  </si>
  <si>
    <t>en_battery_8h_Saarbrucken_DEU</t>
  </si>
  <si>
    <t>en_battery_4h_Emmendingen_DEU</t>
  </si>
  <si>
    <t>en_battery_8h_Emmendingen_DEU</t>
  </si>
  <si>
    <t>en_battery_4h_FreiburgImBreisgau_DEU</t>
  </si>
  <si>
    <t>en_battery_8h_FreiburgImBreisgau_DEU</t>
  </si>
  <si>
    <t>en_battery_4h_RheinfeldenBaden_DEU</t>
  </si>
  <si>
    <t>en_battery_8h_RheinfeldenBaden_DEU</t>
  </si>
  <si>
    <t>en_battery_4h_Lorrach_DEU</t>
  </si>
  <si>
    <t>en_battery_8h_Lorrach_DEU</t>
  </si>
  <si>
    <t>en_battery_4h_Konz_DEU</t>
  </si>
  <si>
    <t>en_battery_8h_Konz_DEU</t>
  </si>
  <si>
    <t>en_battery_4h_Gustrow_DEU</t>
  </si>
  <si>
    <t>en_battery_8h_Gustrow_DEU</t>
  </si>
  <si>
    <t>en_battery_4h_Eisenhuttenstadt_DEU</t>
  </si>
  <si>
    <t>en_battery_8h_Eisenhuttenstadt_DEU</t>
  </si>
  <si>
    <t>en_battery_4h_Chemnitz_DEU</t>
  </si>
  <si>
    <t>en_battery_8h_Chemnitz_DEU</t>
  </si>
  <si>
    <t>en_battery_4h_Rheine_DEU</t>
  </si>
  <si>
    <t>en_battery_8h_Rheine_DEU</t>
  </si>
  <si>
    <t>UCE_elcagg_spv_DEU_001</t>
  </si>
  <si>
    <t>elc_spv_DEU_001</t>
  </si>
  <si>
    <t>UCE_elcagg_spv_DEU_002</t>
  </si>
  <si>
    <t>elc_spv_DEU_002</t>
  </si>
  <si>
    <t>UCE_elcagg_spv_DEU_003</t>
  </si>
  <si>
    <t>elc_spv_DEU_003</t>
  </si>
  <si>
    <t>UCE_elcagg_spv_DEU_004</t>
  </si>
  <si>
    <t>elc_spv_DEU_004</t>
  </si>
  <si>
    <t>UCE_elcagg_spv_DEU_005</t>
  </si>
  <si>
    <t>elc_spv_DEU_005</t>
  </si>
  <si>
    <t>UCE_elcagg_spv_DEU_006</t>
  </si>
  <si>
    <t>elc_spv_DEU_006</t>
  </si>
  <si>
    <t>UCE_elcagg_spv_DEU_007</t>
  </si>
  <si>
    <t>elc_spv_DEU_007</t>
  </si>
  <si>
    <t>UCE_elcagg_spv_DEU_008</t>
  </si>
  <si>
    <t>elc_spv_DEU_008</t>
  </si>
  <si>
    <t>UCE_elcagg_spv_DEU_009</t>
  </si>
  <si>
    <t>elc_spv_DEU_009</t>
  </si>
  <si>
    <t>UCE_elcagg_spv_DEU_010</t>
  </si>
  <si>
    <t>elc_spv_DEU_010</t>
  </si>
  <si>
    <t>UCE_elcagg_spv_DEU_011</t>
  </si>
  <si>
    <t>elc_spv_DEU_011</t>
  </si>
  <si>
    <t>UCE_elcagg_spv_DEU_012</t>
  </si>
  <si>
    <t>elc_spv_DEU_012</t>
  </si>
  <si>
    <t>UCE_elcagg_spv_DEU_013</t>
  </si>
  <si>
    <t>elc_spv_DEU_013</t>
  </si>
  <si>
    <t>UCE_elcagg_spv_DEU_014</t>
  </si>
  <si>
    <t>elc_spv_DEU_014</t>
  </si>
  <si>
    <t>UCE_elcagg_spv_DEU_015</t>
  </si>
  <si>
    <t>elc_spv_DEU_015</t>
  </si>
  <si>
    <t>UCE_elcagg_spv_DEU_016</t>
  </si>
  <si>
    <t>elc_spv_DEU_016</t>
  </si>
  <si>
    <t>UCE_elcagg_spv_DEU_017</t>
  </si>
  <si>
    <t>elc_spv_DEU_017</t>
  </si>
  <si>
    <t>UCE_elcagg_spv_DEU_018</t>
  </si>
  <si>
    <t>elc_spv_DEU_018</t>
  </si>
  <si>
    <t>UCE_elcagg_spv_DEU_019</t>
  </si>
  <si>
    <t>elc_spv_DEU_019</t>
  </si>
  <si>
    <t>UCE_elcagg_spv_DEU_020</t>
  </si>
  <si>
    <t>elc_spv_DEU_020</t>
  </si>
  <si>
    <t>UCE_elcagg_spv_DEU_021</t>
  </si>
  <si>
    <t>elc_spv_DEU_021</t>
  </si>
  <si>
    <t>UCE_elcagg_spv_DEU_022</t>
  </si>
  <si>
    <t>elc_spv_DEU_022</t>
  </si>
  <si>
    <t>UCE_elcagg_spv_DEU_023</t>
  </si>
  <si>
    <t>elc_spv_DEU_023</t>
  </si>
  <si>
    <t>UCE_elcagg_wof_DEU_001</t>
  </si>
  <si>
    <t>elc_wof_DEU_001</t>
  </si>
  <si>
    <t>UCE_elcagg_wof_DEU_002</t>
  </si>
  <si>
    <t>elc_wof_DEU_002</t>
  </si>
  <si>
    <t>UCE_elcagg_wof_DEU_003</t>
  </si>
  <si>
    <t>elc_wof_DEU_003</t>
  </si>
  <si>
    <t>UCE_elcagg_wof_DEU_004</t>
  </si>
  <si>
    <t>elc_wof_DEU_004</t>
  </si>
  <si>
    <t>UCE_elcagg_wof_DEU_005</t>
  </si>
  <si>
    <t>elc_wof_DEU_005</t>
  </si>
  <si>
    <t>UCE_elcagg_wof_DEU_006</t>
  </si>
  <si>
    <t>elc_wof_DEU_006</t>
  </si>
  <si>
    <t>UCE_elcagg_wof_DEU_007</t>
  </si>
  <si>
    <t>elc_wof_DEU_007</t>
  </si>
  <si>
    <t>UCE_elcagg_wof_DEU_008</t>
  </si>
  <si>
    <t>elc_wof_DEU_008</t>
  </si>
  <si>
    <t>UCE_elcagg_wof_DEU_009</t>
  </si>
  <si>
    <t>elc_wof_DEU_009</t>
  </si>
  <si>
    <t>UCE_elcagg_wof_DEU_010</t>
  </si>
  <si>
    <t>elc_wof_DEU_010</t>
  </si>
  <si>
    <t>UCE_elcagg_won_DEU_001</t>
  </si>
  <si>
    <t>elc_won_DEU_001</t>
  </si>
  <si>
    <t>UCE_elcagg_won_DEU_002</t>
  </si>
  <si>
    <t>elc_won_DEU_002</t>
  </si>
  <si>
    <t>UCE_elcagg_won_DEU_003</t>
  </si>
  <si>
    <t>elc_won_DEU_003</t>
  </si>
  <si>
    <t>UCE_elcagg_won_DEU_004</t>
  </si>
  <si>
    <t>elc_won_DEU_004</t>
  </si>
  <si>
    <t>UCE_elcagg_won_DEU_005</t>
  </si>
  <si>
    <t>elc_won_DEU_005</t>
  </si>
  <si>
    <t>UCE_elcagg_won_DEU_006</t>
  </si>
  <si>
    <t>elc_won_DEU_006</t>
  </si>
  <si>
    <t>UCE_elcagg_won_DEU_007</t>
  </si>
  <si>
    <t>elc_won_DEU_007</t>
  </si>
  <si>
    <t>UCE_elcagg_won_DEU_008</t>
  </si>
  <si>
    <t>elc_won_DEU_008</t>
  </si>
  <si>
    <t>UCE_elcagg_won_DEU_009</t>
  </si>
  <si>
    <t>elc_won_DEU_009</t>
  </si>
  <si>
    <t>UCE_elcagg_won_DEU_010</t>
  </si>
  <si>
    <t>elc_won_DEU_010</t>
  </si>
  <si>
    <t>UCE_elcagg_won_DEU_011</t>
  </si>
  <si>
    <t>elc_won_DEU_011</t>
  </si>
  <si>
    <t>UCE_elcagg_won_DEU_012</t>
  </si>
  <si>
    <t>elc_won_DEU_012</t>
  </si>
  <si>
    <t>UCE_elcagg_won_DEU_013</t>
  </si>
  <si>
    <t>elc_won_DEU_013</t>
  </si>
  <si>
    <t>UCE_elcagg_won_DEU_014</t>
  </si>
  <si>
    <t>elc_won_DEU_014</t>
  </si>
  <si>
    <t>UCE_elcagg_won_DEU_015</t>
  </si>
  <si>
    <t>elc_won_DEU_015</t>
  </si>
  <si>
    <t>UCE_elcagg_won_DEU_016</t>
  </si>
  <si>
    <t>elc_won_DEU_016</t>
  </si>
  <si>
    <t>UCE_elcagg_won_DEU_017</t>
  </si>
  <si>
    <t>elc_won_DEU_017</t>
  </si>
  <si>
    <t>UCE_elcagg_won_DEU_018</t>
  </si>
  <si>
    <t>elc_won_DEU_018</t>
  </si>
  <si>
    <t>UCE_elcagg_won_DEU_019</t>
  </si>
  <si>
    <t>elc_won_DEU_019</t>
  </si>
  <si>
    <t>UCE_elcagg_won_DEU_020</t>
  </si>
  <si>
    <t>elc_won_DEU_020</t>
  </si>
  <si>
    <t>UCE_elcagg_won_DEU_021</t>
  </si>
  <si>
    <t>elc_won_DEU_021</t>
  </si>
  <si>
    <t>UCE_elcagg_won_DEU_022</t>
  </si>
  <si>
    <t>elc_won_DEU_022</t>
  </si>
  <si>
    <t>g_Bellinzona_CHE-Chur_CHE</t>
  </si>
  <si>
    <t>e_demand_Bern_CHE</t>
  </si>
  <si>
    <t>CHE</t>
  </si>
  <si>
    <t>e_Bern_CHE</t>
  </si>
  <si>
    <t>en_gas_ccgt_Bern_CHE</t>
  </si>
  <si>
    <t>g_Bellinzona_CHE-Kriens_CHE</t>
  </si>
  <si>
    <t>e_demand_Geneva_CHE</t>
  </si>
  <si>
    <t>e_Geneva_CHE</t>
  </si>
  <si>
    <t>en_gas_turbine_Bern_CHE</t>
  </si>
  <si>
    <t>g_Bellinzona_CHE-Lucerne_CHE</t>
  </si>
  <si>
    <t>e_demand_Landquart_CHE</t>
  </si>
  <si>
    <t>e_Landquart_CHE</t>
  </si>
  <si>
    <t>en_gas_ccs_Bern_CHE</t>
  </si>
  <si>
    <t>g_Bellinzona_CHE-Lugano_CHE</t>
  </si>
  <si>
    <t>e_demand_Thun_CHE</t>
  </si>
  <si>
    <t>e_Thun_CHE</t>
  </si>
  <si>
    <t>en_coal_subcritical_Bern_CHE</t>
  </si>
  <si>
    <t>g_Bellinzona_CHE-Winterthur_CHE</t>
  </si>
  <si>
    <t>e_demand_Montreux_CHE</t>
  </si>
  <si>
    <t>e_Montreux_CHE</t>
  </si>
  <si>
    <t>en_coal_supercritical_Bern_CHE</t>
  </si>
  <si>
    <t>g_Bern_CHE-Dietikon_CHE</t>
  </si>
  <si>
    <t>e_demand_YverdonLesBains_CHE</t>
  </si>
  <si>
    <t>e_YverdonLesBains_CHE</t>
  </si>
  <si>
    <t>en_coal_ultrasupercritical_Bern_CHE</t>
  </si>
  <si>
    <t>g_Bern_CHE-Fully_CHE</t>
  </si>
  <si>
    <t>e_demand_BielBienne_CHE</t>
  </si>
  <si>
    <t>e_BielBienne_CHE</t>
  </si>
  <si>
    <t>en_coal_igcc_Bern_CHE</t>
  </si>
  <si>
    <t>g_BielBienne_CHE-Bern_CHE</t>
  </si>
  <si>
    <t>e_demand_Riehen_CHE</t>
  </si>
  <si>
    <t>e_Riehen_CHE</t>
  </si>
  <si>
    <t>en_nuclear_Bern_CHE</t>
  </si>
  <si>
    <t>g_BielBienne_CHE-Dietikon_CHE</t>
  </si>
  <si>
    <t>e_demand_Zurich_CHE</t>
  </si>
  <si>
    <t>e_Zurich_CHE</t>
  </si>
  <si>
    <t>en_nuclear_smr_Bern_CHE</t>
  </si>
  <si>
    <t>g_BielBienne_CHE-Riehen_CHE</t>
  </si>
  <si>
    <t>e_demand_Winterthur_CHE</t>
  </si>
  <si>
    <t>e_Winterthur_CHE</t>
  </si>
  <si>
    <t>en_biomass_Bern_CHE</t>
  </si>
  <si>
    <t>g_BielBienne_CHE-Thun_CHE</t>
  </si>
  <si>
    <t>e_demand_Davos_CHE</t>
  </si>
  <si>
    <t>e_Davos_CHE</t>
  </si>
  <si>
    <t>en_chp_gas_cc_ext_Bern_CHE</t>
  </si>
  <si>
    <t>g_BrigGlis_CHE-Bellinzona_CHE</t>
  </si>
  <si>
    <t>e_demand_Chur_CHE</t>
  </si>
  <si>
    <t>e_Chur_CHE</t>
  </si>
  <si>
    <t>h_Bern_CHE</t>
  </si>
  <si>
    <t>g_Chur_CHE-SanktGallen_CHE</t>
  </si>
  <si>
    <t>e_demand_Kriens_CHE</t>
  </si>
  <si>
    <t>e_Kriens_CHE</t>
  </si>
  <si>
    <t>en_chp_biomass_chips_ext_Bern_CHE</t>
  </si>
  <si>
    <t>g_Davos_CHE-Chur_CHE</t>
  </si>
  <si>
    <t>e_demand_Locarno_CHE</t>
  </si>
  <si>
    <t>e_Locarno_CHE</t>
  </si>
  <si>
    <t>g_Dietikon_CHE-Aarau_CHE</t>
  </si>
  <si>
    <t>e_demand_Lugano_CHE</t>
  </si>
  <si>
    <t>e_Lugano_CHE</t>
  </si>
  <si>
    <t>en_chp_gas_cc_ext_ccs_Bern_CHE</t>
  </si>
  <si>
    <t>g_Dietikon_CHE-Brugg_CHE</t>
  </si>
  <si>
    <t>e_demand_Lucerne_CHE</t>
  </si>
  <si>
    <t>e_Lucerne_CHE</t>
  </si>
  <si>
    <t>g_Dietikon_CHE-Lucerne_CHE</t>
  </si>
  <si>
    <t>e_demand_BrigGlis_CHE</t>
  </si>
  <si>
    <t>e_BrigGlis_CHE</t>
  </si>
  <si>
    <t>en_hop_gas_boiler_Bern_CHE</t>
  </si>
  <si>
    <t>g_Dietikon_CHE-Zurich_CHE</t>
  </si>
  <si>
    <t>e_demand_Aarau_CHE</t>
  </si>
  <si>
    <t>e_Aarau_CHE</t>
  </si>
  <si>
    <t>en_hop_biomass_chips_Bern_CHE</t>
  </si>
  <si>
    <t>g_Fully_CHE-BrigGlis_CHE</t>
  </si>
  <si>
    <t>e_demand_SanktGallen_CHE</t>
  </si>
  <si>
    <t>e_SanktGallen_CHE</t>
  </si>
  <si>
    <t>en_hop_electric_boiler_Bern_CHE</t>
  </si>
  <si>
    <t>g_Fully_CHE-Thun_CHE</t>
  </si>
  <si>
    <t>e_demand_Dietikon_CHE</t>
  </si>
  <si>
    <t>e_Dietikon_CHE</t>
  </si>
  <si>
    <t>g_Kriens_CHE-Bern_CHE</t>
  </si>
  <si>
    <t>e_demand_Brugg_CHE</t>
  </si>
  <si>
    <t>e_Brugg_CHE</t>
  </si>
  <si>
    <t>en_hp_air_10mw_Bern_CHE</t>
  </si>
  <si>
    <t>g_Landquart_CHE-Davos_CHE</t>
  </si>
  <si>
    <t>e_demand_Fully_CHE</t>
  </si>
  <si>
    <t>e_Fully_CHE</t>
  </si>
  <si>
    <t>g_Locarno_CHE-Chur_CHE</t>
  </si>
  <si>
    <t>e_demand_Bellinzona_CHE</t>
  </si>
  <si>
    <t>e_Bellinzona_CHE</t>
  </si>
  <si>
    <t>en_gas_ccgt_Geneva_CHE</t>
  </si>
  <si>
    <t>g_Lucerne_CHE-Dietikon_CHE</t>
  </si>
  <si>
    <t>ev_battery_Bern_CHE</t>
  </si>
  <si>
    <t>en_gas_turbine_Geneva_CHE</t>
  </si>
  <si>
    <t>g_Lucerne_CHE-Kriens_CHE</t>
  </si>
  <si>
    <t>ev_battery_Geneva_CHE</t>
  </si>
  <si>
    <t>en_gas_ccs_Geneva_CHE</t>
  </si>
  <si>
    <t>g_Lucerne_CHE-Zurich_CHE</t>
  </si>
  <si>
    <t>ev_battery_Landquart_CHE</t>
  </si>
  <si>
    <t>en_coal_subcritical_Geneva_CHE</t>
  </si>
  <si>
    <t>g_Lugano_CHE-Locarno_CHE</t>
  </si>
  <si>
    <t>ev_battery_Thun_CHE</t>
  </si>
  <si>
    <t>en_coal_supercritical_Geneva_CHE</t>
  </si>
  <si>
    <t>g_Montreux_CHE-Fully_CHE</t>
  </si>
  <si>
    <t>ev_battery_Montreux_CHE</t>
  </si>
  <si>
    <t>en_coal_ultrasupercritical_Geneva_CHE</t>
  </si>
  <si>
    <t>g_Montreux_CHE-Geneva_CHE</t>
  </si>
  <si>
    <t>ev_battery_YverdonLesBains_CHE</t>
  </si>
  <si>
    <t>en_coal_igcc_Geneva_CHE</t>
  </si>
  <si>
    <t>g_SanktGallen_CHE-Winterthur_CHE</t>
  </si>
  <si>
    <t>ev_battery_BielBienne_CHE</t>
  </si>
  <si>
    <t>en_nuclear_Geneva_CHE</t>
  </si>
  <si>
    <t>g_Thun_CHE-Bern_CHE</t>
  </si>
  <si>
    <t>ev_battery_Riehen_CHE</t>
  </si>
  <si>
    <t>en_nuclear_smr_Geneva_CHE</t>
  </si>
  <si>
    <t>g_Thun_CHE-Fully_CHE</t>
  </si>
  <si>
    <t>ev_battery_Zurich_CHE</t>
  </si>
  <si>
    <t>en_biomass_Geneva_CHE</t>
  </si>
  <si>
    <t>g_Winterthur_CHE-Chur_CHE</t>
  </si>
  <si>
    <t>ev_battery_Winterthur_CHE</t>
  </si>
  <si>
    <t>en_chp_gas_cc_ext_Geneva_CHE</t>
  </si>
  <si>
    <t>g_YverdonLesBains_CHE-Fully_CHE</t>
  </si>
  <si>
    <t>ev_battery_Davos_CHE</t>
  </si>
  <si>
    <t>h_Geneva_CHE</t>
  </si>
  <si>
    <t>g_Zurich_CHE-Chur_CHE</t>
  </si>
  <si>
    <t>ev_battery_Chur_CHE</t>
  </si>
  <si>
    <t>en_chp_biomass_chips_ext_Geneva_CHE</t>
  </si>
  <si>
    <t>g_Zurich_CHE-Winterthur_CHE</t>
  </si>
  <si>
    <t>ev_battery_Kriens_CHE</t>
  </si>
  <si>
    <t>ev_battery_Locarno_CHE</t>
  </si>
  <si>
    <t>en_chp_gas_cc_ext_ccs_Geneva_CHE</t>
  </si>
  <si>
    <t>ev_battery_Lugano_CHE</t>
  </si>
  <si>
    <t>ev_battery_Lucerne_CHE</t>
  </si>
  <si>
    <t>en_hop_gas_boiler_Geneva_CHE</t>
  </si>
  <si>
    <t>ev_battery_BrigGlis_CHE</t>
  </si>
  <si>
    <t>en_hop_biomass_chips_Geneva_CHE</t>
  </si>
  <si>
    <t>ev_battery_Aarau_CHE</t>
  </si>
  <si>
    <t>en_hop_electric_boiler_Geneva_CHE</t>
  </si>
  <si>
    <t>ev_battery_SanktGallen_CHE</t>
  </si>
  <si>
    <t>ev_battery_Dietikon_CHE</t>
  </si>
  <si>
    <t>en_hp_air_10mw_Geneva_CHE</t>
  </si>
  <si>
    <t>ev_battery_Brugg_CHE</t>
  </si>
  <si>
    <t>ev_battery_Fully_CHE</t>
  </si>
  <si>
    <t>en_gas_ccgt_Landquart_CHE</t>
  </si>
  <si>
    <t>ev_battery_Bellinzona_CHE</t>
  </si>
  <si>
    <t>en_gas_turbine_Landquart_CHE</t>
  </si>
  <si>
    <t>H2prd_Elc_PEM_Bern_CHE</t>
  </si>
  <si>
    <t>en_gas_ccs_Landquart_CHE</t>
  </si>
  <si>
    <t>H2prd_Elc_PEM_Geneva_CHE</t>
  </si>
  <si>
    <t>en_coal_subcritical_Landquart_CHE</t>
  </si>
  <si>
    <t>H2prd_Elc_PEM_Landquart_CHE</t>
  </si>
  <si>
    <t>en_coal_supercritical_Landquart_CHE</t>
  </si>
  <si>
    <t>H2prd_Elc_PEM_Thun_CHE</t>
  </si>
  <si>
    <t>en_coal_ultrasupercritical_Landquart_CHE</t>
  </si>
  <si>
    <t>H2prd_Elc_PEM_Montreux_CHE</t>
  </si>
  <si>
    <t>en_coal_igcc_Landquart_CHE</t>
  </si>
  <si>
    <t>H2prd_Elc_PEM_YverdonLesBains_CHE</t>
  </si>
  <si>
    <t>en_nuclear_Landquart_CHE</t>
  </si>
  <si>
    <t>H2prd_Elc_PEM_BielBienne_CHE</t>
  </si>
  <si>
    <t>en_nuclear_smr_Landquart_CHE</t>
  </si>
  <si>
    <t>H2prd_Elc_PEM_Riehen_CHE</t>
  </si>
  <si>
    <t>en_biomass_Landquart_CHE</t>
  </si>
  <si>
    <t>H2prd_Elc_PEM_Zurich_CHE</t>
  </si>
  <si>
    <t>en_chp_gas_cc_ext_Landquart_CHE</t>
  </si>
  <si>
    <t>H2prd_Elc_PEM_Winterthur_CHE</t>
  </si>
  <si>
    <t>h_Landquart_CHE</t>
  </si>
  <si>
    <t>H2prd_Elc_PEM_Davos_CHE</t>
  </si>
  <si>
    <t>en_chp_biomass_chips_ext_Landquart_CHE</t>
  </si>
  <si>
    <t>H2prd_Elc_PEM_Chur_CHE</t>
  </si>
  <si>
    <t>H2prd_Elc_PEM_Kriens_CHE</t>
  </si>
  <si>
    <t>en_chp_gas_cc_ext_ccs_Landquart_CHE</t>
  </si>
  <si>
    <t>H2prd_Elc_PEM_Locarno_CHE</t>
  </si>
  <si>
    <t>H2prd_Elc_PEM_Lugano_CHE</t>
  </si>
  <si>
    <t>en_hop_gas_boiler_Landquart_CHE</t>
  </si>
  <si>
    <t>H2prd_Elc_PEM_Lucerne_CHE</t>
  </si>
  <si>
    <t>en_hop_biomass_chips_Landquart_CHE</t>
  </si>
  <si>
    <t>H2prd_Elc_PEM_BrigGlis_CHE</t>
  </si>
  <si>
    <t>en_hop_electric_boiler_Landquart_CHE</t>
  </si>
  <si>
    <t>H2prd_Elc_PEM_Aarau_CHE</t>
  </si>
  <si>
    <t>H2prd_Elc_PEM_SanktGallen_CHE</t>
  </si>
  <si>
    <t>en_hp_air_10mw_Landquart_CHE</t>
  </si>
  <si>
    <t>H2prd_Elc_PEM_Dietikon_CHE</t>
  </si>
  <si>
    <t>H2prd_Elc_PEM_Brugg_CHE</t>
  </si>
  <si>
    <t>en_gas_ccgt_Thun_CHE</t>
  </si>
  <si>
    <t>H2prd_Elc_PEM_Fully_CHE</t>
  </si>
  <si>
    <t>en_gas_turbine_Thun_CHE</t>
  </si>
  <si>
    <t>H2prd_Elc_PEM_Bellinzona_CHE</t>
  </si>
  <si>
    <t>en_gas_ccs_Thun_CHE</t>
  </si>
  <si>
    <t>H2prd_Elc_ALK_Bern_CHE</t>
  </si>
  <si>
    <t>en_coal_subcritical_Thun_CHE</t>
  </si>
  <si>
    <t>H2prd_Elc_ALK_Geneva_CHE</t>
  </si>
  <si>
    <t>en_coal_supercritical_Thun_CHE</t>
  </si>
  <si>
    <t>H2prd_Elc_ALK_Landquart_CHE</t>
  </si>
  <si>
    <t>en_coal_ultrasupercritical_Thun_CHE</t>
  </si>
  <si>
    <t>H2prd_Elc_ALK_Thun_CHE</t>
  </si>
  <si>
    <t>en_coal_igcc_Thun_CHE</t>
  </si>
  <si>
    <t>H2prd_Elc_ALK_Montreux_CHE</t>
  </si>
  <si>
    <t>en_nuclear_Thun_CHE</t>
  </si>
  <si>
    <t>H2prd_Elc_ALK_YverdonLesBains_CHE</t>
  </si>
  <si>
    <t>en_nuclear_smr_Thun_CHE</t>
  </si>
  <si>
    <t>H2prd_Elc_ALK_BielBienne_CHE</t>
  </si>
  <si>
    <t>en_biomass_Thun_CHE</t>
  </si>
  <si>
    <t>H2prd_Elc_ALK_Riehen_CHE</t>
  </si>
  <si>
    <t>en_chp_gas_cc_ext_Thun_CHE</t>
  </si>
  <si>
    <t>H2prd_Elc_ALK_Zurich_CHE</t>
  </si>
  <si>
    <t>h_Thun_CHE</t>
  </si>
  <si>
    <t>H2prd_Elc_ALK_Winterthur_CHE</t>
  </si>
  <si>
    <t>en_chp_biomass_chips_ext_Thun_CHE</t>
  </si>
  <si>
    <t>H2prd_Elc_ALK_Davos_CHE</t>
  </si>
  <si>
    <t>H2prd_Elc_ALK_Chur_CHE</t>
  </si>
  <si>
    <t>en_chp_gas_cc_ext_ccs_Thun_CHE</t>
  </si>
  <si>
    <t>H2prd_Elc_ALK_Kriens_CHE</t>
  </si>
  <si>
    <t>H2prd_Elc_ALK_Locarno_CHE</t>
  </si>
  <si>
    <t>en_hop_gas_boiler_Thun_CHE</t>
  </si>
  <si>
    <t>H2prd_Elc_ALK_Lugano_CHE</t>
  </si>
  <si>
    <t>en_hop_biomass_chips_Thun_CHE</t>
  </si>
  <si>
    <t>H2prd_Elc_ALK_Lucerne_CHE</t>
  </si>
  <si>
    <t>en_hop_electric_boiler_Thun_CHE</t>
  </si>
  <si>
    <t>H2prd_Elc_ALK_BrigGlis_CHE</t>
  </si>
  <si>
    <t>H2prd_Elc_ALK_Aarau_CHE</t>
  </si>
  <si>
    <t>en_hp_air_10mw_Thun_CHE</t>
  </si>
  <si>
    <t>H2prd_Elc_ALK_SanktGallen_CHE</t>
  </si>
  <si>
    <t>H2prd_Elc_ALK_Dietikon_CHE</t>
  </si>
  <si>
    <t>en_gas_ccgt_Montreux_CHE</t>
  </si>
  <si>
    <t>H2prd_Elc_ALK_Brugg_CHE</t>
  </si>
  <si>
    <t>en_gas_turbine_Montreux_CHE</t>
  </si>
  <si>
    <t>H2prd_Elc_ALK_Fully_CHE</t>
  </si>
  <si>
    <t>en_gas_ccs_Montreux_CHE</t>
  </si>
  <si>
    <t>H2prd_Elc_ALK_Bellinzona_CHE</t>
  </si>
  <si>
    <t>en_coal_subcritical_Montreux_CHE</t>
  </si>
  <si>
    <t>h_demand_Dietikon_CHE</t>
  </si>
  <si>
    <t>h_Dietikon_CHE</t>
  </si>
  <si>
    <t>en_coal_supercritical_Montreux_CHE</t>
  </si>
  <si>
    <t>h_demand_YverdonLesBains_CHE</t>
  </si>
  <si>
    <t>h_YverdonLesBains_CHE</t>
  </si>
  <si>
    <t>en_coal_ultrasupercritical_Montreux_CHE</t>
  </si>
  <si>
    <t>h_demand_Zurich_CHE</t>
  </si>
  <si>
    <t>h_Zurich_CHE</t>
  </si>
  <si>
    <t>en_coal_igcc_Montreux_CHE</t>
  </si>
  <si>
    <t>h_demand_Thun_CHE</t>
  </si>
  <si>
    <t>en_nuclear_Montreux_CHE</t>
  </si>
  <si>
    <t>h_demand_Geneva_CHE</t>
  </si>
  <si>
    <t>en_nuclear_smr_Montreux_CHE</t>
  </si>
  <si>
    <t>h_demand_Winterthur_CHE</t>
  </si>
  <si>
    <t>h_Winterthur_CHE</t>
  </si>
  <si>
    <t>en_biomass_Montreux_CHE</t>
  </si>
  <si>
    <t>h_demand_Lucerne_CHE</t>
  </si>
  <si>
    <t>h_Lucerne_CHE</t>
  </si>
  <si>
    <t>en_chp_gas_cc_ext_Montreux_CHE</t>
  </si>
  <si>
    <t>h_demand_Bern_CHE</t>
  </si>
  <si>
    <t>h_Montreux_CHE</t>
  </si>
  <si>
    <t>h_demand_Fully_CHE</t>
  </si>
  <si>
    <t>h_Fully_CHE</t>
  </si>
  <si>
    <t>en_chp_biomass_chips_ext_Montreux_CHE</t>
  </si>
  <si>
    <t>en_chp_gas_cc_ext_ccs_Montreux_CHE</t>
  </si>
  <si>
    <t>en_hop_gas_boiler_Montreux_CHE</t>
  </si>
  <si>
    <t>en_hop_biomass_chips_Montreux_CHE</t>
  </si>
  <si>
    <t>en_hop_electric_boiler_Montreux_CHE</t>
  </si>
  <si>
    <t>en_hp_air_10mw_Montreux_CHE</t>
  </si>
  <si>
    <t>en_gas_ccgt_YverdonLesBains_CHE</t>
  </si>
  <si>
    <t>en_gas_turbine_YverdonLesBains_CHE</t>
  </si>
  <si>
    <t>en_gas_ccs_YverdonLesBains_CHE</t>
  </si>
  <si>
    <t>en_coal_subcritical_YverdonLesBains_CHE</t>
  </si>
  <si>
    <t>en_coal_supercritical_YverdonLesBains_CHE</t>
  </si>
  <si>
    <t>en_coal_ultrasupercritical_YverdonLesBains_CHE</t>
  </si>
  <si>
    <t>en_coal_igcc_YverdonLesBains_CHE</t>
  </si>
  <si>
    <t>en_nuclear_YverdonLesBains_CHE</t>
  </si>
  <si>
    <t>en_nuclear_smr_YverdonLesBains_CHE</t>
  </si>
  <si>
    <t>en_biomass_YverdonLesBains_CHE</t>
  </si>
  <si>
    <t>en_chp_gas_cc_ext_YverdonLesBains_CHE</t>
  </si>
  <si>
    <t>en_chp_biomass_chips_ext_YverdonLesBains_CHE</t>
  </si>
  <si>
    <t>en_chp_gas_cc_ext_ccs_YverdonLesBains_CHE</t>
  </si>
  <si>
    <t>en_hop_gas_boiler_YverdonLesBains_CHE</t>
  </si>
  <si>
    <t>en_hop_biomass_chips_YverdonLesBains_CHE</t>
  </si>
  <si>
    <t>en_hop_electric_boiler_YverdonLesBains_CHE</t>
  </si>
  <si>
    <t>en_hp_air_10mw_YverdonLesBains_CHE</t>
  </si>
  <si>
    <t>en_gas_ccgt_BielBienne_CHE</t>
  </si>
  <si>
    <t>en_gas_turbine_BielBienne_CHE</t>
  </si>
  <si>
    <t>en_gas_ccs_BielBienne_CHE</t>
  </si>
  <si>
    <t>en_coal_subcritical_BielBienne_CHE</t>
  </si>
  <si>
    <t>en_coal_supercritical_BielBienne_CHE</t>
  </si>
  <si>
    <t>en_coal_ultrasupercritical_BielBienne_CHE</t>
  </si>
  <si>
    <t>en_coal_igcc_BielBienne_CHE</t>
  </si>
  <si>
    <t>en_nuclear_BielBienne_CHE</t>
  </si>
  <si>
    <t>en_nuclear_smr_BielBienne_CHE</t>
  </si>
  <si>
    <t>en_biomass_BielBienne_CHE</t>
  </si>
  <si>
    <t>en_chp_gas_cc_ext_BielBienne_CHE</t>
  </si>
  <si>
    <t>h_BielBienne_CHE</t>
  </si>
  <si>
    <t>en_chp_biomass_chips_ext_BielBienne_CHE</t>
  </si>
  <si>
    <t>en_chp_gas_cc_ext_ccs_BielBienne_CHE</t>
  </si>
  <si>
    <t>en_hop_gas_boiler_BielBienne_CHE</t>
  </si>
  <si>
    <t>en_hop_biomass_chips_BielBienne_CHE</t>
  </si>
  <si>
    <t>en_hop_electric_boiler_BielBienne_CHE</t>
  </si>
  <si>
    <t>en_hp_air_10mw_BielBienne_CHE</t>
  </si>
  <si>
    <t>en_gas_ccgt_Riehen_CHE</t>
  </si>
  <si>
    <t>en_gas_turbine_Riehen_CHE</t>
  </si>
  <si>
    <t>en_gas_ccs_Riehen_CHE</t>
  </si>
  <si>
    <t>en_coal_subcritical_Riehen_CHE</t>
  </si>
  <si>
    <t>en_coal_supercritical_Riehen_CHE</t>
  </si>
  <si>
    <t>en_coal_ultrasupercritical_Riehen_CHE</t>
  </si>
  <si>
    <t>en_coal_igcc_Riehen_CHE</t>
  </si>
  <si>
    <t>en_nuclear_Riehen_CHE</t>
  </si>
  <si>
    <t>en_nuclear_smr_Riehen_CHE</t>
  </si>
  <si>
    <t>en_biomass_Riehen_CHE</t>
  </si>
  <si>
    <t>en_chp_gas_cc_ext_Riehen_CHE</t>
  </si>
  <si>
    <t>h_Riehen_CHE</t>
  </si>
  <si>
    <t>en_chp_biomass_chips_ext_Riehen_CHE</t>
  </si>
  <si>
    <t>en_chp_gas_cc_ext_ccs_Riehen_CHE</t>
  </si>
  <si>
    <t>en_hop_gas_boiler_Riehen_CHE</t>
  </si>
  <si>
    <t>en_hop_biomass_chips_Riehen_CHE</t>
  </si>
  <si>
    <t>en_hop_electric_boiler_Riehen_CHE</t>
  </si>
  <si>
    <t>en_hp_air_10mw_Riehen_CHE</t>
  </si>
  <si>
    <t>en_gas_ccgt_Zurich_CHE</t>
  </si>
  <si>
    <t>en_gas_turbine_Zurich_CHE</t>
  </si>
  <si>
    <t>en_gas_ccs_Zurich_CHE</t>
  </si>
  <si>
    <t>en_coal_subcritical_Zurich_CHE</t>
  </si>
  <si>
    <t>en_coal_supercritical_Zurich_CHE</t>
  </si>
  <si>
    <t>en_coal_ultrasupercritical_Zurich_CHE</t>
  </si>
  <si>
    <t>en_coal_igcc_Zurich_CHE</t>
  </si>
  <si>
    <t>en_nuclear_Zurich_CHE</t>
  </si>
  <si>
    <t>en_nuclear_smr_Zurich_CHE</t>
  </si>
  <si>
    <t>en_biomass_Zurich_CHE</t>
  </si>
  <si>
    <t>en_chp_gas_cc_ext_Zurich_CHE</t>
  </si>
  <si>
    <t>en_chp_biomass_chips_ext_Zurich_CHE</t>
  </si>
  <si>
    <t>en_chp_gas_cc_ext_ccs_Zurich_CHE</t>
  </si>
  <si>
    <t>en_hop_gas_boiler_Zurich_CHE</t>
  </si>
  <si>
    <t>en_hop_biomass_chips_Zurich_CHE</t>
  </si>
  <si>
    <t>en_hop_electric_boiler_Zurich_CHE</t>
  </si>
  <si>
    <t>en_hp_air_10mw_Zurich_CHE</t>
  </si>
  <si>
    <t>en_gas_ccgt_Winterthur_CHE</t>
  </si>
  <si>
    <t>en_gas_turbine_Winterthur_CHE</t>
  </si>
  <si>
    <t>en_gas_ccs_Winterthur_CHE</t>
  </si>
  <si>
    <t>en_coal_subcritical_Winterthur_CHE</t>
  </si>
  <si>
    <t>en_coal_supercritical_Winterthur_CHE</t>
  </si>
  <si>
    <t>en_coal_ultrasupercritical_Winterthur_CHE</t>
  </si>
  <si>
    <t>en_coal_igcc_Winterthur_CHE</t>
  </si>
  <si>
    <t>en_nuclear_Winterthur_CHE</t>
  </si>
  <si>
    <t>en_nuclear_smr_Winterthur_CHE</t>
  </si>
  <si>
    <t>en_biomass_Winterthur_CHE</t>
  </si>
  <si>
    <t>en_chp_gas_cc_ext_Winterthur_CHE</t>
  </si>
  <si>
    <t>en_chp_biomass_chips_ext_Winterthur_CHE</t>
  </si>
  <si>
    <t>en_chp_gas_cc_ext_ccs_Winterthur_CHE</t>
  </si>
  <si>
    <t>en_hop_gas_boiler_Winterthur_CHE</t>
  </si>
  <si>
    <t>en_hop_biomass_chips_Winterthur_CHE</t>
  </si>
  <si>
    <t>en_hop_electric_boiler_Winterthur_CHE</t>
  </si>
  <si>
    <t>en_hp_air_10mw_Winterthur_CHE</t>
  </si>
  <si>
    <t>en_gas_ccgt_Davos_CHE</t>
  </si>
  <si>
    <t>en_gas_turbine_Davos_CHE</t>
  </si>
  <si>
    <t>en_gas_ccs_Davos_CHE</t>
  </si>
  <si>
    <t>en_coal_subcritical_Davos_CHE</t>
  </si>
  <si>
    <t>en_coal_supercritical_Davos_CHE</t>
  </si>
  <si>
    <t>en_coal_ultrasupercritical_Davos_CHE</t>
  </si>
  <si>
    <t>en_coal_igcc_Davos_CHE</t>
  </si>
  <si>
    <t>en_nuclear_Davos_CHE</t>
  </si>
  <si>
    <t>en_nuclear_smr_Davos_CHE</t>
  </si>
  <si>
    <t>en_biomass_Davos_CHE</t>
  </si>
  <si>
    <t>en_chp_gas_cc_ext_Davos_CHE</t>
  </si>
  <si>
    <t>h_Davos_CHE</t>
  </si>
  <si>
    <t>en_chp_biomass_chips_ext_Davos_CHE</t>
  </si>
  <si>
    <t>en_chp_gas_cc_ext_ccs_Davos_CHE</t>
  </si>
  <si>
    <t>en_hop_gas_boiler_Davos_CHE</t>
  </si>
  <si>
    <t>en_hop_biomass_chips_Davos_CHE</t>
  </si>
  <si>
    <t>en_hop_electric_boiler_Davos_CHE</t>
  </si>
  <si>
    <t>en_hp_air_10mw_Davos_CHE</t>
  </si>
  <si>
    <t>en_gas_ccgt_Chur_CHE</t>
  </si>
  <si>
    <t>en_gas_turbine_Chur_CHE</t>
  </si>
  <si>
    <t>en_gas_ccs_Chur_CHE</t>
  </si>
  <si>
    <t>en_coal_subcritical_Chur_CHE</t>
  </si>
  <si>
    <t>en_coal_supercritical_Chur_CHE</t>
  </si>
  <si>
    <t>en_coal_ultrasupercritical_Chur_CHE</t>
  </si>
  <si>
    <t>en_coal_igcc_Chur_CHE</t>
  </si>
  <si>
    <t>en_nuclear_Chur_CHE</t>
  </si>
  <si>
    <t>en_nuclear_smr_Chur_CHE</t>
  </si>
  <si>
    <t>en_biomass_Chur_CHE</t>
  </si>
  <si>
    <t>en_chp_gas_cc_ext_Chur_CHE</t>
  </si>
  <si>
    <t>h_Chur_CHE</t>
  </si>
  <si>
    <t>en_chp_biomass_chips_ext_Chur_CHE</t>
  </si>
  <si>
    <t>en_chp_gas_cc_ext_ccs_Chur_CHE</t>
  </si>
  <si>
    <t>en_hop_gas_boiler_Chur_CHE</t>
  </si>
  <si>
    <t>en_hop_biomass_chips_Chur_CHE</t>
  </si>
  <si>
    <t>en_hop_electric_boiler_Chur_CHE</t>
  </si>
  <si>
    <t>en_hp_air_10mw_Chur_CHE</t>
  </si>
  <si>
    <t>en_gas_ccgt_Kriens_CHE</t>
  </si>
  <si>
    <t>en_gas_turbine_Kriens_CHE</t>
  </si>
  <si>
    <t>en_gas_ccs_Kriens_CHE</t>
  </si>
  <si>
    <t>en_coal_subcritical_Kriens_CHE</t>
  </si>
  <si>
    <t>en_coal_supercritical_Kriens_CHE</t>
  </si>
  <si>
    <t>en_coal_ultrasupercritical_Kriens_CHE</t>
  </si>
  <si>
    <t>en_coal_igcc_Kriens_CHE</t>
  </si>
  <si>
    <t>en_nuclear_Kriens_CHE</t>
  </si>
  <si>
    <t>en_nuclear_smr_Kriens_CHE</t>
  </si>
  <si>
    <t>en_biomass_Kriens_CHE</t>
  </si>
  <si>
    <t>en_chp_gas_cc_ext_Kriens_CHE</t>
  </si>
  <si>
    <t>h_Kriens_CHE</t>
  </si>
  <si>
    <t>en_chp_biomass_chips_ext_Kriens_CHE</t>
  </si>
  <si>
    <t>en_chp_gas_cc_ext_ccs_Kriens_CHE</t>
  </si>
  <si>
    <t>en_hop_gas_boiler_Kriens_CHE</t>
  </si>
  <si>
    <t>en_hop_biomass_chips_Kriens_CHE</t>
  </si>
  <si>
    <t>en_hop_electric_boiler_Kriens_CHE</t>
  </si>
  <si>
    <t>en_hp_air_10mw_Kriens_CHE</t>
  </si>
  <si>
    <t>en_gas_ccgt_Locarno_CHE</t>
  </si>
  <si>
    <t>en_gas_turbine_Locarno_CHE</t>
  </si>
  <si>
    <t>en_gas_ccs_Locarno_CHE</t>
  </si>
  <si>
    <t>en_coal_subcritical_Locarno_CHE</t>
  </si>
  <si>
    <t>en_coal_supercritical_Locarno_CHE</t>
  </si>
  <si>
    <t>en_coal_ultrasupercritical_Locarno_CHE</t>
  </si>
  <si>
    <t>en_coal_igcc_Locarno_CHE</t>
  </si>
  <si>
    <t>en_nuclear_Locarno_CHE</t>
  </si>
  <si>
    <t>en_nuclear_smr_Locarno_CHE</t>
  </si>
  <si>
    <t>en_biomass_Locarno_CHE</t>
  </si>
  <si>
    <t>en_chp_gas_cc_ext_Locarno_CHE</t>
  </si>
  <si>
    <t>h_Locarno_CHE</t>
  </si>
  <si>
    <t>en_chp_biomass_chips_ext_Locarno_CHE</t>
  </si>
  <si>
    <t>en_chp_gas_cc_ext_ccs_Locarno_CHE</t>
  </si>
  <si>
    <t>en_hop_gas_boiler_Locarno_CHE</t>
  </si>
  <si>
    <t>en_hop_biomass_chips_Locarno_CHE</t>
  </si>
  <si>
    <t>en_hop_electric_boiler_Locarno_CHE</t>
  </si>
  <si>
    <t>en_hp_air_10mw_Locarno_CHE</t>
  </si>
  <si>
    <t>en_gas_ccgt_Lugano_CHE</t>
  </si>
  <si>
    <t>en_gas_turbine_Lugano_CHE</t>
  </si>
  <si>
    <t>en_gas_ccs_Lugano_CHE</t>
  </si>
  <si>
    <t>en_coal_subcritical_Lugano_CHE</t>
  </si>
  <si>
    <t>en_coal_supercritical_Lugano_CHE</t>
  </si>
  <si>
    <t>en_coal_ultrasupercritical_Lugano_CHE</t>
  </si>
  <si>
    <t>en_coal_igcc_Lugano_CHE</t>
  </si>
  <si>
    <t>en_nuclear_Lugano_CHE</t>
  </si>
  <si>
    <t>en_nuclear_smr_Lugano_CHE</t>
  </si>
  <si>
    <t>en_biomass_Lugano_CHE</t>
  </si>
  <si>
    <t>en_chp_gas_cc_ext_Lugano_CHE</t>
  </si>
  <si>
    <t>h_Lugano_CHE</t>
  </si>
  <si>
    <t>en_chp_biomass_chips_ext_Lugano_CHE</t>
  </si>
  <si>
    <t>en_chp_gas_cc_ext_ccs_Lugano_CHE</t>
  </si>
  <si>
    <t>en_hop_gas_boiler_Lugano_CHE</t>
  </si>
  <si>
    <t>en_hop_biomass_chips_Lugano_CHE</t>
  </si>
  <si>
    <t>en_hop_electric_boiler_Lugano_CHE</t>
  </si>
  <si>
    <t>en_hp_air_10mw_Lugano_CHE</t>
  </si>
  <si>
    <t>en_gas_ccgt_Lucerne_CHE</t>
  </si>
  <si>
    <t>en_gas_turbine_Lucerne_CHE</t>
  </si>
  <si>
    <t>en_gas_ccs_Lucerne_CHE</t>
  </si>
  <si>
    <t>en_coal_subcritical_Lucerne_CHE</t>
  </si>
  <si>
    <t>en_coal_supercritical_Lucerne_CHE</t>
  </si>
  <si>
    <t>en_coal_ultrasupercritical_Lucerne_CHE</t>
  </si>
  <si>
    <t>en_coal_igcc_Lucerne_CHE</t>
  </si>
  <si>
    <t>en_nuclear_Lucerne_CHE</t>
  </si>
  <si>
    <t>en_nuclear_smr_Lucerne_CHE</t>
  </si>
  <si>
    <t>en_biomass_Lucerne_CHE</t>
  </si>
  <si>
    <t>en_chp_gas_cc_ext_Lucerne_CHE</t>
  </si>
  <si>
    <t>en_chp_biomass_chips_ext_Lucerne_CHE</t>
  </si>
  <si>
    <t>en_chp_gas_cc_ext_ccs_Lucerne_CHE</t>
  </si>
  <si>
    <t>en_hop_gas_boiler_Lucerne_CHE</t>
  </si>
  <si>
    <t>en_hop_biomass_chips_Lucerne_CHE</t>
  </si>
  <si>
    <t>en_hop_electric_boiler_Lucerne_CHE</t>
  </si>
  <si>
    <t>en_hp_air_10mw_Lucerne_CHE</t>
  </si>
  <si>
    <t>en_gas_ccgt_BrigGlis_CHE</t>
  </si>
  <si>
    <t>en_gas_turbine_BrigGlis_CHE</t>
  </si>
  <si>
    <t>en_gas_ccs_BrigGlis_CHE</t>
  </si>
  <si>
    <t>en_coal_subcritical_BrigGlis_CHE</t>
  </si>
  <si>
    <t>en_coal_supercritical_BrigGlis_CHE</t>
  </si>
  <si>
    <t>en_coal_ultrasupercritical_BrigGlis_CHE</t>
  </si>
  <si>
    <t>en_coal_igcc_BrigGlis_CHE</t>
  </si>
  <si>
    <t>en_nuclear_BrigGlis_CHE</t>
  </si>
  <si>
    <t>en_nuclear_smr_BrigGlis_CHE</t>
  </si>
  <si>
    <t>en_biomass_BrigGlis_CHE</t>
  </si>
  <si>
    <t>en_chp_gas_cc_ext_BrigGlis_CHE</t>
  </si>
  <si>
    <t>h_BrigGlis_CHE</t>
  </si>
  <si>
    <t>en_chp_biomass_chips_ext_BrigGlis_CHE</t>
  </si>
  <si>
    <t>en_chp_gas_cc_ext_ccs_BrigGlis_CHE</t>
  </si>
  <si>
    <t>en_hop_gas_boiler_BrigGlis_CHE</t>
  </si>
  <si>
    <t>en_hop_biomass_chips_BrigGlis_CHE</t>
  </si>
  <si>
    <t>en_hop_electric_boiler_BrigGlis_CHE</t>
  </si>
  <si>
    <t>en_hp_air_10mw_BrigGlis_CHE</t>
  </si>
  <si>
    <t>en_gas_ccgt_Aarau_CHE</t>
  </si>
  <si>
    <t>en_gas_turbine_Aarau_CHE</t>
  </si>
  <si>
    <t>en_gas_ccs_Aarau_CHE</t>
  </si>
  <si>
    <t>en_coal_subcritical_Aarau_CHE</t>
  </si>
  <si>
    <t>en_coal_supercritical_Aarau_CHE</t>
  </si>
  <si>
    <t>en_coal_ultrasupercritical_Aarau_CHE</t>
  </si>
  <si>
    <t>en_coal_igcc_Aarau_CHE</t>
  </si>
  <si>
    <t>en_nuclear_Aarau_CHE</t>
  </si>
  <si>
    <t>en_nuclear_smr_Aarau_CHE</t>
  </si>
  <si>
    <t>en_biomass_Aarau_CHE</t>
  </si>
  <si>
    <t>en_chp_gas_cc_ext_Aarau_CHE</t>
  </si>
  <si>
    <t>h_Aarau_CHE</t>
  </si>
  <si>
    <t>en_chp_biomass_chips_ext_Aarau_CHE</t>
  </si>
  <si>
    <t>en_chp_gas_cc_ext_ccs_Aarau_CHE</t>
  </si>
  <si>
    <t>en_hop_gas_boiler_Aarau_CHE</t>
  </si>
  <si>
    <t>en_hop_biomass_chips_Aarau_CHE</t>
  </si>
  <si>
    <t>en_hop_electric_boiler_Aarau_CHE</t>
  </si>
  <si>
    <t>en_hp_air_10mw_Aarau_CHE</t>
  </si>
  <si>
    <t>en_gas_ccgt_SanktGallen_CHE</t>
  </si>
  <si>
    <t>en_gas_turbine_SanktGallen_CHE</t>
  </si>
  <si>
    <t>en_gas_ccs_SanktGallen_CHE</t>
  </si>
  <si>
    <t>en_coal_subcritical_SanktGallen_CHE</t>
  </si>
  <si>
    <t>en_coal_supercritical_SanktGallen_CHE</t>
  </si>
  <si>
    <t>en_coal_ultrasupercritical_SanktGallen_CHE</t>
  </si>
  <si>
    <t>en_coal_igcc_SanktGallen_CHE</t>
  </si>
  <si>
    <t>en_nuclear_SanktGallen_CHE</t>
  </si>
  <si>
    <t>en_nuclear_smr_SanktGallen_CHE</t>
  </si>
  <si>
    <t>en_biomass_SanktGallen_CHE</t>
  </si>
  <si>
    <t>en_chp_gas_cc_ext_SanktGallen_CHE</t>
  </si>
  <si>
    <t>h_SanktGallen_CHE</t>
  </si>
  <si>
    <t>en_chp_biomass_chips_ext_SanktGallen_CHE</t>
  </si>
  <si>
    <t>en_chp_gas_cc_ext_ccs_SanktGallen_CHE</t>
  </si>
  <si>
    <t>en_hop_gas_boiler_SanktGallen_CHE</t>
  </si>
  <si>
    <t>en_hop_biomass_chips_SanktGallen_CHE</t>
  </si>
  <si>
    <t>en_hop_electric_boiler_SanktGallen_CHE</t>
  </si>
  <si>
    <t>en_hp_air_10mw_SanktGallen_CHE</t>
  </si>
  <si>
    <t>en_gas_ccgt_Dietikon_CHE</t>
  </si>
  <si>
    <t>en_gas_turbine_Dietikon_CHE</t>
  </si>
  <si>
    <t>en_gas_ccs_Dietikon_CHE</t>
  </si>
  <si>
    <t>en_coal_subcritical_Dietikon_CHE</t>
  </si>
  <si>
    <t>en_coal_supercritical_Dietikon_CHE</t>
  </si>
  <si>
    <t>en_coal_ultrasupercritical_Dietikon_CHE</t>
  </si>
  <si>
    <t>en_coal_igcc_Dietikon_CHE</t>
  </si>
  <si>
    <t>en_nuclear_Dietikon_CHE</t>
  </si>
  <si>
    <t>en_nuclear_smr_Dietikon_CHE</t>
  </si>
  <si>
    <t>en_biomass_Dietikon_CHE</t>
  </si>
  <si>
    <t>en_chp_gas_cc_ext_Dietikon_CHE</t>
  </si>
  <si>
    <t>en_chp_biomass_chips_ext_Dietikon_CHE</t>
  </si>
  <si>
    <t>en_chp_gas_cc_ext_ccs_Dietikon_CHE</t>
  </si>
  <si>
    <t>en_hop_gas_boiler_Dietikon_CHE</t>
  </si>
  <si>
    <t>en_hop_biomass_chips_Dietikon_CHE</t>
  </si>
  <si>
    <t>en_hop_electric_boiler_Dietikon_CHE</t>
  </si>
  <si>
    <t>en_hp_air_10mw_Dietikon_CHE</t>
  </si>
  <si>
    <t>en_gas_ccgt_Brugg_CHE</t>
  </si>
  <si>
    <t>en_gas_turbine_Brugg_CHE</t>
  </si>
  <si>
    <t>en_gas_ccs_Brugg_CHE</t>
  </si>
  <si>
    <t>en_coal_subcritical_Brugg_CHE</t>
  </si>
  <si>
    <t>en_coal_supercritical_Brugg_CHE</t>
  </si>
  <si>
    <t>en_coal_ultrasupercritical_Brugg_CHE</t>
  </si>
  <si>
    <t>en_coal_igcc_Brugg_CHE</t>
  </si>
  <si>
    <t>en_nuclear_Brugg_CHE</t>
  </si>
  <si>
    <t>en_nuclear_smr_Brugg_CHE</t>
  </si>
  <si>
    <t>en_biomass_Brugg_CHE</t>
  </si>
  <si>
    <t>en_chp_gas_cc_ext_Brugg_CHE</t>
  </si>
  <si>
    <t>h_Brugg_CHE</t>
  </si>
  <si>
    <t>en_chp_biomass_chips_ext_Brugg_CHE</t>
  </si>
  <si>
    <t>en_chp_gas_cc_ext_ccs_Brugg_CHE</t>
  </si>
  <si>
    <t>en_hop_gas_boiler_Brugg_CHE</t>
  </si>
  <si>
    <t>en_hop_biomass_chips_Brugg_CHE</t>
  </si>
  <si>
    <t>en_hop_electric_boiler_Brugg_CHE</t>
  </si>
  <si>
    <t>en_hp_air_10mw_Brugg_CHE</t>
  </si>
  <si>
    <t>en_gas_ccgt_Fully_CHE</t>
  </si>
  <si>
    <t>en_gas_turbine_Fully_CHE</t>
  </si>
  <si>
    <t>en_gas_ccs_Fully_CHE</t>
  </si>
  <si>
    <t>en_coal_subcritical_Fully_CHE</t>
  </si>
  <si>
    <t>en_coal_supercritical_Fully_CHE</t>
  </si>
  <si>
    <t>en_coal_ultrasupercritical_Fully_CHE</t>
  </si>
  <si>
    <t>en_coal_igcc_Fully_CHE</t>
  </si>
  <si>
    <t>en_nuclear_Fully_CHE</t>
  </si>
  <si>
    <t>en_nuclear_smr_Fully_CHE</t>
  </si>
  <si>
    <t>en_biomass_Fully_CHE</t>
  </si>
  <si>
    <t>en_chp_gas_cc_ext_Fully_CHE</t>
  </si>
  <si>
    <t>en_chp_biomass_chips_ext_Fully_CHE</t>
  </si>
  <si>
    <t>en_chp_gas_cc_ext_ccs_Fully_CHE</t>
  </si>
  <si>
    <t>en_hop_gas_boiler_Fully_CHE</t>
  </si>
  <si>
    <t>en_hop_biomass_chips_Fully_CHE</t>
  </si>
  <si>
    <t>en_hop_electric_boiler_Fully_CHE</t>
  </si>
  <si>
    <t>en_hp_air_10mw_Fully_CHE</t>
  </si>
  <si>
    <t>en_gas_ccgt_Bellinzona_CHE</t>
  </si>
  <si>
    <t>en_gas_turbine_Bellinzona_CHE</t>
  </si>
  <si>
    <t>en_gas_ccs_Bellinzona_CHE</t>
  </si>
  <si>
    <t>en_coal_subcritical_Bellinzona_CHE</t>
  </si>
  <si>
    <t>en_coal_supercritical_Bellinzona_CHE</t>
  </si>
  <si>
    <t>en_coal_ultrasupercritical_Bellinzona_CHE</t>
  </si>
  <si>
    <t>en_coal_igcc_Bellinzona_CHE</t>
  </si>
  <si>
    <t>en_nuclear_Bellinzona_CHE</t>
  </si>
  <si>
    <t>en_nuclear_smr_Bellinzona_CHE</t>
  </si>
  <si>
    <t>en_biomass_Bellinzona_CHE</t>
  </si>
  <si>
    <t>en_chp_gas_cc_ext_Bellinzona_CHE</t>
  </si>
  <si>
    <t>h_Bellinzona_CHE</t>
  </si>
  <si>
    <t>en_chp_biomass_chips_ext_Bellinzona_CHE</t>
  </si>
  <si>
    <t>en_chp_gas_cc_ext_ccs_Bellinzona_CHE</t>
  </si>
  <si>
    <t>en_hop_gas_boiler_Bellinzona_CHE</t>
  </si>
  <si>
    <t>en_hop_biomass_chips_Bellinzona_CHE</t>
  </si>
  <si>
    <t>en_hop_electric_boiler_Bellinzona_CHE</t>
  </si>
  <si>
    <t>en_hp_air_10mw_Bellinzona_CHE</t>
  </si>
  <si>
    <t>en_battery_4h_Bern_CHE</t>
  </si>
  <si>
    <t>en_battery_8h_Bern_CHE</t>
  </si>
  <si>
    <t>en_battery_4h_Geneva_CHE</t>
  </si>
  <si>
    <t>en_battery_8h_Geneva_CHE</t>
  </si>
  <si>
    <t>en_battery_4h_Landquart_CHE</t>
  </si>
  <si>
    <t>en_battery_8h_Landquart_CHE</t>
  </si>
  <si>
    <t>en_battery_4h_Thun_CHE</t>
  </si>
  <si>
    <t>en_battery_8h_Thun_CHE</t>
  </si>
  <si>
    <t>en_battery_4h_Montreux_CHE</t>
  </si>
  <si>
    <t>en_battery_8h_Montreux_CHE</t>
  </si>
  <si>
    <t>en_battery_4h_YverdonLesBains_CHE</t>
  </si>
  <si>
    <t>en_battery_8h_YverdonLesBains_CHE</t>
  </si>
  <si>
    <t>en_battery_4h_BielBienne_CHE</t>
  </si>
  <si>
    <t>en_battery_8h_BielBienne_CHE</t>
  </si>
  <si>
    <t>en_battery_4h_Riehen_CHE</t>
  </si>
  <si>
    <t>en_battery_8h_Riehen_CHE</t>
  </si>
  <si>
    <t>en_battery_4h_Zurich_CHE</t>
  </si>
  <si>
    <t>en_battery_8h_Zurich_CHE</t>
  </si>
  <si>
    <t>en_battery_4h_Winterthur_CHE</t>
  </si>
  <si>
    <t>en_battery_8h_Winterthur_CHE</t>
  </si>
  <si>
    <t>en_battery_4h_Davos_CHE</t>
  </si>
  <si>
    <t>en_battery_8h_Davos_CHE</t>
  </si>
  <si>
    <t>en_battery_4h_Chur_CHE</t>
  </si>
  <si>
    <t>en_battery_8h_Chur_CHE</t>
  </si>
  <si>
    <t>en_battery_4h_Kriens_CHE</t>
  </si>
  <si>
    <t>en_battery_8h_Kriens_CHE</t>
  </si>
  <si>
    <t>en_battery_4h_Locarno_CHE</t>
  </si>
  <si>
    <t>en_battery_8h_Locarno_CHE</t>
  </si>
  <si>
    <t>en_battery_4h_Lugano_CHE</t>
  </si>
  <si>
    <t>en_battery_8h_Lugano_CHE</t>
  </si>
  <si>
    <t>en_battery_4h_Lucerne_CHE</t>
  </si>
  <si>
    <t>en_battery_8h_Lucerne_CHE</t>
  </si>
  <si>
    <t>en_battery_4h_BrigGlis_CHE</t>
  </si>
  <si>
    <t>en_battery_8h_BrigGlis_CHE</t>
  </si>
  <si>
    <t>en_battery_4h_Aarau_CHE</t>
  </si>
  <si>
    <t>en_battery_8h_Aarau_CHE</t>
  </si>
  <si>
    <t>en_battery_4h_SanktGallen_CHE</t>
  </si>
  <si>
    <t>en_battery_8h_SanktGallen_CHE</t>
  </si>
  <si>
    <t>en_battery_4h_Dietikon_CHE</t>
  </si>
  <si>
    <t>en_battery_8h_Dietikon_CHE</t>
  </si>
  <si>
    <t>en_battery_4h_Brugg_CHE</t>
  </si>
  <si>
    <t>en_battery_8h_Brugg_CHE</t>
  </si>
  <si>
    <t>en_battery_4h_Fully_CHE</t>
  </si>
  <si>
    <t>en_battery_8h_Fully_CHE</t>
  </si>
  <si>
    <t>en_battery_4h_Bellinzona_CHE</t>
  </si>
  <si>
    <t>en_battery_8h_Bellinzona_CHE</t>
  </si>
  <si>
    <t>UCE_elcagg_spv_CHE_001</t>
  </si>
  <si>
    <t>elc_spv_CHE_001</t>
  </si>
  <si>
    <t>UCE_elcagg_spv_CHE_002</t>
  </si>
  <si>
    <t>elc_spv_CHE_002</t>
  </si>
  <si>
    <t>UCE_elcagg_spv_CHE_003</t>
  </si>
  <si>
    <t>elc_spv_CHE_003</t>
  </si>
  <si>
    <t>UCE_elcagg_spv_CHE_004</t>
  </si>
  <si>
    <t>elc_spv_CHE_004</t>
  </si>
  <si>
    <t>UCE_elcagg_spv_CHE_005</t>
  </si>
  <si>
    <t>elc_spv_CHE_005</t>
  </si>
  <si>
    <t>UCE_elcagg_spv_CHE_006</t>
  </si>
  <si>
    <t>elc_spv_CHE_006</t>
  </si>
  <si>
    <t>UCE_elcagg_spv_CHE_007</t>
  </si>
  <si>
    <t>elc_spv_CHE_007</t>
  </si>
  <si>
    <t>UCE_elcagg_spv_CHE_008</t>
  </si>
  <si>
    <t>elc_spv_CHE_008</t>
  </si>
  <si>
    <t>UCE_elcagg_spv_CHE_009</t>
  </si>
  <si>
    <t>elc_spv_CHE_009</t>
  </si>
  <si>
    <t>UCE_elcagg_spv_CHE_010</t>
  </si>
  <si>
    <t>elc_spv_CHE_010</t>
  </si>
  <si>
    <t>UCE_elcagg_won_CHE_001</t>
  </si>
  <si>
    <t>elc_won_CHE_001</t>
  </si>
  <si>
    <t>UCE_elcagg_won_CHE_002</t>
  </si>
  <si>
    <t>elc_won_CHE_002</t>
  </si>
  <si>
    <t>UCE_elcagg_won_CHE_003</t>
  </si>
  <si>
    <t>elc_won_CHE_003</t>
  </si>
  <si>
    <t>UCE_elcagg_won_CHE_004</t>
  </si>
  <si>
    <t>elc_won_CHE_004</t>
  </si>
  <si>
    <t>UCE_elcagg_won_CHE_005</t>
  </si>
  <si>
    <t>elc_won_CHE_005</t>
  </si>
  <si>
    <t>UCE_elcagg_won_CHE_006</t>
  </si>
  <si>
    <t>elc_won_CHE_006</t>
  </si>
  <si>
    <t>g_Aosta_ITA-Milan_ITA</t>
  </si>
  <si>
    <t>e_demand_Alghero_ITA</t>
  </si>
  <si>
    <t>ITA</t>
  </si>
  <si>
    <t>e_Alghero_ITA</t>
  </si>
  <si>
    <t>en_gas_ccgt_Alghero_ITA</t>
  </si>
  <si>
    <t>g_Aosta_ITA-SanRemo_ITA</t>
  </si>
  <si>
    <t>e_demand_Morbegno_ITA</t>
  </si>
  <si>
    <t>e_Morbegno_ITA</t>
  </si>
  <si>
    <t>en_gas_turbine_Alghero_ITA</t>
  </si>
  <si>
    <t>g_Aosta_ITA-Verbania_ITA</t>
  </si>
  <si>
    <t>e_demand_Aosta_ITA</t>
  </si>
  <si>
    <t>e_Aosta_ITA</t>
  </si>
  <si>
    <t>en_gas_ccs_Alghero_ITA</t>
  </si>
  <si>
    <t>g_Brescia_ITA-Tirano_ITA</t>
  </si>
  <si>
    <t>e_demand_Calimera_ITA</t>
  </si>
  <si>
    <t>e_Calimera_ITA</t>
  </si>
  <si>
    <t>en_coal_subcritical_Alghero_ITA</t>
  </si>
  <si>
    <t>g_Brescia_ITA-Trento_ITA</t>
  </si>
  <si>
    <t>e_demand_SanRemo_ITA</t>
  </si>
  <si>
    <t>e_SanRemo_ITA</t>
  </si>
  <si>
    <t>en_coal_supercritical_Alghero_ITA</t>
  </si>
  <si>
    <t>g_Civitavecchia_ITA-Latina_ITA</t>
  </si>
  <si>
    <t>e_demand_Verbania_ITA</t>
  </si>
  <si>
    <t>e_Verbania_ITA</t>
  </si>
  <si>
    <t>en_coal_ultrasupercritical_Alghero_ITA</t>
  </si>
  <si>
    <t>g_Civitavecchia_ITA-Pescara_ITA</t>
  </si>
  <si>
    <t>e_demand_Domodossola_ITA</t>
  </si>
  <si>
    <t>e_Domodossola_ITA</t>
  </si>
  <si>
    <t>en_coal_igcc_Alghero_ITA</t>
  </si>
  <si>
    <t>g_Como_ITA-Milan_ITA</t>
  </si>
  <si>
    <t>e_demand_Messina_ITA</t>
  </si>
  <si>
    <t>e_Messina_ITA</t>
  </si>
  <si>
    <t>en_nuclear_Alghero_ITA</t>
  </si>
  <si>
    <t>g_Lana_ITA-Tirano_ITA</t>
  </si>
  <si>
    <t>e_demand_Latina_ITA</t>
  </si>
  <si>
    <t>e_Latina_ITA</t>
  </si>
  <si>
    <t>en_nuclear_smr_Alghero_ITA</t>
  </si>
  <si>
    <t>g_Lana_ITA-Trento_ITA</t>
  </si>
  <si>
    <t>e_demand_Piombino_ITA</t>
  </si>
  <si>
    <t>e_Piombino_ITA</t>
  </si>
  <si>
    <t>en_biomass_Alghero_ITA</t>
  </si>
  <si>
    <t>g_Latina_ITA-Pescara_ITA</t>
  </si>
  <si>
    <t>e_demand_Trento_ITA</t>
  </si>
  <si>
    <t>e_Trento_ITA</t>
  </si>
  <si>
    <t>en_chp_gas_cc_ext_Alghero_ITA</t>
  </si>
  <si>
    <t>g_Lecce_ITA-Calimera_ITA</t>
  </si>
  <si>
    <t>e_demand_Pordenone_ITA</t>
  </si>
  <si>
    <t>e_Pordenone_ITA</t>
  </si>
  <si>
    <t>h_Alghero_ITA</t>
  </si>
  <si>
    <t>g_Messina_ITA-Calimera_ITA</t>
  </si>
  <si>
    <t>e_demand_Sassari_ITA</t>
  </si>
  <si>
    <t>e_Sassari_ITA</t>
  </si>
  <si>
    <t>en_chp_biomass_chips_ext_Alghero_ITA</t>
  </si>
  <si>
    <t>g_Messina_ITA-Lecce_ITA</t>
  </si>
  <si>
    <t>e_demand_Trieste_ITA</t>
  </si>
  <si>
    <t>e_Trieste_ITA</t>
  </si>
  <si>
    <t>g_Milan_ITA-Brescia_ITA</t>
  </si>
  <si>
    <t>e_demand_Brescia_ITA</t>
  </si>
  <si>
    <t>e_Brescia_ITA</t>
  </si>
  <si>
    <t>en_chp_gas_cc_ext_ccs_Alghero_ITA</t>
  </si>
  <si>
    <t>g_Milan_ITA-Morbegno_ITA</t>
  </si>
  <si>
    <t>e_demand_Pinerolo_ITA</t>
  </si>
  <si>
    <t>e_Pinerolo_ITA</t>
  </si>
  <si>
    <t>g_Milan_ITA-Piombino_ITA</t>
  </si>
  <si>
    <t>e_demand_Pescara_ITA</t>
  </si>
  <si>
    <t>e_Pescara_ITA</t>
  </si>
  <si>
    <t>en_hop_gas_boiler_Alghero_ITA</t>
  </si>
  <si>
    <t>g_Milan_ITA-Tirano_ITA</t>
  </si>
  <si>
    <t>e_demand_Palermo_ITA</t>
  </si>
  <si>
    <t>e_Palermo_ITA</t>
  </si>
  <si>
    <t>en_hop_biomass_chips_Alghero_ITA</t>
  </si>
  <si>
    <t>g_Morbegno_ITA-Tirano_ITA</t>
  </si>
  <si>
    <t>e_demand_Civitavecchia_ITA</t>
  </si>
  <si>
    <t>e_Civitavecchia_ITA</t>
  </si>
  <si>
    <t>en_hop_electric_boiler_Alghero_ITA</t>
  </si>
  <si>
    <t>g_Palermo_ITA-Messina_ITA</t>
  </si>
  <si>
    <t>e_demand_Lecce_ITA</t>
  </si>
  <si>
    <t>e_Lecce_ITA</t>
  </si>
  <si>
    <t>g_Pescara_ITA-Lecce_ITA</t>
  </si>
  <si>
    <t>e_demand_Gorizia_ITA</t>
  </si>
  <si>
    <t>e_Gorizia_ITA</t>
  </si>
  <si>
    <t>en_hp_air_10mw_Alghero_ITA</t>
  </si>
  <si>
    <t>g_Pescara_ITA-Messina_ITA</t>
  </si>
  <si>
    <t>e_demand_Tirano_ITA</t>
  </si>
  <si>
    <t>e_Tirano_ITA</t>
  </si>
  <si>
    <t>g_Pinerolo_ITA-Aosta_ITA</t>
  </si>
  <si>
    <t>e_demand_Como_ITA</t>
  </si>
  <si>
    <t>e_Como_ITA</t>
  </si>
  <si>
    <t>en_gas_ccgt_Morbegno_ITA</t>
  </si>
  <si>
    <t>g_Pinerolo_ITA-SanRemo_ITA</t>
  </si>
  <si>
    <t>e_demand_Milan_ITA</t>
  </si>
  <si>
    <t>e_Milan_ITA</t>
  </si>
  <si>
    <t>en_gas_turbine_Morbegno_ITA</t>
  </si>
  <si>
    <t>g_Piombino_ITA-Brescia_ITA</t>
  </si>
  <si>
    <t>e_demand_Lana_ITA</t>
  </si>
  <si>
    <t>e_Lana_ITA</t>
  </si>
  <si>
    <t>en_gas_ccs_Morbegno_ITA</t>
  </si>
  <si>
    <t>g_Piombino_ITA-Civitavecchia_ITA</t>
  </si>
  <si>
    <t>ev_battery_Alghero_ITA</t>
  </si>
  <si>
    <t>en_coal_subcritical_Morbegno_ITA</t>
  </si>
  <si>
    <t>g_Piombino_ITA-Pescara_ITA</t>
  </si>
  <si>
    <t>ev_battery_Morbegno_ITA</t>
  </si>
  <si>
    <t>en_coal_supercritical_Morbegno_ITA</t>
  </si>
  <si>
    <t>g_Piombino_ITA-Pordenone_ITA</t>
  </si>
  <si>
    <t>ev_battery_Aosta_ITA</t>
  </si>
  <si>
    <t>en_coal_ultrasupercritical_Morbegno_ITA</t>
  </si>
  <si>
    <t>g_Pordenone_ITA-Trieste_ITA</t>
  </si>
  <si>
    <t>ev_battery_Calimera_ITA</t>
  </si>
  <si>
    <t>en_coal_igcc_Morbegno_ITA</t>
  </si>
  <si>
    <t>g_SanRemo_ITA-Milan_ITA</t>
  </si>
  <si>
    <t>ev_battery_SanRemo_ITA</t>
  </si>
  <si>
    <t>en_nuclear_Morbegno_ITA</t>
  </si>
  <si>
    <t>g_Sassari_ITA-Alghero_ITA</t>
  </si>
  <si>
    <t>ev_battery_Verbania_ITA</t>
  </si>
  <si>
    <t>en_nuclear_smr_Morbegno_ITA</t>
  </si>
  <si>
    <t>g_Sassari_ITA-Latina_ITA</t>
  </si>
  <si>
    <t>ev_battery_Domodossola_ITA</t>
  </si>
  <si>
    <t>en_biomass_Morbegno_ITA</t>
  </si>
  <si>
    <t>g_Tirano_ITA-Trento_ITA</t>
  </si>
  <si>
    <t>ev_battery_Messina_ITA</t>
  </si>
  <si>
    <t>en_chp_gas_cc_ext_Morbegno_ITA</t>
  </si>
  <si>
    <t>g_Trento_ITA-Milan_ITA</t>
  </si>
  <si>
    <t>ev_battery_Latina_ITA</t>
  </si>
  <si>
    <t>h_Morbegno_ITA</t>
  </si>
  <si>
    <t>g_Trento_ITA-Piombino_ITA</t>
  </si>
  <si>
    <t>ev_battery_Piombino_ITA</t>
  </si>
  <si>
    <t>en_chp_biomass_chips_ext_Morbegno_ITA</t>
  </si>
  <si>
    <t>g_Trento_ITA-Pordenone_ITA</t>
  </si>
  <si>
    <t>ev_battery_Trento_ITA</t>
  </si>
  <si>
    <t>g_Trieste_ITA-Gorizia_ITA</t>
  </si>
  <si>
    <t>ev_battery_Pordenone_ITA</t>
  </si>
  <si>
    <t>en_chp_gas_cc_ext_ccs_Morbegno_ITA</t>
  </si>
  <si>
    <t>g_Verbania_ITA-Como_ITA</t>
  </si>
  <si>
    <t>ev_battery_Sassari_ITA</t>
  </si>
  <si>
    <t>g_Verbania_ITA-Domodossola_ITA</t>
  </si>
  <si>
    <t>ev_battery_Trieste_ITA</t>
  </si>
  <si>
    <t>en_hop_gas_boiler_Morbegno_ITA</t>
  </si>
  <si>
    <t>g_Verbania_ITA-Milan_ITA</t>
  </si>
  <si>
    <t>ev_battery_Brescia_ITA</t>
  </si>
  <si>
    <t>en_hop_biomass_chips_Morbegno_ITA</t>
  </si>
  <si>
    <t>ev_battery_Pinerolo_ITA</t>
  </si>
  <si>
    <t>en_hop_electric_boiler_Morbegno_ITA</t>
  </si>
  <si>
    <t>ev_battery_Pescara_ITA</t>
  </si>
  <si>
    <t>ev_battery_Palermo_ITA</t>
  </si>
  <si>
    <t>en_hp_air_10mw_Morbegno_ITA</t>
  </si>
  <si>
    <t>ev_battery_Civitavecchia_ITA</t>
  </si>
  <si>
    <t>ev_battery_Lecce_ITA</t>
  </si>
  <si>
    <t>en_gas_ccgt_Aosta_ITA</t>
  </si>
  <si>
    <t>ev_battery_Gorizia_ITA</t>
  </si>
  <si>
    <t>en_gas_turbine_Aosta_ITA</t>
  </si>
  <si>
    <t>ev_battery_Tirano_ITA</t>
  </si>
  <si>
    <t>en_gas_ccs_Aosta_ITA</t>
  </si>
  <si>
    <t>ev_battery_Como_ITA</t>
  </si>
  <si>
    <t>en_coal_subcritical_Aosta_ITA</t>
  </si>
  <si>
    <t>ev_battery_Milan_ITA</t>
  </si>
  <si>
    <t>en_coal_supercritical_Aosta_ITA</t>
  </si>
  <si>
    <t>ev_battery_Lana_ITA</t>
  </si>
  <si>
    <t>en_coal_ultrasupercritical_Aosta_ITA</t>
  </si>
  <si>
    <t>H2prd_Elc_PEM_Alghero_ITA</t>
  </si>
  <si>
    <t>en_coal_igcc_Aosta_ITA</t>
  </si>
  <si>
    <t>H2prd_Elc_PEM_Morbegno_ITA</t>
  </si>
  <si>
    <t>en_nuclear_Aosta_ITA</t>
  </si>
  <si>
    <t>H2prd_Elc_PEM_Aosta_ITA</t>
  </si>
  <si>
    <t>en_nuclear_smr_Aosta_ITA</t>
  </si>
  <si>
    <t>H2prd_Elc_PEM_Calimera_ITA</t>
  </si>
  <si>
    <t>en_biomass_Aosta_ITA</t>
  </si>
  <si>
    <t>H2prd_Elc_PEM_SanRemo_ITA</t>
  </si>
  <si>
    <t>en_chp_gas_cc_ext_Aosta_ITA</t>
  </si>
  <si>
    <t>H2prd_Elc_PEM_Verbania_ITA</t>
  </si>
  <si>
    <t>h_Aosta_ITA</t>
  </si>
  <si>
    <t>H2prd_Elc_PEM_Domodossola_ITA</t>
  </si>
  <si>
    <t>en_chp_biomass_chips_ext_Aosta_ITA</t>
  </si>
  <si>
    <t>H2prd_Elc_PEM_Messina_ITA</t>
  </si>
  <si>
    <t>H2prd_Elc_PEM_Latina_ITA</t>
  </si>
  <si>
    <t>en_chp_gas_cc_ext_ccs_Aosta_ITA</t>
  </si>
  <si>
    <t>H2prd_Elc_PEM_Piombino_ITA</t>
  </si>
  <si>
    <t>H2prd_Elc_PEM_Trento_ITA</t>
  </si>
  <si>
    <t>en_hop_gas_boiler_Aosta_ITA</t>
  </si>
  <si>
    <t>H2prd_Elc_PEM_Pordenone_ITA</t>
  </si>
  <si>
    <t>en_hop_biomass_chips_Aosta_ITA</t>
  </si>
  <si>
    <t>H2prd_Elc_PEM_Sassari_ITA</t>
  </si>
  <si>
    <t>en_hop_electric_boiler_Aosta_ITA</t>
  </si>
  <si>
    <t>H2prd_Elc_PEM_Trieste_ITA</t>
  </si>
  <si>
    <t>H2prd_Elc_PEM_Brescia_ITA</t>
  </si>
  <si>
    <t>en_hp_air_10mw_Aosta_ITA</t>
  </si>
  <si>
    <t>H2prd_Elc_PEM_Pinerolo_ITA</t>
  </si>
  <si>
    <t>H2prd_Elc_PEM_Pescara_ITA</t>
  </si>
  <si>
    <t>en_gas_ccgt_Calimera_ITA</t>
  </si>
  <si>
    <t>H2prd_Elc_PEM_Palermo_ITA</t>
  </si>
  <si>
    <t>en_gas_turbine_Calimera_ITA</t>
  </si>
  <si>
    <t>H2prd_Elc_PEM_Civitavecchia_ITA</t>
  </si>
  <si>
    <t>en_gas_ccs_Calimera_ITA</t>
  </si>
  <si>
    <t>H2prd_Elc_PEM_Lecce_ITA</t>
  </si>
  <si>
    <t>en_coal_subcritical_Calimera_ITA</t>
  </si>
  <si>
    <t>H2prd_Elc_PEM_Gorizia_ITA</t>
  </si>
  <si>
    <t>en_coal_supercritical_Calimera_ITA</t>
  </si>
  <si>
    <t>H2prd_Elc_PEM_Tirano_ITA</t>
  </si>
  <si>
    <t>en_coal_ultrasupercritical_Calimera_ITA</t>
  </si>
  <si>
    <t>H2prd_Elc_PEM_Como_ITA</t>
  </si>
  <si>
    <t>en_coal_igcc_Calimera_ITA</t>
  </si>
  <si>
    <t>H2prd_Elc_PEM_Milan_ITA</t>
  </si>
  <si>
    <t>en_nuclear_Calimera_ITA</t>
  </si>
  <si>
    <t>H2prd_Elc_PEM_Lana_ITA</t>
  </si>
  <si>
    <t>en_nuclear_smr_Calimera_ITA</t>
  </si>
  <si>
    <t>H2prd_Elc_ALK_Alghero_ITA</t>
  </si>
  <si>
    <t>en_biomass_Calimera_ITA</t>
  </si>
  <si>
    <t>H2prd_Elc_ALK_Morbegno_ITA</t>
  </si>
  <si>
    <t>en_chp_gas_cc_ext_Calimera_ITA</t>
  </si>
  <si>
    <t>H2prd_Elc_ALK_Aosta_ITA</t>
  </si>
  <si>
    <t>h_Calimera_ITA</t>
  </si>
  <si>
    <t>H2prd_Elc_ALK_Calimera_ITA</t>
  </si>
  <si>
    <t>en_chp_biomass_chips_ext_Calimera_ITA</t>
  </si>
  <si>
    <t>H2prd_Elc_ALK_SanRemo_ITA</t>
  </si>
  <si>
    <t>H2prd_Elc_ALK_Verbania_ITA</t>
  </si>
  <si>
    <t>en_chp_gas_cc_ext_ccs_Calimera_ITA</t>
  </si>
  <si>
    <t>H2prd_Elc_ALK_Domodossola_ITA</t>
  </si>
  <si>
    <t>H2prd_Elc_ALK_Messina_ITA</t>
  </si>
  <si>
    <t>en_hop_gas_boiler_Calimera_ITA</t>
  </si>
  <si>
    <t>H2prd_Elc_ALK_Latina_ITA</t>
  </si>
  <si>
    <t>en_hop_biomass_chips_Calimera_ITA</t>
  </si>
  <si>
    <t>H2prd_Elc_ALK_Piombino_ITA</t>
  </si>
  <si>
    <t>en_hop_electric_boiler_Calimera_ITA</t>
  </si>
  <si>
    <t>H2prd_Elc_ALK_Trento_ITA</t>
  </si>
  <si>
    <t>H2prd_Elc_ALK_Pordenone_ITA</t>
  </si>
  <si>
    <t>en_hp_air_10mw_Calimera_ITA</t>
  </si>
  <si>
    <t>H2prd_Elc_ALK_Sassari_ITA</t>
  </si>
  <si>
    <t>H2prd_Elc_ALK_Trieste_ITA</t>
  </si>
  <si>
    <t>en_gas_ccgt_SanRemo_ITA</t>
  </si>
  <si>
    <t>H2prd_Elc_ALK_Brescia_ITA</t>
  </si>
  <si>
    <t>en_gas_turbine_SanRemo_ITA</t>
  </si>
  <si>
    <t>H2prd_Elc_ALK_Pinerolo_ITA</t>
  </si>
  <si>
    <t>en_gas_ccs_SanRemo_ITA</t>
  </si>
  <si>
    <t>H2prd_Elc_ALK_Pescara_ITA</t>
  </si>
  <si>
    <t>en_coal_subcritical_SanRemo_ITA</t>
  </si>
  <si>
    <t>H2prd_Elc_ALK_Palermo_ITA</t>
  </si>
  <si>
    <t>en_coal_supercritical_SanRemo_ITA</t>
  </si>
  <si>
    <t>H2prd_Elc_ALK_Civitavecchia_ITA</t>
  </si>
  <si>
    <t>en_coal_ultrasupercritical_SanRemo_ITA</t>
  </si>
  <si>
    <t>H2prd_Elc_ALK_Lecce_ITA</t>
  </si>
  <si>
    <t>en_coal_igcc_SanRemo_ITA</t>
  </si>
  <si>
    <t>H2prd_Elc_ALK_Gorizia_ITA</t>
  </si>
  <si>
    <t>en_nuclear_SanRemo_ITA</t>
  </si>
  <si>
    <t>H2prd_Elc_ALK_Tirano_ITA</t>
  </si>
  <si>
    <t>en_nuclear_smr_SanRemo_ITA</t>
  </si>
  <si>
    <t>H2prd_Elc_ALK_Como_ITA</t>
  </si>
  <si>
    <t>en_biomass_SanRemo_ITA</t>
  </si>
  <si>
    <t>H2prd_Elc_ALK_Milan_ITA</t>
  </si>
  <si>
    <t>en_chp_gas_cc_ext_SanRemo_ITA</t>
  </si>
  <si>
    <t>H2prd_Elc_ALK_Lana_ITA</t>
  </si>
  <si>
    <t>h_SanRemo_ITA</t>
  </si>
  <si>
    <t>h_demand_Pescara_ITA</t>
  </si>
  <si>
    <t>h_Pescara_ITA</t>
  </si>
  <si>
    <t>en_chp_biomass_chips_ext_SanRemo_ITA</t>
  </si>
  <si>
    <t>h_demand_Brescia_ITA</t>
  </si>
  <si>
    <t>h_Brescia_ITA</t>
  </si>
  <si>
    <t>h_demand_Aosta_ITA</t>
  </si>
  <si>
    <t>en_chp_gas_cc_ext_ccs_SanRemo_ITA</t>
  </si>
  <si>
    <t>h_demand_Civitavecchia_ITA</t>
  </si>
  <si>
    <t>h_Civitavecchia_ITA</t>
  </si>
  <si>
    <t>h_demand_Milan_ITA</t>
  </si>
  <si>
    <t>h_Milan_ITA</t>
  </si>
  <si>
    <t>en_hop_gas_boiler_SanRemo_ITA</t>
  </si>
  <si>
    <t>h_demand_Piombino_ITA</t>
  </si>
  <si>
    <t>h_Piombino_ITA</t>
  </si>
  <si>
    <t>en_hop_biomass_chips_SanRemo_ITA</t>
  </si>
  <si>
    <t>h_demand_Pordenone_ITA</t>
  </si>
  <si>
    <t>h_Pordenone_ITA</t>
  </si>
  <si>
    <t>en_hop_electric_boiler_SanRemo_ITA</t>
  </si>
  <si>
    <t>h_demand_Verbania_ITA</t>
  </si>
  <si>
    <t>h_Verbania_ITA</t>
  </si>
  <si>
    <t>h_demand_Trento_ITA</t>
  </si>
  <si>
    <t>h_Trento_ITA</t>
  </si>
  <si>
    <t>en_hp_air_10mw_SanRemo_ITA</t>
  </si>
  <si>
    <t>h_demand_Messina_ITA</t>
  </si>
  <si>
    <t>h_Messina_ITA</t>
  </si>
  <si>
    <t>h_demand_Alghero_ITA</t>
  </si>
  <si>
    <t>en_gas_ccgt_Verbania_ITA</t>
  </si>
  <si>
    <t>h_demand_Lecce_ITA</t>
  </si>
  <si>
    <t>h_Lecce_ITA</t>
  </si>
  <si>
    <t>en_gas_turbine_Verbania_ITA</t>
  </si>
  <si>
    <t>h_demand_Latina_ITA</t>
  </si>
  <si>
    <t>h_Latina_ITA</t>
  </si>
  <si>
    <t>en_gas_ccs_Verbania_ITA</t>
  </si>
  <si>
    <t>h_demand_Trieste_ITA</t>
  </si>
  <si>
    <t>h_Trieste_ITA</t>
  </si>
  <si>
    <t>en_coal_subcritical_Verbania_ITA</t>
  </si>
  <si>
    <t>h_demand_Sassari_ITA</t>
  </si>
  <si>
    <t>h_Sassari_ITA</t>
  </si>
  <si>
    <t>en_coal_supercritical_Verbania_ITA</t>
  </si>
  <si>
    <t>h_demand_Palermo_ITA</t>
  </si>
  <si>
    <t>h_Palermo_ITA</t>
  </si>
  <si>
    <t>en_coal_ultrasupercritical_Verbania_ITA</t>
  </si>
  <si>
    <t>h_demand_Como_ITA</t>
  </si>
  <si>
    <t>h_Como_ITA</t>
  </si>
  <si>
    <t>en_coal_igcc_Verbania_ITA</t>
  </si>
  <si>
    <t>h_demand_Calimera_ITA</t>
  </si>
  <si>
    <t>en_nuclear_Verbania_ITA</t>
  </si>
  <si>
    <t>h_demand_Gorizia_ITA</t>
  </si>
  <si>
    <t>h_Gorizia_ITA</t>
  </si>
  <si>
    <t>en_nuclear_smr_Verbania_ITA</t>
  </si>
  <si>
    <t>h_demand_SanRemo_ITA</t>
  </si>
  <si>
    <t>en_biomass_Verbania_ITA</t>
  </si>
  <si>
    <t>en_chp_gas_cc_ext_Verbania_ITA</t>
  </si>
  <si>
    <t>en_chp_biomass_chips_ext_Verbania_ITA</t>
  </si>
  <si>
    <t>en_chp_gas_cc_ext_ccs_Verbania_ITA</t>
  </si>
  <si>
    <t>en_hop_gas_boiler_Verbania_ITA</t>
  </si>
  <si>
    <t>en_hop_biomass_chips_Verbania_ITA</t>
  </si>
  <si>
    <t>en_hop_electric_boiler_Verbania_ITA</t>
  </si>
  <si>
    <t>en_hp_air_10mw_Verbania_ITA</t>
  </si>
  <si>
    <t>en_gas_ccgt_Domodossola_ITA</t>
  </si>
  <si>
    <t>en_gas_turbine_Domodossola_ITA</t>
  </si>
  <si>
    <t>en_gas_ccs_Domodossola_ITA</t>
  </si>
  <si>
    <t>en_coal_subcritical_Domodossola_ITA</t>
  </si>
  <si>
    <t>en_coal_supercritical_Domodossola_ITA</t>
  </si>
  <si>
    <t>en_coal_ultrasupercritical_Domodossola_ITA</t>
  </si>
  <si>
    <t>en_coal_igcc_Domodossola_ITA</t>
  </si>
  <si>
    <t>en_nuclear_Domodossola_ITA</t>
  </si>
  <si>
    <t>en_nuclear_smr_Domodossola_ITA</t>
  </si>
  <si>
    <t>en_biomass_Domodossola_ITA</t>
  </si>
  <si>
    <t>en_chp_gas_cc_ext_Domodossola_ITA</t>
  </si>
  <si>
    <t>h_Domodossola_ITA</t>
  </si>
  <si>
    <t>en_chp_biomass_chips_ext_Domodossola_ITA</t>
  </si>
  <si>
    <t>en_chp_gas_cc_ext_ccs_Domodossola_ITA</t>
  </si>
  <si>
    <t>en_hop_gas_boiler_Domodossola_ITA</t>
  </si>
  <si>
    <t>en_hop_biomass_chips_Domodossola_ITA</t>
  </si>
  <si>
    <t>en_hop_electric_boiler_Domodossola_ITA</t>
  </si>
  <si>
    <t>en_hp_air_10mw_Domodossola_ITA</t>
  </si>
  <si>
    <t>en_gas_ccgt_Messina_ITA</t>
  </si>
  <si>
    <t>en_gas_turbine_Messina_ITA</t>
  </si>
  <si>
    <t>en_gas_ccs_Messina_ITA</t>
  </si>
  <si>
    <t>en_coal_subcritical_Messina_ITA</t>
  </si>
  <si>
    <t>en_coal_supercritical_Messina_ITA</t>
  </si>
  <si>
    <t>en_coal_ultrasupercritical_Messina_ITA</t>
  </si>
  <si>
    <t>en_coal_igcc_Messina_ITA</t>
  </si>
  <si>
    <t>en_nuclear_Messina_ITA</t>
  </si>
  <si>
    <t>en_nuclear_smr_Messina_ITA</t>
  </si>
  <si>
    <t>en_biomass_Messina_ITA</t>
  </si>
  <si>
    <t>en_chp_gas_cc_ext_Messina_ITA</t>
  </si>
  <si>
    <t>en_chp_biomass_chips_ext_Messina_ITA</t>
  </si>
  <si>
    <t>en_chp_gas_cc_ext_ccs_Messina_ITA</t>
  </si>
  <si>
    <t>en_hop_gas_boiler_Messina_ITA</t>
  </si>
  <si>
    <t>en_hop_biomass_chips_Messina_ITA</t>
  </si>
  <si>
    <t>en_hop_electric_boiler_Messina_ITA</t>
  </si>
  <si>
    <t>en_hp_air_10mw_Messina_ITA</t>
  </si>
  <si>
    <t>en_gas_ccgt_Latina_ITA</t>
  </si>
  <si>
    <t>en_gas_turbine_Latina_ITA</t>
  </si>
  <si>
    <t>en_gas_ccs_Latina_ITA</t>
  </si>
  <si>
    <t>en_coal_subcritical_Latina_ITA</t>
  </si>
  <si>
    <t>en_coal_supercritical_Latina_ITA</t>
  </si>
  <si>
    <t>en_coal_ultrasupercritical_Latina_ITA</t>
  </si>
  <si>
    <t>en_coal_igcc_Latina_ITA</t>
  </si>
  <si>
    <t>en_nuclear_Latina_ITA</t>
  </si>
  <si>
    <t>en_nuclear_smr_Latina_ITA</t>
  </si>
  <si>
    <t>en_biomass_Latina_ITA</t>
  </si>
  <si>
    <t>en_chp_gas_cc_ext_Latina_ITA</t>
  </si>
  <si>
    <t>en_chp_biomass_chips_ext_Latina_ITA</t>
  </si>
  <si>
    <t>en_chp_gas_cc_ext_ccs_Latina_ITA</t>
  </si>
  <si>
    <t>en_hop_gas_boiler_Latina_ITA</t>
  </si>
  <si>
    <t>en_hop_biomass_chips_Latina_ITA</t>
  </si>
  <si>
    <t>en_hop_electric_boiler_Latina_ITA</t>
  </si>
  <si>
    <t>en_hp_air_10mw_Latina_ITA</t>
  </si>
  <si>
    <t>en_gas_ccgt_Piombino_ITA</t>
  </si>
  <si>
    <t>en_gas_turbine_Piombino_ITA</t>
  </si>
  <si>
    <t>en_gas_ccs_Piombino_ITA</t>
  </si>
  <si>
    <t>en_coal_subcritical_Piombino_ITA</t>
  </si>
  <si>
    <t>en_coal_supercritical_Piombino_ITA</t>
  </si>
  <si>
    <t>en_coal_ultrasupercritical_Piombino_ITA</t>
  </si>
  <si>
    <t>en_coal_igcc_Piombino_ITA</t>
  </si>
  <si>
    <t>en_nuclear_Piombino_ITA</t>
  </si>
  <si>
    <t>en_nuclear_smr_Piombino_ITA</t>
  </si>
  <si>
    <t>en_biomass_Piombino_ITA</t>
  </si>
  <si>
    <t>en_chp_gas_cc_ext_Piombino_ITA</t>
  </si>
  <si>
    <t>en_chp_biomass_chips_ext_Piombino_ITA</t>
  </si>
  <si>
    <t>en_chp_gas_cc_ext_ccs_Piombino_ITA</t>
  </si>
  <si>
    <t>en_hop_gas_boiler_Piombino_ITA</t>
  </si>
  <si>
    <t>en_hop_biomass_chips_Piombino_ITA</t>
  </si>
  <si>
    <t>en_hop_electric_boiler_Piombino_ITA</t>
  </si>
  <si>
    <t>en_hp_air_10mw_Piombino_ITA</t>
  </si>
  <si>
    <t>en_gas_ccgt_Trento_ITA</t>
  </si>
  <si>
    <t>en_gas_turbine_Trento_ITA</t>
  </si>
  <si>
    <t>en_gas_ccs_Trento_ITA</t>
  </si>
  <si>
    <t>en_coal_subcritical_Trento_ITA</t>
  </si>
  <si>
    <t>en_coal_supercritical_Trento_ITA</t>
  </si>
  <si>
    <t>en_coal_ultrasupercritical_Trento_ITA</t>
  </si>
  <si>
    <t>en_coal_igcc_Trento_ITA</t>
  </si>
  <si>
    <t>en_nuclear_Trento_ITA</t>
  </si>
  <si>
    <t>en_nuclear_smr_Trento_ITA</t>
  </si>
  <si>
    <t>en_biomass_Trento_ITA</t>
  </si>
  <si>
    <t>en_chp_gas_cc_ext_Trento_ITA</t>
  </si>
  <si>
    <t>en_chp_biomass_chips_ext_Trento_ITA</t>
  </si>
  <si>
    <t>en_chp_gas_cc_ext_ccs_Trento_ITA</t>
  </si>
  <si>
    <t>en_hop_gas_boiler_Trento_ITA</t>
  </si>
  <si>
    <t>en_hop_biomass_chips_Trento_ITA</t>
  </si>
  <si>
    <t>en_hop_electric_boiler_Trento_ITA</t>
  </si>
  <si>
    <t>en_hp_air_10mw_Trento_ITA</t>
  </si>
  <si>
    <t>en_gas_ccgt_Pordenone_ITA</t>
  </si>
  <si>
    <t>en_gas_turbine_Pordenone_ITA</t>
  </si>
  <si>
    <t>en_gas_ccs_Pordenone_ITA</t>
  </si>
  <si>
    <t>en_coal_subcritical_Pordenone_ITA</t>
  </si>
  <si>
    <t>en_coal_supercritical_Pordenone_ITA</t>
  </si>
  <si>
    <t>en_coal_ultrasupercritical_Pordenone_ITA</t>
  </si>
  <si>
    <t>en_coal_igcc_Pordenone_ITA</t>
  </si>
  <si>
    <t>en_nuclear_Pordenone_ITA</t>
  </si>
  <si>
    <t>en_nuclear_smr_Pordenone_ITA</t>
  </si>
  <si>
    <t>en_biomass_Pordenone_ITA</t>
  </si>
  <si>
    <t>en_chp_gas_cc_ext_Pordenone_ITA</t>
  </si>
  <si>
    <t>en_chp_biomass_chips_ext_Pordenone_ITA</t>
  </si>
  <si>
    <t>en_chp_gas_cc_ext_ccs_Pordenone_ITA</t>
  </si>
  <si>
    <t>en_hop_gas_boiler_Pordenone_ITA</t>
  </si>
  <si>
    <t>en_hop_biomass_chips_Pordenone_ITA</t>
  </si>
  <si>
    <t>en_hop_electric_boiler_Pordenone_ITA</t>
  </si>
  <si>
    <t>en_hp_air_10mw_Pordenone_ITA</t>
  </si>
  <si>
    <t>en_gas_ccgt_Sassari_ITA</t>
  </si>
  <si>
    <t>en_gas_turbine_Sassari_ITA</t>
  </si>
  <si>
    <t>en_gas_ccs_Sassari_ITA</t>
  </si>
  <si>
    <t>en_coal_subcritical_Sassari_ITA</t>
  </si>
  <si>
    <t>en_coal_supercritical_Sassari_ITA</t>
  </si>
  <si>
    <t>en_coal_ultrasupercritical_Sassari_ITA</t>
  </si>
  <si>
    <t>en_coal_igcc_Sassari_ITA</t>
  </si>
  <si>
    <t>en_nuclear_Sassari_ITA</t>
  </si>
  <si>
    <t>en_nuclear_smr_Sassari_ITA</t>
  </si>
  <si>
    <t>en_biomass_Sassari_ITA</t>
  </si>
  <si>
    <t>en_chp_gas_cc_ext_Sassari_ITA</t>
  </si>
  <si>
    <t>en_chp_biomass_chips_ext_Sassari_ITA</t>
  </si>
  <si>
    <t>en_chp_gas_cc_ext_ccs_Sassari_ITA</t>
  </si>
  <si>
    <t>en_hop_gas_boiler_Sassari_ITA</t>
  </si>
  <si>
    <t>en_hop_biomass_chips_Sassari_ITA</t>
  </si>
  <si>
    <t>en_hop_electric_boiler_Sassari_ITA</t>
  </si>
  <si>
    <t>en_hp_air_10mw_Sassari_ITA</t>
  </si>
  <si>
    <t>en_gas_ccgt_Trieste_ITA</t>
  </si>
  <si>
    <t>en_gas_turbine_Trieste_ITA</t>
  </si>
  <si>
    <t>en_gas_ccs_Trieste_ITA</t>
  </si>
  <si>
    <t>en_coal_subcritical_Trieste_ITA</t>
  </si>
  <si>
    <t>en_coal_supercritical_Trieste_ITA</t>
  </si>
  <si>
    <t>en_coal_ultrasupercritical_Trieste_ITA</t>
  </si>
  <si>
    <t>en_coal_igcc_Trieste_ITA</t>
  </si>
  <si>
    <t>en_nuclear_Trieste_ITA</t>
  </si>
  <si>
    <t>en_nuclear_smr_Trieste_ITA</t>
  </si>
  <si>
    <t>en_biomass_Trieste_ITA</t>
  </si>
  <si>
    <t>en_chp_gas_cc_ext_Trieste_ITA</t>
  </si>
  <si>
    <t>en_chp_biomass_chips_ext_Trieste_ITA</t>
  </si>
  <si>
    <t>en_chp_gas_cc_ext_ccs_Trieste_ITA</t>
  </si>
  <si>
    <t>en_hop_gas_boiler_Trieste_ITA</t>
  </si>
  <si>
    <t>en_hop_biomass_chips_Trieste_ITA</t>
  </si>
  <si>
    <t>en_hop_electric_boiler_Trieste_ITA</t>
  </si>
  <si>
    <t>en_hp_air_10mw_Trieste_ITA</t>
  </si>
  <si>
    <t>en_gas_ccgt_Brescia_ITA</t>
  </si>
  <si>
    <t>en_gas_turbine_Brescia_ITA</t>
  </si>
  <si>
    <t>en_gas_ccs_Brescia_ITA</t>
  </si>
  <si>
    <t>en_coal_subcritical_Brescia_ITA</t>
  </si>
  <si>
    <t>en_coal_supercritical_Brescia_ITA</t>
  </si>
  <si>
    <t>en_coal_ultrasupercritical_Brescia_ITA</t>
  </si>
  <si>
    <t>en_coal_igcc_Brescia_ITA</t>
  </si>
  <si>
    <t>en_nuclear_Brescia_ITA</t>
  </si>
  <si>
    <t>en_nuclear_smr_Brescia_ITA</t>
  </si>
  <si>
    <t>en_biomass_Brescia_ITA</t>
  </si>
  <si>
    <t>en_chp_gas_cc_ext_Brescia_ITA</t>
  </si>
  <si>
    <t>en_chp_biomass_chips_ext_Brescia_ITA</t>
  </si>
  <si>
    <t>en_chp_gas_cc_ext_ccs_Brescia_ITA</t>
  </si>
  <si>
    <t>en_hop_gas_boiler_Brescia_ITA</t>
  </si>
  <si>
    <t>en_hop_biomass_chips_Brescia_ITA</t>
  </si>
  <si>
    <t>en_hop_electric_boiler_Brescia_ITA</t>
  </si>
  <si>
    <t>en_hp_air_10mw_Brescia_ITA</t>
  </si>
  <si>
    <t>en_gas_ccgt_Pinerolo_ITA</t>
  </si>
  <si>
    <t>en_gas_turbine_Pinerolo_ITA</t>
  </si>
  <si>
    <t>en_gas_ccs_Pinerolo_ITA</t>
  </si>
  <si>
    <t>en_coal_subcritical_Pinerolo_ITA</t>
  </si>
  <si>
    <t>en_coal_supercritical_Pinerolo_ITA</t>
  </si>
  <si>
    <t>en_coal_ultrasupercritical_Pinerolo_ITA</t>
  </si>
  <si>
    <t>en_coal_igcc_Pinerolo_ITA</t>
  </si>
  <si>
    <t>en_nuclear_Pinerolo_ITA</t>
  </si>
  <si>
    <t>en_nuclear_smr_Pinerolo_ITA</t>
  </si>
  <si>
    <t>en_biomass_Pinerolo_ITA</t>
  </si>
  <si>
    <t>en_chp_gas_cc_ext_Pinerolo_ITA</t>
  </si>
  <si>
    <t>h_Pinerolo_ITA</t>
  </si>
  <si>
    <t>en_chp_biomass_chips_ext_Pinerolo_ITA</t>
  </si>
  <si>
    <t>en_chp_gas_cc_ext_ccs_Pinerolo_ITA</t>
  </si>
  <si>
    <t>en_hop_gas_boiler_Pinerolo_ITA</t>
  </si>
  <si>
    <t>en_hop_biomass_chips_Pinerolo_ITA</t>
  </si>
  <si>
    <t>en_hop_electric_boiler_Pinerolo_ITA</t>
  </si>
  <si>
    <t>en_hp_air_10mw_Pinerolo_ITA</t>
  </si>
  <si>
    <t>en_gas_ccgt_Pescara_ITA</t>
  </si>
  <si>
    <t>en_gas_turbine_Pescara_ITA</t>
  </si>
  <si>
    <t>en_gas_ccs_Pescara_ITA</t>
  </si>
  <si>
    <t>en_coal_subcritical_Pescara_ITA</t>
  </si>
  <si>
    <t>en_coal_supercritical_Pescara_ITA</t>
  </si>
  <si>
    <t>en_coal_ultrasupercritical_Pescara_ITA</t>
  </si>
  <si>
    <t>en_coal_igcc_Pescara_ITA</t>
  </si>
  <si>
    <t>en_nuclear_Pescara_ITA</t>
  </si>
  <si>
    <t>en_nuclear_smr_Pescara_ITA</t>
  </si>
  <si>
    <t>en_biomass_Pescara_ITA</t>
  </si>
  <si>
    <t>en_chp_gas_cc_ext_Pescara_ITA</t>
  </si>
  <si>
    <t>en_chp_biomass_chips_ext_Pescara_ITA</t>
  </si>
  <si>
    <t>en_chp_gas_cc_ext_ccs_Pescara_ITA</t>
  </si>
  <si>
    <t>en_hop_gas_boiler_Pescara_ITA</t>
  </si>
  <si>
    <t>en_hop_biomass_chips_Pescara_ITA</t>
  </si>
  <si>
    <t>en_hop_electric_boiler_Pescara_ITA</t>
  </si>
  <si>
    <t>en_hp_air_10mw_Pescara_ITA</t>
  </si>
  <si>
    <t>en_gas_ccgt_Palermo_ITA</t>
  </si>
  <si>
    <t>en_gas_turbine_Palermo_ITA</t>
  </si>
  <si>
    <t>en_gas_ccs_Palermo_ITA</t>
  </si>
  <si>
    <t>en_coal_subcritical_Palermo_ITA</t>
  </si>
  <si>
    <t>en_coal_supercritical_Palermo_ITA</t>
  </si>
  <si>
    <t>en_coal_ultrasupercritical_Palermo_ITA</t>
  </si>
  <si>
    <t>en_coal_igcc_Palermo_ITA</t>
  </si>
  <si>
    <t>en_nuclear_Palermo_ITA</t>
  </si>
  <si>
    <t>en_nuclear_smr_Palermo_ITA</t>
  </si>
  <si>
    <t>en_biomass_Palermo_ITA</t>
  </si>
  <si>
    <t>en_chp_gas_cc_ext_Palermo_ITA</t>
  </si>
  <si>
    <t>en_chp_biomass_chips_ext_Palermo_ITA</t>
  </si>
  <si>
    <t>en_chp_gas_cc_ext_ccs_Palermo_ITA</t>
  </si>
  <si>
    <t>en_hop_gas_boiler_Palermo_ITA</t>
  </si>
  <si>
    <t>en_hop_biomass_chips_Palermo_ITA</t>
  </si>
  <si>
    <t>en_hop_electric_boiler_Palermo_ITA</t>
  </si>
  <si>
    <t>en_hp_air_10mw_Palermo_ITA</t>
  </si>
  <si>
    <t>en_gas_ccgt_Civitavecchia_ITA</t>
  </si>
  <si>
    <t>en_gas_turbine_Civitavecchia_ITA</t>
  </si>
  <si>
    <t>en_gas_ccs_Civitavecchia_ITA</t>
  </si>
  <si>
    <t>en_coal_subcritical_Civitavecchia_ITA</t>
  </si>
  <si>
    <t>en_coal_supercritical_Civitavecchia_ITA</t>
  </si>
  <si>
    <t>en_coal_ultrasupercritical_Civitavecchia_ITA</t>
  </si>
  <si>
    <t>en_coal_igcc_Civitavecchia_ITA</t>
  </si>
  <si>
    <t>en_nuclear_Civitavecchia_ITA</t>
  </si>
  <si>
    <t>en_nuclear_smr_Civitavecchia_ITA</t>
  </si>
  <si>
    <t>en_biomass_Civitavecchia_ITA</t>
  </si>
  <si>
    <t>en_chp_gas_cc_ext_Civitavecchia_ITA</t>
  </si>
  <si>
    <t>en_chp_biomass_chips_ext_Civitavecchia_ITA</t>
  </si>
  <si>
    <t>en_chp_gas_cc_ext_ccs_Civitavecchia_ITA</t>
  </si>
  <si>
    <t>en_hop_gas_boiler_Civitavecchia_ITA</t>
  </si>
  <si>
    <t>en_hop_biomass_chips_Civitavecchia_ITA</t>
  </si>
  <si>
    <t>en_hop_electric_boiler_Civitavecchia_ITA</t>
  </si>
  <si>
    <t>en_hp_air_10mw_Civitavecchia_ITA</t>
  </si>
  <si>
    <t>en_gas_ccgt_Lecce_ITA</t>
  </si>
  <si>
    <t>en_gas_turbine_Lecce_ITA</t>
  </si>
  <si>
    <t>en_gas_ccs_Lecce_ITA</t>
  </si>
  <si>
    <t>en_coal_subcritical_Lecce_ITA</t>
  </si>
  <si>
    <t>en_coal_supercritical_Lecce_ITA</t>
  </si>
  <si>
    <t>en_coal_ultrasupercritical_Lecce_ITA</t>
  </si>
  <si>
    <t>en_coal_igcc_Lecce_ITA</t>
  </si>
  <si>
    <t>en_nuclear_Lecce_ITA</t>
  </si>
  <si>
    <t>en_nuclear_smr_Lecce_ITA</t>
  </si>
  <si>
    <t>en_biomass_Lecce_ITA</t>
  </si>
  <si>
    <t>en_chp_gas_cc_ext_Lecce_ITA</t>
  </si>
  <si>
    <t>en_chp_biomass_chips_ext_Lecce_ITA</t>
  </si>
  <si>
    <t>en_chp_gas_cc_ext_ccs_Lecce_ITA</t>
  </si>
  <si>
    <t>en_hop_gas_boiler_Lecce_ITA</t>
  </si>
  <si>
    <t>en_hop_biomass_chips_Lecce_ITA</t>
  </si>
  <si>
    <t>en_hop_electric_boiler_Lecce_ITA</t>
  </si>
  <si>
    <t>en_hp_air_10mw_Lecce_ITA</t>
  </si>
  <si>
    <t>en_gas_ccgt_Gorizia_ITA</t>
  </si>
  <si>
    <t>en_gas_turbine_Gorizia_ITA</t>
  </si>
  <si>
    <t>en_gas_ccs_Gorizia_ITA</t>
  </si>
  <si>
    <t>en_coal_subcritical_Gorizia_ITA</t>
  </si>
  <si>
    <t>en_coal_supercritical_Gorizia_ITA</t>
  </si>
  <si>
    <t>en_coal_ultrasupercritical_Gorizia_ITA</t>
  </si>
  <si>
    <t>en_coal_igcc_Gorizia_ITA</t>
  </si>
  <si>
    <t>en_nuclear_Gorizia_ITA</t>
  </si>
  <si>
    <t>en_nuclear_smr_Gorizia_ITA</t>
  </si>
  <si>
    <t>en_biomass_Gorizia_ITA</t>
  </si>
  <si>
    <t>en_chp_gas_cc_ext_Gorizia_ITA</t>
  </si>
  <si>
    <t>en_chp_biomass_chips_ext_Gorizia_ITA</t>
  </si>
  <si>
    <t>en_chp_gas_cc_ext_ccs_Gorizia_ITA</t>
  </si>
  <si>
    <t>en_hop_gas_boiler_Gorizia_ITA</t>
  </si>
  <si>
    <t>en_hop_biomass_chips_Gorizia_ITA</t>
  </si>
  <si>
    <t>en_hop_electric_boiler_Gorizia_ITA</t>
  </si>
  <si>
    <t>en_hp_air_10mw_Gorizia_ITA</t>
  </si>
  <si>
    <t>en_gas_ccgt_Tirano_ITA</t>
  </si>
  <si>
    <t>en_gas_turbine_Tirano_ITA</t>
  </si>
  <si>
    <t>en_gas_ccs_Tirano_ITA</t>
  </si>
  <si>
    <t>en_coal_subcritical_Tirano_ITA</t>
  </si>
  <si>
    <t>en_coal_supercritical_Tirano_ITA</t>
  </si>
  <si>
    <t>en_coal_ultrasupercritical_Tirano_ITA</t>
  </si>
  <si>
    <t>en_coal_igcc_Tirano_ITA</t>
  </si>
  <si>
    <t>en_nuclear_Tirano_ITA</t>
  </si>
  <si>
    <t>en_nuclear_smr_Tirano_ITA</t>
  </si>
  <si>
    <t>en_biomass_Tirano_ITA</t>
  </si>
  <si>
    <t>en_chp_gas_cc_ext_Tirano_ITA</t>
  </si>
  <si>
    <t>h_Tirano_ITA</t>
  </si>
  <si>
    <t>en_chp_biomass_chips_ext_Tirano_ITA</t>
  </si>
  <si>
    <t>en_chp_gas_cc_ext_ccs_Tirano_ITA</t>
  </si>
  <si>
    <t>en_hop_gas_boiler_Tirano_ITA</t>
  </si>
  <si>
    <t>en_hop_biomass_chips_Tirano_ITA</t>
  </si>
  <si>
    <t>en_hop_electric_boiler_Tirano_ITA</t>
  </si>
  <si>
    <t>en_hp_air_10mw_Tirano_ITA</t>
  </si>
  <si>
    <t>en_gas_ccgt_Como_ITA</t>
  </si>
  <si>
    <t>en_gas_turbine_Como_ITA</t>
  </si>
  <si>
    <t>en_gas_ccs_Como_ITA</t>
  </si>
  <si>
    <t>en_coal_subcritical_Como_ITA</t>
  </si>
  <si>
    <t>en_coal_supercritical_Como_ITA</t>
  </si>
  <si>
    <t>en_coal_ultrasupercritical_Como_ITA</t>
  </si>
  <si>
    <t>en_coal_igcc_Como_ITA</t>
  </si>
  <si>
    <t>en_nuclear_Como_ITA</t>
  </si>
  <si>
    <t>en_nuclear_smr_Como_ITA</t>
  </si>
  <si>
    <t>en_biomass_Como_ITA</t>
  </si>
  <si>
    <t>en_chp_gas_cc_ext_Como_ITA</t>
  </si>
  <si>
    <t>en_chp_biomass_chips_ext_Como_ITA</t>
  </si>
  <si>
    <t>en_chp_gas_cc_ext_ccs_Como_ITA</t>
  </si>
  <si>
    <t>en_hop_gas_boiler_Como_ITA</t>
  </si>
  <si>
    <t>en_hop_biomass_chips_Como_ITA</t>
  </si>
  <si>
    <t>en_hop_electric_boiler_Como_ITA</t>
  </si>
  <si>
    <t>en_hp_air_10mw_Como_ITA</t>
  </si>
  <si>
    <t>en_gas_ccgt_Milan_ITA</t>
  </si>
  <si>
    <t>en_gas_turbine_Milan_ITA</t>
  </si>
  <si>
    <t>en_gas_ccs_Milan_ITA</t>
  </si>
  <si>
    <t>en_coal_subcritical_Milan_ITA</t>
  </si>
  <si>
    <t>en_coal_supercritical_Milan_ITA</t>
  </si>
  <si>
    <t>en_coal_ultrasupercritical_Milan_ITA</t>
  </si>
  <si>
    <t>en_coal_igcc_Milan_ITA</t>
  </si>
  <si>
    <t>en_nuclear_Milan_ITA</t>
  </si>
  <si>
    <t>en_nuclear_smr_Milan_ITA</t>
  </si>
  <si>
    <t>en_biomass_Milan_ITA</t>
  </si>
  <si>
    <t>en_chp_gas_cc_ext_Milan_ITA</t>
  </si>
  <si>
    <t>en_chp_biomass_chips_ext_Milan_ITA</t>
  </si>
  <si>
    <t>en_chp_gas_cc_ext_ccs_Milan_ITA</t>
  </si>
  <si>
    <t>en_hop_gas_boiler_Milan_ITA</t>
  </si>
  <si>
    <t>en_hop_biomass_chips_Milan_ITA</t>
  </si>
  <si>
    <t>en_hop_electric_boiler_Milan_ITA</t>
  </si>
  <si>
    <t>en_hp_air_10mw_Milan_ITA</t>
  </si>
  <si>
    <t>en_gas_ccgt_Lana_ITA</t>
  </si>
  <si>
    <t>en_gas_turbine_Lana_ITA</t>
  </si>
  <si>
    <t>en_gas_ccs_Lana_ITA</t>
  </si>
  <si>
    <t>en_coal_subcritical_Lana_ITA</t>
  </si>
  <si>
    <t>en_coal_supercritical_Lana_ITA</t>
  </si>
  <si>
    <t>en_coal_ultrasupercritical_Lana_ITA</t>
  </si>
  <si>
    <t>en_coal_igcc_Lana_ITA</t>
  </si>
  <si>
    <t>en_nuclear_Lana_ITA</t>
  </si>
  <si>
    <t>en_nuclear_smr_Lana_ITA</t>
  </si>
  <si>
    <t>en_biomass_Lana_ITA</t>
  </si>
  <si>
    <t>en_chp_gas_cc_ext_Lana_ITA</t>
  </si>
  <si>
    <t>h_Lana_ITA</t>
  </si>
  <si>
    <t>en_chp_biomass_chips_ext_Lana_ITA</t>
  </si>
  <si>
    <t>en_chp_gas_cc_ext_ccs_Lana_ITA</t>
  </si>
  <si>
    <t>en_hop_gas_boiler_Lana_ITA</t>
  </si>
  <si>
    <t>en_hop_biomass_chips_Lana_ITA</t>
  </si>
  <si>
    <t>en_hop_electric_boiler_Lana_ITA</t>
  </si>
  <si>
    <t>en_hp_air_10mw_Lana_ITA</t>
  </si>
  <si>
    <t>en_battery_4h_Alghero_ITA</t>
  </si>
  <si>
    <t>en_battery_8h_Alghero_ITA</t>
  </si>
  <si>
    <t>en_battery_4h_Morbegno_ITA</t>
  </si>
  <si>
    <t>en_battery_8h_Morbegno_ITA</t>
  </si>
  <si>
    <t>en_battery_4h_Aosta_ITA</t>
  </si>
  <si>
    <t>en_battery_8h_Aosta_ITA</t>
  </si>
  <si>
    <t>en_battery_4h_Calimera_ITA</t>
  </si>
  <si>
    <t>en_battery_8h_Calimera_ITA</t>
  </si>
  <si>
    <t>en_battery_4h_SanRemo_ITA</t>
  </si>
  <si>
    <t>en_battery_8h_SanRemo_ITA</t>
  </si>
  <si>
    <t>en_battery_4h_Verbania_ITA</t>
  </si>
  <si>
    <t>en_battery_8h_Verbania_ITA</t>
  </si>
  <si>
    <t>en_battery_4h_Domodossola_ITA</t>
  </si>
  <si>
    <t>en_battery_8h_Domodossola_ITA</t>
  </si>
  <si>
    <t>en_battery_4h_Messina_ITA</t>
  </si>
  <si>
    <t>en_battery_8h_Messina_ITA</t>
  </si>
  <si>
    <t>en_battery_4h_Latina_ITA</t>
  </si>
  <si>
    <t>en_battery_8h_Latina_ITA</t>
  </si>
  <si>
    <t>en_battery_4h_Piombino_ITA</t>
  </si>
  <si>
    <t>en_battery_8h_Piombino_ITA</t>
  </si>
  <si>
    <t>en_battery_4h_Trento_ITA</t>
  </si>
  <si>
    <t>en_battery_8h_Trento_ITA</t>
  </si>
  <si>
    <t>en_battery_4h_Pordenone_ITA</t>
  </si>
  <si>
    <t>en_battery_8h_Pordenone_ITA</t>
  </si>
  <si>
    <t>en_battery_4h_Sassari_ITA</t>
  </si>
  <si>
    <t>en_battery_8h_Sassari_ITA</t>
  </si>
  <si>
    <t>en_battery_4h_Trieste_ITA</t>
  </si>
  <si>
    <t>en_battery_8h_Trieste_ITA</t>
  </si>
  <si>
    <t>en_battery_4h_Brescia_ITA</t>
  </si>
  <si>
    <t>en_battery_8h_Brescia_ITA</t>
  </si>
  <si>
    <t>en_battery_4h_Pinerolo_ITA</t>
  </si>
  <si>
    <t>en_battery_8h_Pinerolo_ITA</t>
  </si>
  <si>
    <t>en_battery_4h_Pescara_ITA</t>
  </si>
  <si>
    <t>en_battery_8h_Pescara_ITA</t>
  </si>
  <si>
    <t>en_battery_4h_Palermo_ITA</t>
  </si>
  <si>
    <t>en_battery_8h_Palermo_ITA</t>
  </si>
  <si>
    <t>en_battery_4h_Civitavecchia_ITA</t>
  </si>
  <si>
    <t>en_battery_8h_Civitavecchia_ITA</t>
  </si>
  <si>
    <t>en_battery_4h_Lecce_ITA</t>
  </si>
  <si>
    <t>en_battery_8h_Lecce_ITA</t>
  </si>
  <si>
    <t>en_battery_4h_Gorizia_ITA</t>
  </si>
  <si>
    <t>en_battery_8h_Gorizia_ITA</t>
  </si>
  <si>
    <t>en_battery_4h_Tirano_ITA</t>
  </si>
  <si>
    <t>en_battery_8h_Tirano_ITA</t>
  </si>
  <si>
    <t>en_battery_4h_Como_ITA</t>
  </si>
  <si>
    <t>en_battery_8h_Como_ITA</t>
  </si>
  <si>
    <t>en_battery_4h_Milan_ITA</t>
  </si>
  <si>
    <t>en_battery_8h_Milan_ITA</t>
  </si>
  <si>
    <t>en_battery_4h_Lana_ITA</t>
  </si>
  <si>
    <t>en_battery_8h_Lana_ITA</t>
  </si>
  <si>
    <t>UCE_elcagg_spv_ITA_001</t>
  </si>
  <si>
    <t>elc_spv_ITA_001</t>
  </si>
  <si>
    <t>UCE_elcagg_spv_ITA_002</t>
  </si>
  <si>
    <t>elc_spv_ITA_002</t>
  </si>
  <si>
    <t>UCE_elcagg_spv_ITA_003</t>
  </si>
  <si>
    <t>elc_spv_ITA_003</t>
  </si>
  <si>
    <t>UCE_elcagg_spv_ITA_004</t>
  </si>
  <si>
    <t>elc_spv_ITA_004</t>
  </si>
  <si>
    <t>UCE_elcagg_spv_ITA_005</t>
  </si>
  <si>
    <t>elc_spv_ITA_005</t>
  </si>
  <si>
    <t>UCE_elcagg_spv_ITA_006</t>
  </si>
  <si>
    <t>elc_spv_ITA_006</t>
  </si>
  <si>
    <t>UCE_elcagg_spv_ITA_007</t>
  </si>
  <si>
    <t>elc_spv_ITA_007</t>
  </si>
  <si>
    <t>UCE_elcagg_spv_ITA_008</t>
  </si>
  <si>
    <t>elc_spv_ITA_008</t>
  </si>
  <si>
    <t>UCE_elcagg_spv_ITA_009</t>
  </si>
  <si>
    <t>elc_spv_ITA_009</t>
  </si>
  <si>
    <t>UCE_elcagg_spv_ITA_010</t>
  </si>
  <si>
    <t>elc_spv_ITA_010</t>
  </si>
  <si>
    <t>UCE_elcagg_spv_ITA_011</t>
  </si>
  <si>
    <t>elc_spv_ITA_011</t>
  </si>
  <si>
    <t>UCE_elcagg_spv_ITA_012</t>
  </si>
  <si>
    <t>elc_spv_ITA_012</t>
  </si>
  <si>
    <t>UCE_elcagg_spv_ITA_013</t>
  </si>
  <si>
    <t>elc_spv_ITA_013</t>
  </si>
  <si>
    <t>UCE_elcagg_spv_ITA_014</t>
  </si>
  <si>
    <t>elc_spv_ITA_014</t>
  </si>
  <si>
    <t>UCE_elcagg_spv_ITA_015</t>
  </si>
  <si>
    <t>elc_spv_ITA_015</t>
  </si>
  <si>
    <t>UCE_elcagg_spv_ITA_016</t>
  </si>
  <si>
    <t>elc_spv_ITA_016</t>
  </si>
  <si>
    <t>UCE_elcagg_spv_ITA_017</t>
  </si>
  <si>
    <t>elc_spv_ITA_017</t>
  </si>
  <si>
    <t>UCE_elcagg_spv_ITA_018</t>
  </si>
  <si>
    <t>elc_spv_ITA_018</t>
  </si>
  <si>
    <t>UCE_elcagg_spv_ITA_019</t>
  </si>
  <si>
    <t>elc_spv_ITA_019</t>
  </si>
  <si>
    <t>UCE_elcagg_spv_ITA_020</t>
  </si>
  <si>
    <t>elc_spv_ITA_020</t>
  </si>
  <si>
    <t>UCE_elcagg_spv_ITA_021</t>
  </si>
  <si>
    <t>elc_spv_ITA_021</t>
  </si>
  <si>
    <t>UCE_elcagg_spv_ITA_022</t>
  </si>
  <si>
    <t>elc_spv_ITA_022</t>
  </si>
  <si>
    <t>UCE_elcagg_spv_ITA_023</t>
  </si>
  <si>
    <t>elc_spv_ITA_023</t>
  </si>
  <si>
    <t>UCE_elcagg_spv_ITA_024</t>
  </si>
  <si>
    <t>elc_spv_ITA_024</t>
  </si>
  <si>
    <t>UCE_elcagg_wof_ITA_001</t>
  </si>
  <si>
    <t>elc_wof_ITA_001</t>
  </si>
  <si>
    <t>UCE_elcagg_wof_ITA_002</t>
  </si>
  <si>
    <t>elc_wof_ITA_002</t>
  </si>
  <si>
    <t>UCE_elcagg_wof_ITA_003</t>
  </si>
  <si>
    <t>elc_wof_ITA_003</t>
  </si>
  <si>
    <t>UCE_elcagg_wof_ITA_004</t>
  </si>
  <si>
    <t>elc_wof_ITA_004</t>
  </si>
  <si>
    <t>UCE_elcagg_wof_ITA_005</t>
  </si>
  <si>
    <t>elc_wof_ITA_005</t>
  </si>
  <si>
    <t>UCE_elcagg_wof_ITA_006</t>
  </si>
  <si>
    <t>elc_wof_ITA_006</t>
  </si>
  <si>
    <t>UCE_elcagg_wof_ITA_007</t>
  </si>
  <si>
    <t>elc_wof_ITA_007</t>
  </si>
  <si>
    <t>UCE_elcagg_wof_ITA_008</t>
  </si>
  <si>
    <t>elc_wof_ITA_008</t>
  </si>
  <si>
    <t>UCE_elcagg_wof_ITA_009</t>
  </si>
  <si>
    <t>elc_wof_ITA_009</t>
  </si>
  <si>
    <t>UCE_elcagg_wof_ITA_010</t>
  </si>
  <si>
    <t>elc_wof_ITA_010</t>
  </si>
  <si>
    <t>UCE_elcagg_wof_ITA_011</t>
  </si>
  <si>
    <t>elc_wof_ITA_011</t>
  </si>
  <si>
    <t>UCE_elcagg_wof_ITA_012</t>
  </si>
  <si>
    <t>elc_wof_ITA_012</t>
  </si>
  <si>
    <t>UCE_elcagg_wof_ITA_013</t>
  </si>
  <si>
    <t>elc_wof_ITA_013</t>
  </si>
  <si>
    <t>UCE_elcagg_wof_ITA_014</t>
  </si>
  <si>
    <t>elc_wof_ITA_014</t>
  </si>
  <si>
    <t>UCE_elcagg_wof_ITA_015</t>
  </si>
  <si>
    <t>elc_wof_ITA_015</t>
  </si>
  <si>
    <t>UCE_elcagg_wof_ITA_016</t>
  </si>
  <si>
    <t>elc_wof_ITA_016</t>
  </si>
  <si>
    <t>UCE_elcagg_wof_ITA_017</t>
  </si>
  <si>
    <t>elc_wof_ITA_017</t>
  </si>
  <si>
    <t>UCE_elcagg_wof_ITA_018</t>
  </si>
  <si>
    <t>elc_wof_ITA_018</t>
  </si>
  <si>
    <t>UCE_elcagg_wof_ITA_019</t>
  </si>
  <si>
    <t>elc_wof_ITA_019</t>
  </si>
  <si>
    <t>UCE_elcagg_wof_ITA_020</t>
  </si>
  <si>
    <t>elc_wof_ITA_020</t>
  </si>
  <si>
    <t>UCE_elcagg_won_ITA_001</t>
  </si>
  <si>
    <t>elc_won_ITA_001</t>
  </si>
  <si>
    <t>UCE_elcagg_won_ITA_002</t>
  </si>
  <si>
    <t>elc_won_ITA_002</t>
  </si>
  <si>
    <t>UCE_elcagg_won_ITA_003</t>
  </si>
  <si>
    <t>elc_won_ITA_003</t>
  </si>
  <si>
    <t>UCE_elcagg_won_ITA_004</t>
  </si>
  <si>
    <t>elc_won_ITA_004</t>
  </si>
  <si>
    <t>UCE_elcagg_won_ITA_005</t>
  </si>
  <si>
    <t>elc_won_ITA_005</t>
  </si>
  <si>
    <t>UCE_elcagg_won_ITA_006</t>
  </si>
  <si>
    <t>elc_won_ITA_006</t>
  </si>
  <si>
    <t>UCE_elcagg_won_ITA_007</t>
  </si>
  <si>
    <t>elc_won_ITA_007</t>
  </si>
  <si>
    <t>UCE_elcagg_won_ITA_008</t>
  </si>
  <si>
    <t>elc_won_ITA_008</t>
  </si>
  <si>
    <t>UCE_elcagg_won_ITA_009</t>
  </si>
  <si>
    <t>elc_won_ITA_009</t>
  </si>
  <si>
    <t>UCE_elcagg_won_ITA_010</t>
  </si>
  <si>
    <t>elc_won_ITA_010</t>
  </si>
  <si>
    <t>UCE_elcagg_won_ITA_011</t>
  </si>
  <si>
    <t>elc_won_ITA_011</t>
  </si>
  <si>
    <t>UCE_elcagg_won_ITA_012</t>
  </si>
  <si>
    <t>elc_won_ITA_012</t>
  </si>
  <si>
    <t>UCE_elcagg_won_ITA_013</t>
  </si>
  <si>
    <t>elc_won_ITA_013</t>
  </si>
  <si>
    <t>UCE_elcagg_won_ITA_014</t>
  </si>
  <si>
    <t>elc_won_ITA_014</t>
  </si>
  <si>
    <t>UCE_elcagg_won_ITA_015</t>
  </si>
  <si>
    <t>elc_won_ITA_015</t>
  </si>
  <si>
    <t>UCE_elcagg_won_ITA_016</t>
  </si>
  <si>
    <t>elc_won_ITA_016</t>
  </si>
  <si>
    <t>UCE_elcagg_won_ITA_017</t>
  </si>
  <si>
    <t>elc_won_ITA_017</t>
  </si>
  <si>
    <t>UCE_elcagg_won_ITA_018</t>
  </si>
  <si>
    <t>elc_won_ITA_018</t>
  </si>
  <si>
    <t>UCE_elcagg_won_ITA_019</t>
  </si>
  <si>
    <t>elc_won_ITA_019</t>
  </si>
  <si>
    <t>g_ACoruna_ESP-SalvatierraDeMino_ESP</t>
  </si>
  <si>
    <t>e_demand_Donostia_ESP</t>
  </si>
  <si>
    <t>ESP</t>
  </si>
  <si>
    <t>e_Donostia_ESP</t>
  </si>
  <si>
    <t>en_gas_ccgt_Donostia_ESP</t>
  </si>
  <si>
    <t>g_ACoruna_ESP-Zamora_ESP</t>
  </si>
  <si>
    <t>e_demand_NavalmoralDeLaMata_ESP</t>
  </si>
  <si>
    <t>e_NavalmoralDeLaMata_ESP</t>
  </si>
  <si>
    <t>en_gas_turbine_Donostia_ESP</t>
  </si>
  <si>
    <t>g_Algeciras_ESP-Valencia_ESP</t>
  </si>
  <si>
    <t>e_demand_ACoruna_ESP</t>
  </si>
  <si>
    <t>e_ACoruna_ESP</t>
  </si>
  <si>
    <t>en_gas_ccs_Donostia_ESP</t>
  </si>
  <si>
    <t>g_Algeciras_ESP-Zafra_ESP</t>
  </si>
  <si>
    <t>e_demand_Jaca_ESP</t>
  </si>
  <si>
    <t>e_Jaca_ESP</t>
  </si>
  <si>
    <t>en_coal_subcritical_Donostia_ESP</t>
  </si>
  <si>
    <t>g_CastellonDeLaPlana_ESP-Barcelona_ESP</t>
  </si>
  <si>
    <t>e_demand_Barcelona_ESP</t>
  </si>
  <si>
    <t>e_Barcelona_ESP</t>
  </si>
  <si>
    <t>en_coal_supercritical_Donostia_ESP</t>
  </si>
  <si>
    <t>g_CastellonDeLaPlana_ESP-Jaca_ESP</t>
  </si>
  <si>
    <t>e_demand_Algeciras_ESP</t>
  </si>
  <si>
    <t>e_Algeciras_ESP</t>
  </si>
  <si>
    <t>en_coal_ultrasupercritical_Donostia_ESP</t>
  </si>
  <si>
    <t>g_Coria_ESP-NavalmoralDeLaMata_ESP</t>
  </si>
  <si>
    <t>e_demand_Palma_ESP</t>
  </si>
  <si>
    <t>e_Palma_ESP</t>
  </si>
  <si>
    <t>en_coal_igcc_Donostia_ESP</t>
  </si>
  <si>
    <t>g_Donostia_ESP-Jaca_ESP</t>
  </si>
  <si>
    <t>e_demand_SalvatierraDeMino_ESP</t>
  </si>
  <si>
    <t>e_SalvatierraDeMino_ESP</t>
  </si>
  <si>
    <t>en_nuclear_Donostia_ESP</t>
  </si>
  <si>
    <t>g_Girona_ESP-Granollers_ESP</t>
  </si>
  <si>
    <t>e_demand_Zamora_ESP</t>
  </si>
  <si>
    <t>e_Zamora_ESP</t>
  </si>
  <si>
    <t>en_nuclear_smr_Donostia_ESP</t>
  </si>
  <si>
    <t>g_Granollers_ESP-Barcelona_ESP</t>
  </si>
  <si>
    <t>e_demand_Zafra_ESP</t>
  </si>
  <si>
    <t>e_Zafra_ESP</t>
  </si>
  <si>
    <t>en_biomass_Donostia_ESP</t>
  </si>
  <si>
    <t>g_Jaca_ESP-Barcelona_ESP</t>
  </si>
  <si>
    <t>e_demand_Valencia_ESP</t>
  </si>
  <si>
    <t>e_Valencia_ESP</t>
  </si>
  <si>
    <t>en_chp_gas_cc_ext_Donostia_ESP</t>
  </si>
  <si>
    <t>g_Lepe_ESP-Zafra_ESP</t>
  </si>
  <si>
    <t>e_demand_Lepe_ESP</t>
  </si>
  <si>
    <t>e_Lepe_ESP</t>
  </si>
  <si>
    <t>h_Donostia_ESP</t>
  </si>
  <si>
    <t>g_NavalmoralDeLaMata_ESP-Algeciras_ESP</t>
  </si>
  <si>
    <t>e_demand_Granollers_ESP</t>
  </si>
  <si>
    <t>e_Granollers_ESP</t>
  </si>
  <si>
    <t>en_chp_biomass_chips_ext_Donostia_ESP</t>
  </si>
  <si>
    <t>g_NavalmoralDeLaMata_ESP-Valladolid_ESP</t>
  </si>
  <si>
    <t>e_demand_Girona_ESP</t>
  </si>
  <si>
    <t>e_Girona_ESP</t>
  </si>
  <si>
    <t>g_SalvatierraDeMino_ESP-Zamora_ESP</t>
  </si>
  <si>
    <t>e_demand_CastellonDeLaPlana_ESP</t>
  </si>
  <si>
    <t>e_CastellonDeLaPlana_ESP</t>
  </si>
  <si>
    <t>en_chp_gas_cc_ext_ccs_Donostia_ESP</t>
  </si>
  <si>
    <t>g_Valencia_ESP-CastellonDeLaPlana_ESP</t>
  </si>
  <si>
    <t>e_demand_Valladolid_ESP</t>
  </si>
  <si>
    <t>e_Valladolid_ESP</t>
  </si>
  <si>
    <t>g_Valencia_ESP-Palma_ESP</t>
  </si>
  <si>
    <t>e_demand_Coria_ESP</t>
  </si>
  <si>
    <t>e_Coria_ESP</t>
  </si>
  <si>
    <t>en_hop_gas_boiler_Donostia_ESP</t>
  </si>
  <si>
    <t>g_Valladolid_ESP-Donostia_ESP</t>
  </si>
  <si>
    <t>ev_battery_Donostia_ESP</t>
  </si>
  <si>
    <t>en_hop_biomass_chips_Donostia_ESP</t>
  </si>
  <si>
    <t>g_Valladolid_ESP-NavalmoralDeLaMata_ESP</t>
  </si>
  <si>
    <t>ev_battery_NavalmoralDeLaMata_ESP</t>
  </si>
  <si>
    <t>en_hop_electric_boiler_Donostia_ESP</t>
  </si>
  <si>
    <t>g_Valladolid_ESP-Valencia_ESP</t>
  </si>
  <si>
    <t>ev_battery_ACoruna_ESP</t>
  </si>
  <si>
    <t>g_Valladolid_ESP-Zamora_ESP</t>
  </si>
  <si>
    <t>ev_battery_Jaca_ESP</t>
  </si>
  <si>
    <t>en_hp_air_10mw_Donostia_ESP</t>
  </si>
  <si>
    <t>g_Zafra_ESP-NavalmoralDeLaMata_ESP</t>
  </si>
  <si>
    <t>ev_battery_Barcelona_ESP</t>
  </si>
  <si>
    <t>g_Zamora_ESP-NavalmoralDeLaMata_ESP</t>
  </si>
  <si>
    <t>ev_battery_Algeciras_ESP</t>
  </si>
  <si>
    <t>en_gas_ccgt_NavalmoralDeLaMata_ESP</t>
  </si>
  <si>
    <t>g_Zamora_ESP-SalvatierraDeMino_ESP</t>
  </si>
  <si>
    <t>ev_battery_Palma_ESP</t>
  </si>
  <si>
    <t>en_gas_turbine_NavalmoralDeLaMata_ESP</t>
  </si>
  <si>
    <t>g_Zamora_ESP-Valladolid_ESP</t>
  </si>
  <si>
    <t>ev_battery_SalvatierraDeMino_ESP</t>
  </si>
  <si>
    <t>en_gas_ccs_NavalmoralDeLaMata_ESP</t>
  </si>
  <si>
    <t>ev_battery_Zamora_ESP</t>
  </si>
  <si>
    <t>en_coal_subcritical_NavalmoralDeLaMata_ESP</t>
  </si>
  <si>
    <t>ev_battery_Zafra_ESP</t>
  </si>
  <si>
    <t>en_coal_supercritical_NavalmoralDeLaMata_ESP</t>
  </si>
  <si>
    <t>ev_battery_Valencia_ESP</t>
  </si>
  <si>
    <t>en_coal_ultrasupercritical_NavalmoralDeLaMata_ESP</t>
  </si>
  <si>
    <t>ev_battery_Lepe_ESP</t>
  </si>
  <si>
    <t>en_coal_igcc_NavalmoralDeLaMata_ESP</t>
  </si>
  <si>
    <t>ev_battery_Granollers_ESP</t>
  </si>
  <si>
    <t>en_nuclear_NavalmoralDeLaMata_ESP</t>
  </si>
  <si>
    <t>ev_battery_Girona_ESP</t>
  </si>
  <si>
    <t>en_nuclear_smr_NavalmoralDeLaMata_ESP</t>
  </si>
  <si>
    <t>ev_battery_CastellonDeLaPlana_ESP</t>
  </si>
  <si>
    <t>en_biomass_NavalmoralDeLaMata_ESP</t>
  </si>
  <si>
    <t>ev_battery_Valladolid_ESP</t>
  </si>
  <si>
    <t>en_chp_gas_cc_ext_NavalmoralDeLaMata_ESP</t>
  </si>
  <si>
    <t>ev_battery_Coria_ESP</t>
  </si>
  <si>
    <t>h_NavalmoralDeLaMata_ESP</t>
  </si>
  <si>
    <t>H2prd_Elc_PEM_Donostia_ESP</t>
  </si>
  <si>
    <t>en_chp_biomass_chips_ext_NavalmoralDeLaMata_ESP</t>
  </si>
  <si>
    <t>H2prd_Elc_PEM_NavalmoralDeLaMata_ESP</t>
  </si>
  <si>
    <t>H2prd_Elc_PEM_ACoruna_ESP</t>
  </si>
  <si>
    <t>en_chp_gas_cc_ext_ccs_NavalmoralDeLaMata_ESP</t>
  </si>
  <si>
    <t>H2prd_Elc_PEM_Jaca_ESP</t>
  </si>
  <si>
    <t>H2prd_Elc_PEM_Barcelona_ESP</t>
  </si>
  <si>
    <t>en_hop_gas_boiler_NavalmoralDeLaMata_ESP</t>
  </si>
  <si>
    <t>H2prd_Elc_PEM_Algeciras_ESP</t>
  </si>
  <si>
    <t>en_hop_biomass_chips_NavalmoralDeLaMata_ESP</t>
  </si>
  <si>
    <t>H2prd_Elc_PEM_Palma_ESP</t>
  </si>
  <si>
    <t>en_hop_electric_boiler_NavalmoralDeLaMata_ESP</t>
  </si>
  <si>
    <t>H2prd_Elc_PEM_SalvatierraDeMino_ESP</t>
  </si>
  <si>
    <t>H2prd_Elc_PEM_Zamora_ESP</t>
  </si>
  <si>
    <t>en_hp_air_10mw_NavalmoralDeLaMata_ESP</t>
  </si>
  <si>
    <t>H2prd_Elc_PEM_Zafra_ESP</t>
  </si>
  <si>
    <t>H2prd_Elc_PEM_Valencia_ESP</t>
  </si>
  <si>
    <t>en_gas_ccgt_ACoruna_ESP</t>
  </si>
  <si>
    <t>H2prd_Elc_PEM_Lepe_ESP</t>
  </si>
  <si>
    <t>en_gas_turbine_ACoruna_ESP</t>
  </si>
  <si>
    <t>H2prd_Elc_PEM_Granollers_ESP</t>
  </si>
  <si>
    <t>en_gas_ccs_ACoruna_ESP</t>
  </si>
  <si>
    <t>H2prd_Elc_PEM_Girona_ESP</t>
  </si>
  <si>
    <t>en_coal_subcritical_ACoruna_ESP</t>
  </si>
  <si>
    <t>H2prd_Elc_PEM_CastellonDeLaPlana_ESP</t>
  </si>
  <si>
    <t>en_coal_supercritical_ACoruna_ESP</t>
  </si>
  <si>
    <t>H2prd_Elc_PEM_Valladolid_ESP</t>
  </si>
  <si>
    <t>en_coal_ultrasupercritical_ACoruna_ESP</t>
  </si>
  <si>
    <t>H2prd_Elc_PEM_Coria_ESP</t>
  </si>
  <si>
    <t>en_coal_igcc_ACoruna_ESP</t>
  </si>
  <si>
    <t>H2prd_Elc_ALK_Donostia_ESP</t>
  </si>
  <si>
    <t>en_nuclear_ACoruna_ESP</t>
  </si>
  <si>
    <t>H2prd_Elc_ALK_NavalmoralDeLaMata_ESP</t>
  </si>
  <si>
    <t>en_nuclear_smr_ACoruna_ESP</t>
  </si>
  <si>
    <t>H2prd_Elc_ALK_ACoruna_ESP</t>
  </si>
  <si>
    <t>en_biomass_ACoruna_ESP</t>
  </si>
  <si>
    <t>H2prd_Elc_ALK_Jaca_ESP</t>
  </si>
  <si>
    <t>en_chp_gas_cc_ext_ACoruna_ESP</t>
  </si>
  <si>
    <t>H2prd_Elc_ALK_Barcelona_ESP</t>
  </si>
  <si>
    <t>h_ACoruna_ESP</t>
  </si>
  <si>
    <t>H2prd_Elc_ALK_Algeciras_ESP</t>
  </si>
  <si>
    <t>en_chp_biomass_chips_ext_ACoruna_ESP</t>
  </si>
  <si>
    <t>H2prd_Elc_ALK_Palma_ESP</t>
  </si>
  <si>
    <t>H2prd_Elc_ALK_SalvatierraDeMino_ESP</t>
  </si>
  <si>
    <t>en_chp_gas_cc_ext_ccs_ACoruna_ESP</t>
  </si>
  <si>
    <t>H2prd_Elc_ALK_Zamora_ESP</t>
  </si>
  <si>
    <t>H2prd_Elc_ALK_Zafra_ESP</t>
  </si>
  <si>
    <t>en_hop_gas_boiler_ACoruna_ESP</t>
  </si>
  <si>
    <t>H2prd_Elc_ALK_Valencia_ESP</t>
  </si>
  <si>
    <t>en_hop_biomass_chips_ACoruna_ESP</t>
  </si>
  <si>
    <t>H2prd_Elc_ALK_Lepe_ESP</t>
  </si>
  <si>
    <t>en_hop_electric_boiler_ACoruna_ESP</t>
  </si>
  <si>
    <t>H2prd_Elc_ALK_Granollers_ESP</t>
  </si>
  <si>
    <t>H2prd_Elc_ALK_Girona_ESP</t>
  </si>
  <si>
    <t>en_hp_air_10mw_ACoruna_ESP</t>
  </si>
  <si>
    <t>H2prd_Elc_ALK_CastellonDeLaPlana_ESP</t>
  </si>
  <si>
    <t>H2prd_Elc_ALK_Valladolid_ESP</t>
  </si>
  <si>
    <t>en_gas_ccgt_Jaca_ESP</t>
  </si>
  <si>
    <t>H2prd_Elc_ALK_Coria_ESP</t>
  </si>
  <si>
    <t>en_gas_turbine_Jaca_ESP</t>
  </si>
  <si>
    <t>h_demand_ACoruna_ESP</t>
  </si>
  <si>
    <t>en_gas_ccs_Jaca_ESP</t>
  </si>
  <si>
    <t>h_demand_Palma_ESP</t>
  </si>
  <si>
    <t>h_Palma_ESP</t>
  </si>
  <si>
    <t>en_coal_subcritical_Jaca_ESP</t>
  </si>
  <si>
    <t>h_demand_Lepe_ESP</t>
  </si>
  <si>
    <t>h_Lepe_ESP</t>
  </si>
  <si>
    <t>en_coal_supercritical_Jaca_ESP</t>
  </si>
  <si>
    <t>h_demand_Donostia_ESP</t>
  </si>
  <si>
    <t>en_coal_ultrasupercritical_Jaca_ESP</t>
  </si>
  <si>
    <t>h_demand_Zafra_ESP</t>
  </si>
  <si>
    <t>h_Zafra_ESP</t>
  </si>
  <si>
    <t>en_coal_igcc_Jaca_ESP</t>
  </si>
  <si>
    <t>h_demand_Algeciras_ESP</t>
  </si>
  <si>
    <t>h_Algeciras_ESP</t>
  </si>
  <si>
    <t>en_nuclear_Jaca_ESP</t>
  </si>
  <si>
    <t>h_demand_Jaca_ESP</t>
  </si>
  <si>
    <t>h_Jaca_ESP</t>
  </si>
  <si>
    <t>en_nuclear_smr_Jaca_ESP</t>
  </si>
  <si>
    <t>h_demand_NavalmoralDeLaMata_ESP</t>
  </si>
  <si>
    <t>en_biomass_Jaca_ESP</t>
  </si>
  <si>
    <t>h_demand_Barcelona_ESP</t>
  </si>
  <si>
    <t>h_Barcelona_ESP</t>
  </si>
  <si>
    <t>en_chp_gas_cc_ext_Jaca_ESP</t>
  </si>
  <si>
    <t>h_demand_Valencia_ESP</t>
  </si>
  <si>
    <t>h_Valencia_ESP</t>
  </si>
  <si>
    <t>h_demand_CastellonDeLaPlana_ESP</t>
  </si>
  <si>
    <t>h_CastellonDeLaPlana_ESP</t>
  </si>
  <si>
    <t>en_chp_biomass_chips_ext_Jaca_ESP</t>
  </si>
  <si>
    <t>h_demand_Valladolid_ESP</t>
  </si>
  <si>
    <t>h_Valladolid_ESP</t>
  </si>
  <si>
    <t>h_demand_Girona_ESP</t>
  </si>
  <si>
    <t>h_Girona_ESP</t>
  </si>
  <si>
    <t>en_chp_gas_cc_ext_ccs_Jaca_ESP</t>
  </si>
  <si>
    <t>en_hop_gas_boiler_Jaca_ESP</t>
  </si>
  <si>
    <t>en_hop_biomass_chips_Jaca_ESP</t>
  </si>
  <si>
    <t>en_hop_electric_boiler_Jaca_ESP</t>
  </si>
  <si>
    <t>en_hp_air_10mw_Jaca_ESP</t>
  </si>
  <si>
    <t>en_gas_ccgt_Barcelona_ESP</t>
  </si>
  <si>
    <t>en_gas_turbine_Barcelona_ESP</t>
  </si>
  <si>
    <t>en_gas_ccs_Barcelona_ESP</t>
  </si>
  <si>
    <t>en_coal_subcritical_Barcelona_ESP</t>
  </si>
  <si>
    <t>en_coal_supercritical_Barcelona_ESP</t>
  </si>
  <si>
    <t>en_coal_ultrasupercritical_Barcelona_ESP</t>
  </si>
  <si>
    <t>en_coal_igcc_Barcelona_ESP</t>
  </si>
  <si>
    <t>en_nuclear_Barcelona_ESP</t>
  </si>
  <si>
    <t>en_nuclear_smr_Barcelona_ESP</t>
  </si>
  <si>
    <t>en_biomass_Barcelona_ESP</t>
  </si>
  <si>
    <t>en_chp_gas_cc_ext_Barcelona_ESP</t>
  </si>
  <si>
    <t>en_chp_biomass_chips_ext_Barcelona_ESP</t>
  </si>
  <si>
    <t>en_chp_gas_cc_ext_ccs_Barcelona_ESP</t>
  </si>
  <si>
    <t>en_hop_gas_boiler_Barcelona_ESP</t>
  </si>
  <si>
    <t>en_hop_biomass_chips_Barcelona_ESP</t>
  </si>
  <si>
    <t>en_hop_electric_boiler_Barcelona_ESP</t>
  </si>
  <si>
    <t>en_hp_air_10mw_Barcelona_ESP</t>
  </si>
  <si>
    <t>en_gas_ccgt_Algeciras_ESP</t>
  </si>
  <si>
    <t>en_gas_turbine_Algeciras_ESP</t>
  </si>
  <si>
    <t>en_gas_ccs_Algeciras_ESP</t>
  </si>
  <si>
    <t>en_coal_subcritical_Algeciras_ESP</t>
  </si>
  <si>
    <t>en_coal_supercritical_Algeciras_ESP</t>
  </si>
  <si>
    <t>en_coal_ultrasupercritical_Algeciras_ESP</t>
  </si>
  <si>
    <t>en_coal_igcc_Algeciras_ESP</t>
  </si>
  <si>
    <t>en_nuclear_Algeciras_ESP</t>
  </si>
  <si>
    <t>en_nuclear_smr_Algeciras_ESP</t>
  </si>
  <si>
    <t>en_biomass_Algeciras_ESP</t>
  </si>
  <si>
    <t>en_chp_gas_cc_ext_Algeciras_ESP</t>
  </si>
  <si>
    <t>en_chp_biomass_chips_ext_Algeciras_ESP</t>
  </si>
  <si>
    <t>en_chp_gas_cc_ext_ccs_Algeciras_ESP</t>
  </si>
  <si>
    <t>en_hop_gas_boiler_Algeciras_ESP</t>
  </si>
  <si>
    <t>en_hop_biomass_chips_Algeciras_ESP</t>
  </si>
  <si>
    <t>en_hop_electric_boiler_Algeciras_ESP</t>
  </si>
  <si>
    <t>en_hp_air_10mw_Algeciras_ESP</t>
  </si>
  <si>
    <t>en_gas_ccgt_Palma_ESP</t>
  </si>
  <si>
    <t>en_gas_turbine_Palma_ESP</t>
  </si>
  <si>
    <t>en_gas_ccs_Palma_ESP</t>
  </si>
  <si>
    <t>en_coal_subcritical_Palma_ESP</t>
  </si>
  <si>
    <t>en_coal_supercritical_Palma_ESP</t>
  </si>
  <si>
    <t>en_coal_ultrasupercritical_Palma_ESP</t>
  </si>
  <si>
    <t>en_coal_igcc_Palma_ESP</t>
  </si>
  <si>
    <t>en_nuclear_Palma_ESP</t>
  </si>
  <si>
    <t>en_nuclear_smr_Palma_ESP</t>
  </si>
  <si>
    <t>en_biomass_Palma_ESP</t>
  </si>
  <si>
    <t>en_chp_gas_cc_ext_Palma_ESP</t>
  </si>
  <si>
    <t>en_chp_biomass_chips_ext_Palma_ESP</t>
  </si>
  <si>
    <t>en_chp_gas_cc_ext_ccs_Palma_ESP</t>
  </si>
  <si>
    <t>en_hop_gas_boiler_Palma_ESP</t>
  </si>
  <si>
    <t>en_hop_biomass_chips_Palma_ESP</t>
  </si>
  <si>
    <t>en_hop_electric_boiler_Palma_ESP</t>
  </si>
  <si>
    <t>en_hp_air_10mw_Palma_ESP</t>
  </si>
  <si>
    <t>en_gas_ccgt_SalvatierraDeMino_ESP</t>
  </si>
  <si>
    <t>en_gas_turbine_SalvatierraDeMino_ESP</t>
  </si>
  <si>
    <t>en_gas_ccs_SalvatierraDeMino_ESP</t>
  </si>
  <si>
    <t>en_coal_subcritical_SalvatierraDeMino_ESP</t>
  </si>
  <si>
    <t>en_coal_supercritical_SalvatierraDeMino_ESP</t>
  </si>
  <si>
    <t>en_coal_ultrasupercritical_SalvatierraDeMino_ESP</t>
  </si>
  <si>
    <t>en_coal_igcc_SalvatierraDeMino_ESP</t>
  </si>
  <si>
    <t>en_nuclear_SalvatierraDeMino_ESP</t>
  </si>
  <si>
    <t>en_nuclear_smr_SalvatierraDeMino_ESP</t>
  </si>
  <si>
    <t>en_biomass_SalvatierraDeMino_ESP</t>
  </si>
  <si>
    <t>en_chp_gas_cc_ext_SalvatierraDeMino_ESP</t>
  </si>
  <si>
    <t>h_SalvatierraDeMino_ESP</t>
  </si>
  <si>
    <t>en_chp_biomass_chips_ext_SalvatierraDeMino_ESP</t>
  </si>
  <si>
    <t>en_chp_gas_cc_ext_ccs_SalvatierraDeMino_ESP</t>
  </si>
  <si>
    <t>en_hop_gas_boiler_SalvatierraDeMino_ESP</t>
  </si>
  <si>
    <t>en_hop_biomass_chips_SalvatierraDeMino_ESP</t>
  </si>
  <si>
    <t>en_hop_electric_boiler_SalvatierraDeMino_ESP</t>
  </si>
  <si>
    <t>en_hp_air_10mw_SalvatierraDeMino_ESP</t>
  </si>
  <si>
    <t>en_gas_ccgt_Zamora_ESP</t>
  </si>
  <si>
    <t>en_gas_turbine_Zamora_ESP</t>
  </si>
  <si>
    <t>en_gas_ccs_Zamora_ESP</t>
  </si>
  <si>
    <t>en_coal_subcritical_Zamora_ESP</t>
  </si>
  <si>
    <t>en_coal_supercritical_Zamora_ESP</t>
  </si>
  <si>
    <t>en_coal_ultrasupercritical_Zamora_ESP</t>
  </si>
  <si>
    <t>en_coal_igcc_Zamora_ESP</t>
  </si>
  <si>
    <t>en_nuclear_Zamora_ESP</t>
  </si>
  <si>
    <t>en_nuclear_smr_Zamora_ESP</t>
  </si>
  <si>
    <t>en_biomass_Zamora_ESP</t>
  </si>
  <si>
    <t>en_chp_gas_cc_ext_Zamora_ESP</t>
  </si>
  <si>
    <t>h_Zamora_ESP</t>
  </si>
  <si>
    <t>en_chp_biomass_chips_ext_Zamora_ESP</t>
  </si>
  <si>
    <t>en_chp_gas_cc_ext_ccs_Zamora_ESP</t>
  </si>
  <si>
    <t>en_hop_gas_boiler_Zamora_ESP</t>
  </si>
  <si>
    <t>en_hop_biomass_chips_Zamora_ESP</t>
  </si>
  <si>
    <t>en_hop_electric_boiler_Zamora_ESP</t>
  </si>
  <si>
    <t>en_hp_air_10mw_Zamora_ESP</t>
  </si>
  <si>
    <t>en_gas_ccgt_Zafra_ESP</t>
  </si>
  <si>
    <t>en_gas_turbine_Zafra_ESP</t>
  </si>
  <si>
    <t>en_gas_ccs_Zafra_ESP</t>
  </si>
  <si>
    <t>en_coal_subcritical_Zafra_ESP</t>
  </si>
  <si>
    <t>en_coal_supercritical_Zafra_ESP</t>
  </si>
  <si>
    <t>en_coal_ultrasupercritical_Zafra_ESP</t>
  </si>
  <si>
    <t>en_coal_igcc_Zafra_ESP</t>
  </si>
  <si>
    <t>en_nuclear_Zafra_ESP</t>
  </si>
  <si>
    <t>en_nuclear_smr_Zafra_ESP</t>
  </si>
  <si>
    <t>en_biomass_Zafra_ESP</t>
  </si>
  <si>
    <t>en_chp_gas_cc_ext_Zafra_ESP</t>
  </si>
  <si>
    <t>en_chp_biomass_chips_ext_Zafra_ESP</t>
  </si>
  <si>
    <t>en_chp_gas_cc_ext_ccs_Zafra_ESP</t>
  </si>
  <si>
    <t>en_hop_gas_boiler_Zafra_ESP</t>
  </si>
  <si>
    <t>en_hop_biomass_chips_Zafra_ESP</t>
  </si>
  <si>
    <t>en_hop_electric_boiler_Zafra_ESP</t>
  </si>
  <si>
    <t>en_hp_air_10mw_Zafra_ESP</t>
  </si>
  <si>
    <t>en_gas_ccgt_Valencia_ESP</t>
  </si>
  <si>
    <t>en_gas_turbine_Valencia_ESP</t>
  </si>
  <si>
    <t>en_gas_ccs_Valencia_ESP</t>
  </si>
  <si>
    <t>en_coal_subcritical_Valencia_ESP</t>
  </si>
  <si>
    <t>en_coal_supercritical_Valencia_ESP</t>
  </si>
  <si>
    <t>en_coal_ultrasupercritical_Valencia_ESP</t>
  </si>
  <si>
    <t>en_coal_igcc_Valencia_ESP</t>
  </si>
  <si>
    <t>en_nuclear_Valencia_ESP</t>
  </si>
  <si>
    <t>en_nuclear_smr_Valencia_ESP</t>
  </si>
  <si>
    <t>en_biomass_Valencia_ESP</t>
  </si>
  <si>
    <t>en_chp_gas_cc_ext_Valencia_ESP</t>
  </si>
  <si>
    <t>en_chp_biomass_chips_ext_Valencia_ESP</t>
  </si>
  <si>
    <t>en_chp_gas_cc_ext_ccs_Valencia_ESP</t>
  </si>
  <si>
    <t>en_hop_gas_boiler_Valencia_ESP</t>
  </si>
  <si>
    <t>en_hop_biomass_chips_Valencia_ESP</t>
  </si>
  <si>
    <t>en_hop_electric_boiler_Valencia_ESP</t>
  </si>
  <si>
    <t>en_hp_air_10mw_Valencia_ESP</t>
  </si>
  <si>
    <t>en_gas_ccgt_Lepe_ESP</t>
  </si>
  <si>
    <t>en_gas_turbine_Lepe_ESP</t>
  </si>
  <si>
    <t>en_gas_ccs_Lepe_ESP</t>
  </si>
  <si>
    <t>en_coal_subcritical_Lepe_ESP</t>
  </si>
  <si>
    <t>en_coal_supercritical_Lepe_ESP</t>
  </si>
  <si>
    <t>en_coal_ultrasupercritical_Lepe_ESP</t>
  </si>
  <si>
    <t>en_coal_igcc_Lepe_ESP</t>
  </si>
  <si>
    <t>en_nuclear_Lepe_ESP</t>
  </si>
  <si>
    <t>en_nuclear_smr_Lepe_ESP</t>
  </si>
  <si>
    <t>en_biomass_Lepe_ESP</t>
  </si>
  <si>
    <t>en_chp_gas_cc_ext_Lepe_ESP</t>
  </si>
  <si>
    <t>en_chp_biomass_chips_ext_Lepe_ESP</t>
  </si>
  <si>
    <t>en_chp_gas_cc_ext_ccs_Lepe_ESP</t>
  </si>
  <si>
    <t>en_hop_gas_boiler_Lepe_ESP</t>
  </si>
  <si>
    <t>en_hop_biomass_chips_Lepe_ESP</t>
  </si>
  <si>
    <t>en_hop_electric_boiler_Lepe_ESP</t>
  </si>
  <si>
    <t>en_hp_air_10mw_Lepe_ESP</t>
  </si>
  <si>
    <t>en_gas_ccgt_Granollers_ESP</t>
  </si>
  <si>
    <t>en_gas_turbine_Granollers_ESP</t>
  </si>
  <si>
    <t>en_gas_ccs_Granollers_ESP</t>
  </si>
  <si>
    <t>en_coal_subcritical_Granollers_ESP</t>
  </si>
  <si>
    <t>en_coal_supercritical_Granollers_ESP</t>
  </si>
  <si>
    <t>en_coal_ultrasupercritical_Granollers_ESP</t>
  </si>
  <si>
    <t>en_coal_igcc_Granollers_ESP</t>
  </si>
  <si>
    <t>en_nuclear_Granollers_ESP</t>
  </si>
  <si>
    <t>en_nuclear_smr_Granollers_ESP</t>
  </si>
  <si>
    <t>en_biomass_Granollers_ESP</t>
  </si>
  <si>
    <t>en_chp_gas_cc_ext_Granollers_ESP</t>
  </si>
  <si>
    <t>h_Granollers_ESP</t>
  </si>
  <si>
    <t>en_chp_biomass_chips_ext_Granollers_ESP</t>
  </si>
  <si>
    <t>en_chp_gas_cc_ext_ccs_Granollers_ESP</t>
  </si>
  <si>
    <t>en_hop_gas_boiler_Granollers_ESP</t>
  </si>
  <si>
    <t>en_hop_biomass_chips_Granollers_ESP</t>
  </si>
  <si>
    <t>en_hop_electric_boiler_Granollers_ESP</t>
  </si>
  <si>
    <t>en_hp_air_10mw_Granollers_ESP</t>
  </si>
  <si>
    <t>en_gas_ccgt_Girona_ESP</t>
  </si>
  <si>
    <t>en_gas_turbine_Girona_ESP</t>
  </si>
  <si>
    <t>en_gas_ccs_Girona_ESP</t>
  </si>
  <si>
    <t>en_coal_subcritical_Girona_ESP</t>
  </si>
  <si>
    <t>en_coal_supercritical_Girona_ESP</t>
  </si>
  <si>
    <t>en_coal_ultrasupercritical_Girona_ESP</t>
  </si>
  <si>
    <t>en_coal_igcc_Girona_ESP</t>
  </si>
  <si>
    <t>en_nuclear_Girona_ESP</t>
  </si>
  <si>
    <t>en_nuclear_smr_Girona_ESP</t>
  </si>
  <si>
    <t>en_biomass_Girona_ESP</t>
  </si>
  <si>
    <t>en_chp_gas_cc_ext_Girona_ESP</t>
  </si>
  <si>
    <t>en_chp_biomass_chips_ext_Girona_ESP</t>
  </si>
  <si>
    <t>en_chp_gas_cc_ext_ccs_Girona_ESP</t>
  </si>
  <si>
    <t>en_hop_gas_boiler_Girona_ESP</t>
  </si>
  <si>
    <t>en_hop_biomass_chips_Girona_ESP</t>
  </si>
  <si>
    <t>en_hop_electric_boiler_Girona_ESP</t>
  </si>
  <si>
    <t>en_hp_air_10mw_Girona_ESP</t>
  </si>
  <si>
    <t>en_gas_ccgt_CastellonDeLaPlana_ESP</t>
  </si>
  <si>
    <t>en_gas_turbine_CastellonDeLaPlana_ESP</t>
  </si>
  <si>
    <t>en_gas_ccs_CastellonDeLaPlana_ESP</t>
  </si>
  <si>
    <t>en_coal_subcritical_CastellonDeLaPlana_ESP</t>
  </si>
  <si>
    <t>en_coal_supercritical_CastellonDeLaPlana_ESP</t>
  </si>
  <si>
    <t>en_coal_ultrasupercritical_CastellonDeLaPlana_ESP</t>
  </si>
  <si>
    <t>en_coal_igcc_CastellonDeLaPlana_ESP</t>
  </si>
  <si>
    <t>en_nuclear_CastellonDeLaPlana_ESP</t>
  </si>
  <si>
    <t>en_nuclear_smr_CastellonDeLaPlana_ESP</t>
  </si>
  <si>
    <t>en_biomass_CastellonDeLaPlana_ESP</t>
  </si>
  <si>
    <t>en_chp_gas_cc_ext_CastellonDeLaPlana_ESP</t>
  </si>
  <si>
    <t>en_chp_biomass_chips_ext_CastellonDeLaPlana_ESP</t>
  </si>
  <si>
    <t>en_chp_gas_cc_ext_ccs_CastellonDeLaPlana_ESP</t>
  </si>
  <si>
    <t>en_hop_gas_boiler_CastellonDeLaPlana_ESP</t>
  </si>
  <si>
    <t>en_hop_biomass_chips_CastellonDeLaPlana_ESP</t>
  </si>
  <si>
    <t>en_hop_electric_boiler_CastellonDeLaPlana_ESP</t>
  </si>
  <si>
    <t>en_hp_air_10mw_CastellonDeLaPlana_ESP</t>
  </si>
  <si>
    <t>en_gas_ccgt_Valladolid_ESP</t>
  </si>
  <si>
    <t>en_gas_turbine_Valladolid_ESP</t>
  </si>
  <si>
    <t>en_gas_ccs_Valladolid_ESP</t>
  </si>
  <si>
    <t>en_coal_subcritical_Valladolid_ESP</t>
  </si>
  <si>
    <t>en_coal_supercritical_Valladolid_ESP</t>
  </si>
  <si>
    <t>en_coal_ultrasupercritical_Valladolid_ESP</t>
  </si>
  <si>
    <t>en_coal_igcc_Valladolid_ESP</t>
  </si>
  <si>
    <t>en_nuclear_Valladolid_ESP</t>
  </si>
  <si>
    <t>en_nuclear_smr_Valladolid_ESP</t>
  </si>
  <si>
    <t>en_biomass_Valladolid_ESP</t>
  </si>
  <si>
    <t>en_chp_gas_cc_ext_Valladolid_ESP</t>
  </si>
  <si>
    <t>en_chp_biomass_chips_ext_Valladolid_ESP</t>
  </si>
  <si>
    <t>en_chp_gas_cc_ext_ccs_Valladolid_ESP</t>
  </si>
  <si>
    <t>en_hop_gas_boiler_Valladolid_ESP</t>
  </si>
  <si>
    <t>en_hop_biomass_chips_Valladolid_ESP</t>
  </si>
  <si>
    <t>en_hop_electric_boiler_Valladolid_ESP</t>
  </si>
  <si>
    <t>en_hp_air_10mw_Valladolid_ESP</t>
  </si>
  <si>
    <t>en_gas_ccgt_Coria_ESP</t>
  </si>
  <si>
    <t>en_gas_turbine_Coria_ESP</t>
  </si>
  <si>
    <t>en_gas_ccs_Coria_ESP</t>
  </si>
  <si>
    <t>en_coal_subcritical_Coria_ESP</t>
  </si>
  <si>
    <t>en_coal_supercritical_Coria_ESP</t>
  </si>
  <si>
    <t>en_coal_ultrasupercritical_Coria_ESP</t>
  </si>
  <si>
    <t>en_coal_igcc_Coria_ESP</t>
  </si>
  <si>
    <t>en_nuclear_Coria_ESP</t>
  </si>
  <si>
    <t>en_nuclear_smr_Coria_ESP</t>
  </si>
  <si>
    <t>en_biomass_Coria_ESP</t>
  </si>
  <si>
    <t>en_chp_gas_cc_ext_Coria_ESP</t>
  </si>
  <si>
    <t>h_Coria_ESP</t>
  </si>
  <si>
    <t>en_chp_biomass_chips_ext_Coria_ESP</t>
  </si>
  <si>
    <t>en_chp_gas_cc_ext_ccs_Coria_ESP</t>
  </si>
  <si>
    <t>en_hop_gas_boiler_Coria_ESP</t>
  </si>
  <si>
    <t>en_hop_biomass_chips_Coria_ESP</t>
  </si>
  <si>
    <t>en_hop_electric_boiler_Coria_ESP</t>
  </si>
  <si>
    <t>en_hp_air_10mw_Coria_ESP</t>
  </si>
  <si>
    <t>en_battery_4h_Donostia_ESP</t>
  </si>
  <si>
    <t>en_battery_8h_Donostia_ESP</t>
  </si>
  <si>
    <t>en_battery_4h_NavalmoralDeLaMata_ESP</t>
  </si>
  <si>
    <t>en_battery_8h_NavalmoralDeLaMata_ESP</t>
  </si>
  <si>
    <t>en_battery_4h_ACoruna_ESP</t>
  </si>
  <si>
    <t>en_battery_8h_ACoruna_ESP</t>
  </si>
  <si>
    <t>en_battery_4h_Jaca_ESP</t>
  </si>
  <si>
    <t>en_battery_8h_Jaca_ESP</t>
  </si>
  <si>
    <t>en_battery_4h_Barcelona_ESP</t>
  </si>
  <si>
    <t>en_battery_8h_Barcelona_ESP</t>
  </si>
  <si>
    <t>en_battery_4h_Algeciras_ESP</t>
  </si>
  <si>
    <t>en_battery_8h_Algeciras_ESP</t>
  </si>
  <si>
    <t>en_battery_4h_Palma_ESP</t>
  </si>
  <si>
    <t>en_battery_8h_Palma_ESP</t>
  </si>
  <si>
    <t>en_battery_4h_SalvatierraDeMino_ESP</t>
  </si>
  <si>
    <t>en_battery_8h_SalvatierraDeMino_ESP</t>
  </si>
  <si>
    <t>en_battery_4h_Zamora_ESP</t>
  </si>
  <si>
    <t>en_battery_8h_Zamora_ESP</t>
  </si>
  <si>
    <t>en_battery_4h_Zafra_ESP</t>
  </si>
  <si>
    <t>en_battery_8h_Zafra_ESP</t>
  </si>
  <si>
    <t>en_battery_4h_Valencia_ESP</t>
  </si>
  <si>
    <t>en_battery_8h_Valencia_ESP</t>
  </si>
  <si>
    <t>en_battery_4h_Lepe_ESP</t>
  </si>
  <si>
    <t>en_battery_8h_Lepe_ESP</t>
  </si>
  <si>
    <t>en_battery_4h_Granollers_ESP</t>
  </si>
  <si>
    <t>en_battery_8h_Granollers_ESP</t>
  </si>
  <si>
    <t>en_battery_4h_Girona_ESP</t>
  </si>
  <si>
    <t>en_battery_8h_Girona_ESP</t>
  </si>
  <si>
    <t>en_battery_4h_CastellonDeLaPlana_ESP</t>
  </si>
  <si>
    <t>en_battery_8h_CastellonDeLaPlana_ESP</t>
  </si>
  <si>
    <t>en_battery_4h_Valladolid_ESP</t>
  </si>
  <si>
    <t>en_battery_8h_Valladolid_ESP</t>
  </si>
  <si>
    <t>en_battery_4h_Coria_ESP</t>
  </si>
  <si>
    <t>en_battery_8h_Coria_ESP</t>
  </si>
  <si>
    <t>UCE_elcagg_spv_ESP_001</t>
  </si>
  <si>
    <t>elc_spv_ESP_001</t>
  </si>
  <si>
    <t>UCE_elcagg_spv_ESP_002</t>
  </si>
  <si>
    <t>elc_spv_ESP_002</t>
  </si>
  <si>
    <t>UCE_elcagg_spv_ESP_003</t>
  </si>
  <si>
    <t>elc_spv_ESP_003</t>
  </si>
  <si>
    <t>UCE_elcagg_spv_ESP_004</t>
  </si>
  <si>
    <t>elc_spv_ESP_004</t>
  </si>
  <si>
    <t>UCE_elcagg_spv_ESP_005</t>
  </si>
  <si>
    <t>elc_spv_ESP_005</t>
  </si>
  <si>
    <t>UCE_elcagg_spv_ESP_006</t>
  </si>
  <si>
    <t>elc_spv_ESP_006</t>
  </si>
  <si>
    <t>UCE_elcagg_spv_ESP_007</t>
  </si>
  <si>
    <t>elc_spv_ESP_007</t>
  </si>
  <si>
    <t>UCE_elcagg_spv_ESP_008</t>
  </si>
  <si>
    <t>elc_spv_ESP_008</t>
  </si>
  <si>
    <t>UCE_elcagg_spv_ESP_009</t>
  </si>
  <si>
    <t>elc_spv_ESP_009</t>
  </si>
  <si>
    <t>UCE_elcagg_spv_ESP_010</t>
  </si>
  <si>
    <t>elc_spv_ESP_010</t>
  </si>
  <si>
    <t>UCE_elcagg_spv_ESP_011</t>
  </si>
  <si>
    <t>elc_spv_ESP_011</t>
  </si>
  <si>
    <t>UCE_elcagg_spv_ESP_012</t>
  </si>
  <si>
    <t>elc_spv_ESP_012</t>
  </si>
  <si>
    <t>UCE_elcagg_spv_ESP_013</t>
  </si>
  <si>
    <t>elc_spv_ESP_013</t>
  </si>
  <si>
    <t>UCE_elcagg_spv_ESP_014</t>
  </si>
  <si>
    <t>elc_spv_ESP_014</t>
  </si>
  <si>
    <t>UCE_elcagg_spv_ESP_015</t>
  </si>
  <si>
    <t>elc_spv_ESP_015</t>
  </si>
  <si>
    <t>UCE_elcagg_spv_ESP_016</t>
  </si>
  <si>
    <t>elc_spv_ESP_016</t>
  </si>
  <si>
    <t>UCE_elcagg_spv_ESP_017</t>
  </si>
  <si>
    <t>elc_spv_ESP_017</t>
  </si>
  <si>
    <t>UCE_elcagg_spv_ESP_018</t>
  </si>
  <si>
    <t>elc_spv_ESP_018</t>
  </si>
  <si>
    <t>UCE_elcagg_spv_ESP_019</t>
  </si>
  <si>
    <t>elc_spv_ESP_019</t>
  </si>
  <si>
    <t>UCE_elcagg_spv_ESP_020</t>
  </si>
  <si>
    <t>elc_spv_ESP_020</t>
  </si>
  <si>
    <t>UCE_elcagg_spv_ESP_021</t>
  </si>
  <si>
    <t>elc_spv_ESP_021</t>
  </si>
  <si>
    <t>UCE_elcagg_spv_ESP_022</t>
  </si>
  <si>
    <t>elc_spv_ESP_022</t>
  </si>
  <si>
    <t>UCE_elcagg_spv_ESP_023</t>
  </si>
  <si>
    <t>elc_spv_ESP_023</t>
  </si>
  <si>
    <t>UCE_elcagg_spv_ESP_024</t>
  </si>
  <si>
    <t>elc_spv_ESP_024</t>
  </si>
  <si>
    <t>UCE_elcagg_spv_ESP_025</t>
  </si>
  <si>
    <t>elc_spv_ESP_025</t>
  </si>
  <si>
    <t>UCE_elcagg_spv_ESP_026</t>
  </si>
  <si>
    <t>elc_spv_ESP_026</t>
  </si>
  <si>
    <t>UCE_elcagg_wof_ESP_001</t>
  </si>
  <si>
    <t>elc_wof_ESP_001</t>
  </si>
  <si>
    <t>UCE_elcagg_wof_ESP_002</t>
  </si>
  <si>
    <t>elc_wof_ESP_002</t>
  </si>
  <si>
    <t>UCE_elcagg_wof_ESP_003</t>
  </si>
  <si>
    <t>elc_wof_ESP_003</t>
  </si>
  <si>
    <t>UCE_elcagg_wof_ESP_004</t>
  </si>
  <si>
    <t>elc_wof_ESP_004</t>
  </si>
  <si>
    <t>UCE_elcagg_wof_ESP_005</t>
  </si>
  <si>
    <t>elc_wof_ESP_005</t>
  </si>
  <si>
    <t>UCE_elcagg_wof_ESP_006</t>
  </si>
  <si>
    <t>elc_wof_ESP_006</t>
  </si>
  <si>
    <t>UCE_elcagg_wof_ESP_007</t>
  </si>
  <si>
    <t>elc_wof_ESP_007</t>
  </si>
  <si>
    <t>UCE_elcagg_wof_ESP_008</t>
  </si>
  <si>
    <t>elc_wof_ESP_008</t>
  </si>
  <si>
    <t>UCE_elcagg_wof_ESP_009</t>
  </si>
  <si>
    <t>elc_wof_ESP_009</t>
  </si>
  <si>
    <t>UCE_elcagg_wof_ESP_010</t>
  </si>
  <si>
    <t>elc_wof_ESP_010</t>
  </si>
  <si>
    <t>UCE_elcagg_wof_ESP_011</t>
  </si>
  <si>
    <t>elc_wof_ESP_011</t>
  </si>
  <si>
    <t>UCE_elcagg_wof_ESP_012</t>
  </si>
  <si>
    <t>elc_wof_ESP_012</t>
  </si>
  <si>
    <t>UCE_elcagg_wof_ESP_013</t>
  </si>
  <si>
    <t>elc_wof_ESP_013</t>
  </si>
  <si>
    <t>UCE_elcagg_wof_ESP_014</t>
  </si>
  <si>
    <t>elc_wof_ESP_014</t>
  </si>
  <si>
    <t>UCE_elcagg_wof_ESP_015</t>
  </si>
  <si>
    <t>elc_wof_ESP_015</t>
  </si>
  <si>
    <t>UCE_elcagg_wof_ESP_016</t>
  </si>
  <si>
    <t>elc_wof_ESP_016</t>
  </si>
  <si>
    <t>UCE_elcagg_wof_ESP_017</t>
  </si>
  <si>
    <t>elc_wof_ESP_017</t>
  </si>
  <si>
    <t>UCE_elcagg_wof_ESP_018</t>
  </si>
  <si>
    <t>elc_wof_ESP_018</t>
  </si>
  <si>
    <t>UCE_elcagg_wof_ESP_019</t>
  </si>
  <si>
    <t>elc_wof_ESP_019</t>
  </si>
  <si>
    <t>UCE_elcagg_won_ESP_001</t>
  </si>
  <si>
    <t>elc_won_ESP_001</t>
  </si>
  <si>
    <t>UCE_elcagg_won_ESP_002</t>
  </si>
  <si>
    <t>elc_won_ESP_002</t>
  </si>
  <si>
    <t>UCE_elcagg_won_ESP_003</t>
  </si>
  <si>
    <t>elc_won_ESP_003</t>
  </si>
  <si>
    <t>UCE_elcagg_won_ESP_004</t>
  </si>
  <si>
    <t>elc_won_ESP_004</t>
  </si>
  <si>
    <t>UCE_elcagg_won_ESP_005</t>
  </si>
  <si>
    <t>elc_won_ESP_005</t>
  </si>
  <si>
    <t>UCE_elcagg_won_ESP_006</t>
  </si>
  <si>
    <t>elc_won_ESP_006</t>
  </si>
  <si>
    <t>UCE_elcagg_won_ESP_007</t>
  </si>
  <si>
    <t>elc_won_ESP_007</t>
  </si>
  <si>
    <t>UCE_elcagg_won_ESP_008</t>
  </si>
  <si>
    <t>elc_won_ESP_008</t>
  </si>
  <si>
    <t>UCE_elcagg_won_ESP_009</t>
  </si>
  <si>
    <t>elc_won_ESP_009</t>
  </si>
  <si>
    <t>UCE_elcagg_won_ESP_010</t>
  </si>
  <si>
    <t>elc_won_ESP_010</t>
  </si>
  <si>
    <t>UCE_elcagg_won_ESP_011</t>
  </si>
  <si>
    <t>elc_won_ESP_011</t>
  </si>
  <si>
    <t>UCE_elcagg_won_ESP_012</t>
  </si>
  <si>
    <t>elc_won_ESP_012</t>
  </si>
  <si>
    <t>UCE_elcagg_won_ESP_013</t>
  </si>
  <si>
    <t>elc_won_ESP_013</t>
  </si>
  <si>
    <t>UCE_elcagg_won_ESP_014</t>
  </si>
  <si>
    <t>elc_won_ESP_014</t>
  </si>
  <si>
    <t>UCE_elcagg_won_ESP_015</t>
  </si>
  <si>
    <t>elc_won_ESP_015</t>
  </si>
  <si>
    <t>UCE_elcagg_won_ESP_016</t>
  </si>
  <si>
    <t>elc_won_ESP_016</t>
  </si>
  <si>
    <t>UCE_elcagg_won_ESP_017</t>
  </si>
  <si>
    <t>elc_won_ESP_017</t>
  </si>
  <si>
    <t>UCE_elcagg_won_ESP_018</t>
  </si>
  <si>
    <t>elc_won_ESP_018</t>
  </si>
  <si>
    <t>UCE_elcagg_won_ESP_019</t>
  </si>
  <si>
    <t>elc_won_ESP_019</t>
  </si>
  <si>
    <t>UCE_elcagg_won_ESP_020</t>
  </si>
  <si>
    <t>elc_won_ESP_020</t>
  </si>
  <si>
    <t>UCE_elcagg_won_ESP_021</t>
  </si>
  <si>
    <t>elc_won_ESP_021</t>
  </si>
  <si>
    <t>UCE_elcagg_won_ESP_022</t>
  </si>
  <si>
    <t>elc_won_ESP_022</t>
  </si>
  <si>
    <t>UCE_elcagg_won_ESP_023</t>
  </si>
  <si>
    <t>elc_won_ESP_023</t>
  </si>
  <si>
    <t>UCE_elcagg_won_ESP_024</t>
  </si>
  <si>
    <t>elc_won_ESP_024</t>
  </si>
  <si>
    <t>UCE_elcagg_won_ESP_025</t>
  </si>
  <si>
    <t>elc_won_ESP_025</t>
  </si>
  <si>
    <t>~UC_Sets: R_E: FRA</t>
  </si>
  <si>
    <t>~tfm_ins-at: region=FRA</t>
  </si>
  <si>
    <t>~UC_Sets: R_E: GBR</t>
  </si>
  <si>
    <t>~tfm_ins-at: region=GBR</t>
  </si>
  <si>
    <t>~UC_Sets: R_E: NLD</t>
  </si>
  <si>
    <t>~tfm_ins-at: region=NLD</t>
  </si>
  <si>
    <t>~UC_Sets: R_E: BEL</t>
  </si>
  <si>
    <t>~tfm_ins-at: region=BEL</t>
  </si>
  <si>
    <t>~UC_Sets: R_E: DEU</t>
  </si>
  <si>
    <t>~tfm_ins-at: region=DEU</t>
  </si>
  <si>
    <t>~UC_Sets: R_E: CHE</t>
  </si>
  <si>
    <t>~tfm_ins-at: region=CHE</t>
  </si>
  <si>
    <t>~UC_Sets: R_E: ITA</t>
  </si>
  <si>
    <t>~tfm_ins-at: region=ITA</t>
  </si>
  <si>
    <t>~UC_Sets: R_E: ESP</t>
  </si>
  <si>
    <t>~tfm_ins-at: region=ESP</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</si>
  <si>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</si>
  <si>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</si>
  <si>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</si>
  <si>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</si>
  <si>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</si>
  <si>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</si>
  <si>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</si>
  <si>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</si>
  <si>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</si>
  <si>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</si>
  <si>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</si>
  <si>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</si>
  <si>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</si>
  <si>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</si>
  <si>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</si>
  <si>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 for France</t>
  </si>
  <si>
    <t>Government of France</t>
  </si>
  <si>
    <t>https://energy.ec.europa.eu/system/files/2022-08/fr_final_necp_main_en.pdf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</si>
  <si>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France has not submitted its updated NECP plans yet, as of August 9, 2023.</t>
  </si>
  <si>
    <t>p. 8, "Targets relating to renewable energies were set in the Law on Energy Transition for Green Growth and updated in the 2019 Law on Energy and Climate. According to current plans, the share of renewable energies will be increased to 23% of gross final energy consumption by 2020, and to 33% by 2030. By this date, renewable energies must account for at least 40% of electricity production"
When target is given as a range, then we take the lower end.</t>
  </si>
  <si>
    <t>National Energy Climate Plan of France</t>
  </si>
  <si>
    <t>https://commission.europa.eu/publications/france-draft-updated-necp-2021-2030_en</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</si>
  <si>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The Plan is France's updated NECP, submitted in November 2023. Capacity figures are provided in a range, of which the lower trajectories are taken.</t>
  </si>
  <si>
    <t>p. 51</t>
  </si>
  <si>
    <t>Hydro</t>
  </si>
  <si>
    <t>https://commission.europa.eu/publications/france-final-updated-necp-2021-2030-submitted-2024_en</t>
  </si>
  <si>
    <t>France has submitted its final National Energy and Climate Plan (NECP) to the European Union Commission in July 2024. The data shows no changes from the previous draft version of the report. Hydro capacity for 2030 is provided only with the inclusion of pumped hydro, and is therefore not shown in the data. The tracker shows data following the With Additional Measures (WAM) scenario.</t>
  </si>
  <si>
    <t>Data is taken from the Europe team's NECP tracker data.
Capacity: Table of pg.70: Using low trajectories to align with generation numbers
Generation: Tables of pg.70-71 and Text of pg.268: Calculated using generation shares and derived total generation number</t>
  </si>
  <si>
    <t>Offshore Wind</t>
  </si>
  <si>
    <t>Ecological Planning Dashboard</t>
  </si>
  <si>
    <t>Ecological Transition Agency (ADEME)</t>
  </si>
  <si>
    <t>https://www.gouvernement.fr/upload/media/content/0001/06/27899b60fe0cf622dc033d34bd8b2f1ab0c8102c.pdf</t>
  </si>
  <si>
    <t xml:space="preserve">As part of the official Ecological Planning process, key indicators for 2030 are presented in this supplementary document. The trajectories are based on officieal objectives or projections. </t>
  </si>
  <si>
    <t xml:space="preserve">p. 7 Puissance cumulée installée de production électrique d’origine
solaire, en Megawatt (MW). </t>
  </si>
  <si>
    <t>Onshore Wind</t>
  </si>
  <si>
    <t>Other Renewables</t>
  </si>
  <si>
    <t>Solar</t>
  </si>
  <si>
    <t>Fossil</t>
  </si>
  <si>
    <t>generation_twh</t>
  </si>
  <si>
    <t>Gas</t>
  </si>
  <si>
    <t>Ecological Planning in Energy</t>
  </si>
  <si>
    <t>https://www.gouvernement.fr/france-nation-verte/mieux-produire#fr-sidemenu__link-ca6d3801-0137-4ea8-a357-62bd0f6cdb25</t>
  </si>
  <si>
    <t xml:space="preserve">The French government has made "ecological transition" as its policy priority and commenced a cross-sectoral mobilisation plan, "France Nation Verte". A detailed decarbonisation strategy (also known as "Ecological Planning") for the power sector is included in this plan. This document provides projected electricity production by fuel for 2030, under the "accelerated renewable ambition" scenario. </t>
  </si>
  <si>
    <t>p. 24 Accelerated renewable ambition 2030</t>
  </si>
  <si>
    <t>Nuclear</t>
  </si>
  <si>
    <t>share_of_generation_pct</t>
  </si>
  <si>
    <t>Official projections</t>
  </si>
  <si>
    <t>Energy futures 2050: production mix scenarios under study to achieve carbon neutrality by 2050</t>
  </si>
  <si>
    <t>RTE</t>
  </si>
  <si>
    <t>https://www.rte-france.com/analyses-tendances-et-prospectives/bilan-previsionnel-2050-futurs-energetiques</t>
  </si>
  <si>
    <t>In 2022, the French transmissison systems operator, RTE, conducted a follow-up study on their power mix scenario analysis for carbon neutrality by 2050, titled "Energy Futures 2050". Since France's latest energy plans do not provide targets for hydro, bio and other renewables, we take data from this study as a proxy. All scenarios provide same results for this fuel category.</t>
  </si>
  <si>
    <t>~TFM_INS</t>
  </si>
  <si>
    <t>attribute</t>
  </si>
  <si>
    <t>cset_cn</t>
  </si>
  <si>
    <t>other_indexes</t>
  </si>
  <si>
    <t>value</t>
  </si>
  <si>
    <t>VDA_EMCB</t>
  </si>
  <si>
    <t>CO2</t>
  </si>
  <si>
    <t>COM_AGG</t>
  </si>
  <si>
    <t>co2</t>
  </si>
  <si>
    <t>co2net</t>
  </si>
  <si>
    <t>co2captured,co2[_]*</t>
  </si>
  <si>
    <t>flo_cost</t>
  </si>
  <si>
    <t>co2captured</t>
  </si>
  <si>
    <t>life</t>
  </si>
  <si>
    <t>g[_]*,distr*</t>
  </si>
  <si>
    <t>prc_capact</t>
  </si>
  <si>
    <t>g_Charleroi_BEL-Mohon_FRA</t>
  </si>
  <si>
    <t>g_Arlon_BEL-Thionville_FRA</t>
  </si>
  <si>
    <t>g_Hasselt_BEL-Maastricht_NLD</t>
  </si>
  <si>
    <t>g_Namur_BEL-CharlevilleMeziere_FRA</t>
  </si>
  <si>
    <t>g_Kortrijk_BEL-Lille_FRA</t>
  </si>
  <si>
    <t>g_Geneva_CHE-Annecy_FRA</t>
  </si>
  <si>
    <t>g_Dietikon_CHE-VillingenSchwennin_DEU</t>
  </si>
  <si>
    <t>g_Locarno_CHE-Morbegno_ITA</t>
  </si>
  <si>
    <t>g_BrigGlis_CHE-Verbania_ITA</t>
  </si>
  <si>
    <t>g_Riehen_CHE-Belfort_FRA</t>
  </si>
  <si>
    <t>g_Davos_CHE-Brescia_ITA</t>
  </si>
  <si>
    <t>g_Davos_CHE-Tirano_ITA</t>
  </si>
  <si>
    <t>g_Dietikon_CHE-Donaueschingen_DEU</t>
  </si>
  <si>
    <t>g_Dietikon_CHE-Lorrach_DEU</t>
  </si>
  <si>
    <t>g_Bellinzona_CHE-Como_ITA</t>
  </si>
  <si>
    <t>g_Duisburg_DEU-Nijmegen_NLD</t>
  </si>
  <si>
    <t>g_Emden_DEU-Hoogezand_NLD</t>
  </si>
  <si>
    <t>g_Offenburg_DEU-Haguenau_FRA</t>
  </si>
  <si>
    <t>g_Offenburg_DEU-Strasbourg_FRA</t>
  </si>
  <si>
    <t>g_Emmendingen_DEU-Mulhouse_FRA</t>
  </si>
  <si>
    <t>g_Rheine_DEU-Enschede_NLD</t>
  </si>
  <si>
    <t>g_Donostia_ESP-Bayonne_FRA</t>
  </si>
  <si>
    <t>g_Jaca_ESP-Lourdes_FRA</t>
  </si>
  <si>
    <t>g_Granollers_ESP-Perpignan_FRA</t>
  </si>
  <si>
    <t>g_Nice_FRA-SanRemo_ITA</t>
  </si>
  <si>
    <t>g_AixLesBains_FRA-Aosta_ITA</t>
  </si>
  <si>
    <t>g_Briancon_FRA-Pinerolo_ITA</t>
  </si>
  <si>
    <t>g_Caen_FRA-Portsmouth_GBR</t>
  </si>
  <si>
    <t>g_Bastia_FRA-Piombino_ITA</t>
  </si>
  <si>
    <t>g_Basildon_GBR-Rotterdam_NLD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</si>
</sst>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Calibri"/>
      <family val="2"/>
      <scheme val="minor"/>
    </font>
    <font>
      <b/>
      <sz val="11"/>
      <color theme="3"/>
      <name val="Calibri"/>
      <family val="2"/>
      <scheme val="minor"/>
    </font>
    <font>
      <sz val="11"/>
      <color rgb="FF9C5700"/>
      <name val="Calibri"/>
      <family val="2"/>
      <scheme val="minor"/>
    </font>
    <font>
      <b/>
      <sz val="11"/>
      <name val="Aptos Narrow"/>
      <family val="2"/>
    </font>
    <font>
      <b/>
      <i/>
      <sz val="11"/>
      <color theme="1"/>
      <name val="Calibri"/>
      <family val="2"/>
      <scheme val="minor"/>
    </font>
    <font>
      <b/>
      <sz val="11"/>
      <color theme="0" tint="-0.14999847407452621"/>
      <name val="Calibri"/>
      <family val="2"/>
      <scheme val="minor"/>
    </font>
    <font>
      <b/>
      <sz val="9"/>
      <color indexed="81"/>
      <name val="Tahoma"/>
      <charset val="1"/>
    </font>
    <font>
      <sz val="9"/>
      <color indexed="81"/>
      <name val="Tahoma"/>
      <charset val="1"/>
    </font>
  </fonts>
  <fills count="4">
    <fill>
      <patternFill patternType="none"/>
    </fill>
    <fill>
      <patternFill patternType="gray125"/>
    </fill>
    <fill>
      <patternFill patternType="solid">
        <fgColor rgb="FFFFEB9C"/>
      </patternFill>
    </fill>
    <fill>
      <patternFill patternType="solid">
        <fgColor rgb="FFDCE6F1"/>
        <bgColor rgb="FFDCE6F1"/>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2" applyNumberFormat="0" applyFill="0" applyAlignment="0" applyProtection="0"/>
    <xf numFmtId="0" fontId="1" fillId="0" borderId="0" applyNumberFormat="0" applyFill="0" applyBorder="0" applyAlignment="0" applyProtection="0"/>
    <xf numFmtId="0" fontId="2" fillId="2" borderId="0" applyNumberFormat="0" applyBorder="0" applyAlignment="0" applyProtection="0"/>
  </cellStyleXfs>
  <cellXfs count="12">
    <xf numFmtId="0" fontId="0" fillId="0" borderId="0" xfId="0"/>
    <xf numFmtId="0" fontId="3" fillId="3" borderId="0" xfId="0" applyFont="1" applyFill="1"/>
    <xf numFmtId="164" fontId="0" fillId="0" borderId="0" xfId="0" applyNumberFormat="1"/>
    <xf numFmtId="0" fontId="0" fillId="0" borderId="0" xfId="0" quotePrefix="1"/>
    <xf numFmtId="2" fontId="0" fillId="0" borderId="0" xfId="0" applyNumberFormat="1"/>
    <xf numFmtId="165" fontId="0" fillId="0" borderId="0" xfId="0" applyNumberFormat="1"/>
    <xf numFmtId="0" fontId="2" fillId="2" borderId="0" xfId="3"/>
    <xf numFmtId="0" fontId="4" fillId="0" borderId="0" xfId="0" applyFont="1"/>
    <xf numFmtId="0" fontId="5" fillId="0" borderId="1" xfId="2" applyFont="1" applyBorder="1"/>
    <xf numFmtId="0" fontId="1" fillId="0" borderId="2" xfId="1"/>
    <xf numFmtId="14" fontId="0" fillId="0" borderId="0" xfId="0" applyNumberFormat="1"/>
    <xf numFmtId="0" fontId="0" fillId="0" borderId="0" xfId="0" applyAlignment="1">
      <alignment wrapText="1"/>
    </xf>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3B27-AE9D-40E3-9B8C-3D501AC3993A}">
  <dimension ref="B2:AG887"/>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5671</v>
      </c>
    </row>
    <row r="4" spans="2:33" x14ac:dyDescent="0.45">
      <c r="B4" t="s">
        <v>11</v>
      </c>
      <c r="C4">
        <v>2.792932</v>
      </c>
      <c r="D4">
        <v>37.400000000000006</v>
      </c>
      <c r="E4">
        <v>0.99795999999999996</v>
      </c>
      <c r="H4" t="s">
        <v>12</v>
      </c>
      <c r="I4" t="s">
        <v>13</v>
      </c>
      <c r="J4">
        <v>2.8530057070046588E-2</v>
      </c>
      <c r="K4" t="s">
        <v>14</v>
      </c>
      <c r="P4" t="s">
        <v>15</v>
      </c>
      <c r="Q4" t="s">
        <v>12</v>
      </c>
      <c r="R4" t="s">
        <v>16</v>
      </c>
      <c r="S4" t="s">
        <v>17</v>
      </c>
      <c r="U4" t="s">
        <v>15</v>
      </c>
      <c r="V4" t="s">
        <v>18</v>
      </c>
      <c r="W4" t="s">
        <v>16</v>
      </c>
      <c r="X4" t="s">
        <v>19</v>
      </c>
      <c r="AA4" t="s">
        <v>6</v>
      </c>
      <c r="AB4" t="s">
        <v>20</v>
      </c>
      <c r="AC4" t="s">
        <v>21</v>
      </c>
      <c r="AD4" t="s">
        <v>22</v>
      </c>
      <c r="AE4" t="s">
        <v>23</v>
      </c>
      <c r="AF4" t="s">
        <v>24</v>
      </c>
      <c r="AG4" t="s">
        <v>25</v>
      </c>
    </row>
    <row r="5" spans="2:33" x14ac:dyDescent="0.45">
      <c r="B5" t="s">
        <v>26</v>
      </c>
      <c r="C5">
        <v>3.2956600000000003</v>
      </c>
      <c r="D5">
        <v>38.5</v>
      </c>
      <c r="E5">
        <v>0.99790000000000001</v>
      </c>
      <c r="H5" t="s">
        <v>12</v>
      </c>
      <c r="I5" t="s">
        <v>27</v>
      </c>
      <c r="J5">
        <v>2.8530057070046588E-2</v>
      </c>
      <c r="K5" t="s">
        <v>14</v>
      </c>
      <c r="P5" t="s">
        <v>15</v>
      </c>
      <c r="Q5" t="s">
        <v>28</v>
      </c>
      <c r="R5" t="s">
        <v>29</v>
      </c>
      <c r="S5" t="s">
        <v>17</v>
      </c>
      <c r="U5" t="s">
        <v>15</v>
      </c>
      <c r="V5" t="s">
        <v>30</v>
      </c>
      <c r="W5" t="s">
        <v>16</v>
      </c>
      <c r="X5" t="s">
        <v>19</v>
      </c>
      <c r="AA5" t="s">
        <v>31</v>
      </c>
      <c r="AB5" t="s">
        <v>32</v>
      </c>
      <c r="AC5">
        <v>2</v>
      </c>
      <c r="AE5">
        <v>0</v>
      </c>
      <c r="AF5" t="s">
        <v>33</v>
      </c>
      <c r="AG5" t="s">
        <v>34</v>
      </c>
    </row>
    <row r="6" spans="2:33" x14ac:dyDescent="0.45">
      <c r="B6" t="s">
        <v>35</v>
      </c>
      <c r="C6">
        <v>2.2902040000000001</v>
      </c>
      <c r="D6">
        <v>75.900000000000006</v>
      </c>
      <c r="E6">
        <v>0.99585999999999997</v>
      </c>
      <c r="H6" t="s">
        <v>12</v>
      </c>
      <c r="I6" t="s">
        <v>36</v>
      </c>
      <c r="J6">
        <v>2.8530057070046588E-2</v>
      </c>
      <c r="K6" t="s">
        <v>14</v>
      </c>
      <c r="P6" t="s">
        <v>15</v>
      </c>
      <c r="Q6" t="s">
        <v>37</v>
      </c>
      <c r="R6" t="s">
        <v>38</v>
      </c>
      <c r="S6" t="s">
        <v>17</v>
      </c>
      <c r="U6" t="s">
        <v>15</v>
      </c>
      <c r="V6" t="s">
        <v>39</v>
      </c>
      <c r="W6" t="s">
        <v>16</v>
      </c>
      <c r="X6" t="s">
        <v>19</v>
      </c>
      <c r="AA6" t="s">
        <v>31</v>
      </c>
      <c r="AB6" t="s">
        <v>32</v>
      </c>
      <c r="AD6">
        <v>2</v>
      </c>
      <c r="AE6">
        <v>0</v>
      </c>
      <c r="AF6" t="s">
        <v>40</v>
      </c>
    </row>
    <row r="7" spans="2:33" x14ac:dyDescent="0.45">
      <c r="B7" t="s">
        <v>41</v>
      </c>
      <c r="C7">
        <v>5.5858630000000007</v>
      </c>
      <c r="D7">
        <v>44</v>
      </c>
      <c r="E7">
        <v>0.99760000000000004</v>
      </c>
      <c r="H7" t="s">
        <v>28</v>
      </c>
      <c r="I7" t="s">
        <v>13</v>
      </c>
      <c r="J7">
        <v>8.0349917235820537E-3</v>
      </c>
      <c r="K7" t="s">
        <v>14</v>
      </c>
      <c r="P7" t="s">
        <v>15</v>
      </c>
      <c r="Q7" t="s">
        <v>42</v>
      </c>
      <c r="R7" t="s">
        <v>43</v>
      </c>
      <c r="S7" t="s">
        <v>17</v>
      </c>
      <c r="U7" t="s">
        <v>15</v>
      </c>
      <c r="V7" t="s">
        <v>44</v>
      </c>
      <c r="W7" t="s">
        <v>16</v>
      </c>
      <c r="X7" t="s">
        <v>19</v>
      </c>
    </row>
    <row r="8" spans="2:33" x14ac:dyDescent="0.45">
      <c r="B8" t="s">
        <v>45</v>
      </c>
      <c r="C8">
        <v>5.0831360000000005</v>
      </c>
      <c r="D8">
        <v>73.7</v>
      </c>
      <c r="E8">
        <v>0.99597999999999998</v>
      </c>
      <c r="H8" t="s">
        <v>28</v>
      </c>
      <c r="I8" t="s">
        <v>27</v>
      </c>
      <c r="J8">
        <v>8.0349917235820537E-3</v>
      </c>
      <c r="K8" t="s">
        <v>14</v>
      </c>
      <c r="P8" t="s">
        <v>15</v>
      </c>
      <c r="Q8" t="s">
        <v>46</v>
      </c>
      <c r="R8" t="s">
        <v>47</v>
      </c>
      <c r="S8" t="s">
        <v>17</v>
      </c>
      <c r="U8" t="s">
        <v>15</v>
      </c>
      <c r="V8" t="s">
        <v>48</v>
      </c>
      <c r="W8" t="s">
        <v>16</v>
      </c>
      <c r="X8" t="s">
        <v>19</v>
      </c>
    </row>
    <row r="9" spans="2:33" x14ac:dyDescent="0.45">
      <c r="B9" t="s">
        <v>49</v>
      </c>
      <c r="C9">
        <v>1.508184</v>
      </c>
      <c r="D9">
        <v>52.800000000000004</v>
      </c>
      <c r="E9">
        <v>0.99712000000000001</v>
      </c>
      <c r="H9" t="s">
        <v>28</v>
      </c>
      <c r="I9" t="s">
        <v>36</v>
      </c>
      <c r="J9">
        <v>8.0349917235820537E-3</v>
      </c>
      <c r="K9" t="s">
        <v>14</v>
      </c>
      <c r="P9" t="s">
        <v>15</v>
      </c>
      <c r="Q9" t="s">
        <v>50</v>
      </c>
      <c r="R9" t="s">
        <v>51</v>
      </c>
      <c r="S9" t="s">
        <v>17</v>
      </c>
      <c r="U9" t="s">
        <v>15</v>
      </c>
      <c r="V9" t="s">
        <v>52</v>
      </c>
      <c r="W9" t="s">
        <v>16</v>
      </c>
      <c r="X9" t="s">
        <v>19</v>
      </c>
    </row>
    <row r="10" spans="2:33" x14ac:dyDescent="0.45">
      <c r="B10" t="s">
        <v>53</v>
      </c>
      <c r="C10">
        <v>12.233040000000001</v>
      </c>
      <c r="D10">
        <v>146.30000000000001</v>
      </c>
      <c r="E10">
        <v>0.99202000000000001</v>
      </c>
      <c r="H10" t="s">
        <v>37</v>
      </c>
      <c r="I10" t="s">
        <v>13</v>
      </c>
      <c r="J10">
        <v>2.9008015777553804E-2</v>
      </c>
      <c r="K10" t="s">
        <v>14</v>
      </c>
      <c r="P10" t="s">
        <v>15</v>
      </c>
      <c r="Q10" t="s">
        <v>54</v>
      </c>
      <c r="R10" t="s">
        <v>55</v>
      </c>
      <c r="S10" t="s">
        <v>17</v>
      </c>
      <c r="U10" t="s">
        <v>15</v>
      </c>
      <c r="V10" t="s">
        <v>56</v>
      </c>
      <c r="W10" t="s">
        <v>16</v>
      </c>
      <c r="X10" t="s">
        <v>19</v>
      </c>
    </row>
    <row r="11" spans="2:33" x14ac:dyDescent="0.45">
      <c r="B11" t="s">
        <v>57</v>
      </c>
      <c r="C11">
        <v>3.5749520000000001</v>
      </c>
      <c r="D11">
        <v>79.2</v>
      </c>
      <c r="E11">
        <v>0.99568000000000001</v>
      </c>
      <c r="H11" t="s">
        <v>37</v>
      </c>
      <c r="I11" t="s">
        <v>27</v>
      </c>
      <c r="J11">
        <v>2.9008015777553804E-2</v>
      </c>
      <c r="K11" t="s">
        <v>14</v>
      </c>
      <c r="P11" t="s">
        <v>15</v>
      </c>
      <c r="Q11" t="s">
        <v>58</v>
      </c>
      <c r="R11" t="s">
        <v>59</v>
      </c>
      <c r="S11" t="s">
        <v>17</v>
      </c>
      <c r="U11" t="s">
        <v>15</v>
      </c>
      <c r="V11" t="s">
        <v>60</v>
      </c>
      <c r="W11" t="s">
        <v>16</v>
      </c>
      <c r="X11" t="s">
        <v>19</v>
      </c>
    </row>
    <row r="12" spans="2:33" x14ac:dyDescent="0.45">
      <c r="B12" t="s">
        <v>61</v>
      </c>
      <c r="C12">
        <v>1.0054560000000001</v>
      </c>
      <c r="D12">
        <v>73.7</v>
      </c>
      <c r="E12">
        <v>0.99597999999999998</v>
      </c>
      <c r="H12" t="s">
        <v>37</v>
      </c>
      <c r="I12" t="s">
        <v>36</v>
      </c>
      <c r="J12">
        <v>2.9008015777553804E-2</v>
      </c>
      <c r="K12" t="s">
        <v>14</v>
      </c>
      <c r="P12" t="s">
        <v>15</v>
      </c>
      <c r="Q12" t="s">
        <v>62</v>
      </c>
      <c r="R12" t="s">
        <v>63</v>
      </c>
      <c r="S12" t="s">
        <v>17</v>
      </c>
      <c r="U12" t="s">
        <v>15</v>
      </c>
      <c r="V12" t="s">
        <v>64</v>
      </c>
      <c r="W12" t="s">
        <v>16</v>
      </c>
      <c r="X12" t="s">
        <v>19</v>
      </c>
    </row>
    <row r="13" spans="2:33" x14ac:dyDescent="0.45">
      <c r="B13" t="s">
        <v>65</v>
      </c>
      <c r="C13">
        <v>3.0163660000000001</v>
      </c>
      <c r="D13">
        <v>17.600000000000001</v>
      </c>
      <c r="E13">
        <v>0.99904000000000004</v>
      </c>
      <c r="H13" t="s">
        <v>42</v>
      </c>
      <c r="I13" t="s">
        <v>13</v>
      </c>
      <c r="J13">
        <v>6.8145540410057326E-2</v>
      </c>
      <c r="K13" t="s">
        <v>14</v>
      </c>
      <c r="P13" t="s">
        <v>15</v>
      </c>
      <c r="Q13" t="s">
        <v>66</v>
      </c>
      <c r="R13" t="s">
        <v>67</v>
      </c>
      <c r="S13" t="s">
        <v>17</v>
      </c>
      <c r="U13" t="s">
        <v>15</v>
      </c>
      <c r="V13" t="s">
        <v>68</v>
      </c>
      <c r="W13" t="s">
        <v>16</v>
      </c>
      <c r="X13" t="s">
        <v>19</v>
      </c>
    </row>
    <row r="14" spans="2:33" x14ac:dyDescent="0.45">
      <c r="B14" t="s">
        <v>69</v>
      </c>
      <c r="C14">
        <v>3.2956600000000003</v>
      </c>
      <c r="D14">
        <v>82.5</v>
      </c>
      <c r="E14">
        <v>0.99550000000000005</v>
      </c>
      <c r="H14" t="s">
        <v>42</v>
      </c>
      <c r="I14" t="s">
        <v>27</v>
      </c>
      <c r="J14">
        <v>6.8145540410057326E-2</v>
      </c>
      <c r="K14" t="s">
        <v>14</v>
      </c>
      <c r="P14" t="s">
        <v>15</v>
      </c>
      <c r="Q14" t="s">
        <v>70</v>
      </c>
      <c r="R14" t="s">
        <v>71</v>
      </c>
      <c r="S14" t="s">
        <v>17</v>
      </c>
      <c r="U14" t="s">
        <v>15</v>
      </c>
      <c r="V14" t="s">
        <v>72</v>
      </c>
      <c r="W14" t="s">
        <v>16</v>
      </c>
      <c r="X14" t="s">
        <v>19</v>
      </c>
    </row>
    <row r="15" spans="2:33" x14ac:dyDescent="0.45">
      <c r="B15" t="s">
        <v>73</v>
      </c>
      <c r="C15">
        <v>5.8651559999999998</v>
      </c>
      <c r="D15">
        <v>89.100000000000009</v>
      </c>
      <c r="E15">
        <v>0.99514000000000002</v>
      </c>
      <c r="H15" t="s">
        <v>42</v>
      </c>
      <c r="I15" t="s">
        <v>36</v>
      </c>
      <c r="J15">
        <v>6.8145540410057326E-2</v>
      </c>
      <c r="K15" t="s">
        <v>14</v>
      </c>
      <c r="P15" t="s">
        <v>15</v>
      </c>
      <c r="Q15" t="s">
        <v>74</v>
      </c>
      <c r="R15" t="s">
        <v>75</v>
      </c>
      <c r="S15" t="s">
        <v>17</v>
      </c>
      <c r="U15" t="s">
        <v>15</v>
      </c>
      <c r="V15" t="s">
        <v>72</v>
      </c>
      <c r="W15" t="s">
        <v>76</v>
      </c>
      <c r="X15" t="s">
        <v>19</v>
      </c>
    </row>
    <row r="16" spans="2:33" x14ac:dyDescent="0.45">
      <c r="B16" t="s">
        <v>77</v>
      </c>
      <c r="C16">
        <v>4.5804080000000003</v>
      </c>
      <c r="D16">
        <v>167.20000000000002</v>
      </c>
      <c r="E16">
        <v>0.99087999999999998</v>
      </c>
      <c r="H16" t="s">
        <v>46</v>
      </c>
      <c r="I16" t="s">
        <v>13</v>
      </c>
      <c r="J16">
        <v>7.4092128656555933E-3</v>
      </c>
      <c r="K16" t="s">
        <v>14</v>
      </c>
      <c r="P16" t="s">
        <v>15</v>
      </c>
      <c r="Q16" t="s">
        <v>78</v>
      </c>
      <c r="R16" t="s">
        <v>79</v>
      </c>
      <c r="S16" t="s">
        <v>17</v>
      </c>
      <c r="U16" t="s">
        <v>15</v>
      </c>
      <c r="V16" t="s">
        <v>80</v>
      </c>
      <c r="W16" t="s">
        <v>16</v>
      </c>
      <c r="X16" t="s">
        <v>19</v>
      </c>
    </row>
    <row r="17" spans="2:24" x14ac:dyDescent="0.45">
      <c r="B17" t="s">
        <v>81</v>
      </c>
      <c r="C17">
        <v>6.8706120000000013</v>
      </c>
      <c r="D17">
        <v>119.9</v>
      </c>
      <c r="E17">
        <v>0.99346000000000001</v>
      </c>
      <c r="H17" t="s">
        <v>46</v>
      </c>
      <c r="I17" t="s">
        <v>27</v>
      </c>
      <c r="J17">
        <v>7.4092128656555933E-3</v>
      </c>
      <c r="K17" t="s">
        <v>14</v>
      </c>
      <c r="P17" t="s">
        <v>15</v>
      </c>
      <c r="Q17" t="s">
        <v>82</v>
      </c>
      <c r="R17" t="s">
        <v>83</v>
      </c>
      <c r="S17" t="s">
        <v>17</v>
      </c>
      <c r="U17" t="s">
        <v>15</v>
      </c>
      <c r="V17" t="s">
        <v>80</v>
      </c>
      <c r="W17" t="s">
        <v>76</v>
      </c>
      <c r="X17" t="s">
        <v>19</v>
      </c>
    </row>
    <row r="18" spans="2:24" x14ac:dyDescent="0.45">
      <c r="B18" t="s">
        <v>84</v>
      </c>
      <c r="C18">
        <v>0.50272800000000006</v>
      </c>
      <c r="D18">
        <v>27.500000000000004</v>
      </c>
      <c r="E18">
        <v>0.99850000000000005</v>
      </c>
      <c r="H18" t="s">
        <v>46</v>
      </c>
      <c r="I18" t="s">
        <v>36</v>
      </c>
      <c r="J18">
        <v>7.4092128656555933E-3</v>
      </c>
      <c r="K18" t="s">
        <v>14</v>
      </c>
      <c r="P18" t="s">
        <v>15</v>
      </c>
      <c r="Q18" t="s">
        <v>85</v>
      </c>
      <c r="R18" t="s">
        <v>86</v>
      </c>
      <c r="S18" t="s">
        <v>17</v>
      </c>
      <c r="U18" t="s">
        <v>15</v>
      </c>
      <c r="V18" t="s">
        <v>87</v>
      </c>
      <c r="W18" t="s">
        <v>16</v>
      </c>
      <c r="X18" t="s">
        <v>19</v>
      </c>
    </row>
    <row r="19" spans="2:24" x14ac:dyDescent="0.45">
      <c r="B19" t="s">
        <v>88</v>
      </c>
      <c r="C19">
        <v>13.015060999999999</v>
      </c>
      <c r="D19">
        <v>37.400000000000006</v>
      </c>
      <c r="E19">
        <v>0.99795999999999996</v>
      </c>
      <c r="H19" t="s">
        <v>50</v>
      </c>
      <c r="I19" t="s">
        <v>13</v>
      </c>
      <c r="J19">
        <v>3.6616650379971902E-2</v>
      </c>
      <c r="K19" t="s">
        <v>14</v>
      </c>
      <c r="P19" t="s">
        <v>15</v>
      </c>
      <c r="Q19" t="s">
        <v>89</v>
      </c>
      <c r="R19" t="s">
        <v>90</v>
      </c>
      <c r="S19" t="s">
        <v>17</v>
      </c>
      <c r="U19" t="s">
        <v>15</v>
      </c>
      <c r="V19" t="s">
        <v>87</v>
      </c>
      <c r="W19" t="s">
        <v>76</v>
      </c>
      <c r="X19" t="s">
        <v>19</v>
      </c>
    </row>
    <row r="20" spans="2:24" x14ac:dyDescent="0.45">
      <c r="B20" t="s">
        <v>91</v>
      </c>
      <c r="C20">
        <v>11.171727999999996</v>
      </c>
      <c r="D20">
        <v>64.900000000000006</v>
      </c>
      <c r="E20">
        <v>0.99646000000000001</v>
      </c>
      <c r="H20" t="s">
        <v>50</v>
      </c>
      <c r="I20" t="s">
        <v>27</v>
      </c>
      <c r="J20">
        <v>3.6616650379971902E-2</v>
      </c>
      <c r="K20" t="s">
        <v>14</v>
      </c>
      <c r="P20" t="s">
        <v>15</v>
      </c>
      <c r="Q20" t="s">
        <v>92</v>
      </c>
      <c r="R20" t="s">
        <v>93</v>
      </c>
      <c r="S20" t="s">
        <v>17</v>
      </c>
      <c r="U20" t="s">
        <v>15</v>
      </c>
      <c r="V20" t="s">
        <v>94</v>
      </c>
      <c r="W20" t="s">
        <v>76</v>
      </c>
      <c r="X20" t="s">
        <v>19</v>
      </c>
    </row>
    <row r="21" spans="2:24" x14ac:dyDescent="0.45">
      <c r="B21" t="s">
        <v>95</v>
      </c>
      <c r="C21">
        <v>4.07768</v>
      </c>
      <c r="D21">
        <v>27.500000000000004</v>
      </c>
      <c r="E21">
        <v>0.99850000000000005</v>
      </c>
      <c r="H21" t="s">
        <v>50</v>
      </c>
      <c r="I21" t="s">
        <v>36</v>
      </c>
      <c r="J21">
        <v>3.6616650379971902E-2</v>
      </c>
      <c r="K21" t="s">
        <v>14</v>
      </c>
      <c r="P21" t="s">
        <v>15</v>
      </c>
      <c r="Q21" t="s">
        <v>96</v>
      </c>
      <c r="R21" t="s">
        <v>97</v>
      </c>
      <c r="S21" t="s">
        <v>17</v>
      </c>
      <c r="U21" t="s">
        <v>15</v>
      </c>
      <c r="V21" t="s">
        <v>98</v>
      </c>
      <c r="W21" t="s">
        <v>76</v>
      </c>
      <c r="X21" t="s">
        <v>19</v>
      </c>
    </row>
    <row r="22" spans="2:24" x14ac:dyDescent="0.45">
      <c r="B22" t="s">
        <v>99</v>
      </c>
      <c r="C22">
        <v>4.07768</v>
      </c>
      <c r="D22">
        <v>94.600000000000009</v>
      </c>
      <c r="E22">
        <v>0.99483999999999995</v>
      </c>
      <c r="H22" t="s">
        <v>54</v>
      </c>
      <c r="I22" t="s">
        <v>13</v>
      </c>
      <c r="J22">
        <v>1.1576395628258719E-3</v>
      </c>
      <c r="K22" t="s">
        <v>14</v>
      </c>
      <c r="P22" t="s">
        <v>15</v>
      </c>
      <c r="Q22" t="s">
        <v>100</v>
      </c>
      <c r="R22" t="s">
        <v>101</v>
      </c>
      <c r="S22" t="s">
        <v>17</v>
      </c>
      <c r="U22" t="s">
        <v>15</v>
      </c>
      <c r="V22" t="s">
        <v>102</v>
      </c>
      <c r="W22" t="s">
        <v>76</v>
      </c>
      <c r="X22" t="s">
        <v>19</v>
      </c>
    </row>
    <row r="23" spans="2:24" x14ac:dyDescent="0.45">
      <c r="B23" t="s">
        <v>103</v>
      </c>
      <c r="C23">
        <v>4.5804080000000003</v>
      </c>
      <c r="D23">
        <v>36.300000000000004</v>
      </c>
      <c r="E23">
        <v>0.99802000000000002</v>
      </c>
      <c r="H23" t="s">
        <v>54</v>
      </c>
      <c r="I23" t="s">
        <v>27</v>
      </c>
      <c r="J23">
        <v>1.1576395628258719E-3</v>
      </c>
      <c r="K23" t="s">
        <v>14</v>
      </c>
      <c r="P23" t="s">
        <v>15</v>
      </c>
      <c r="Q23" t="s">
        <v>104</v>
      </c>
      <c r="R23" t="s">
        <v>105</v>
      </c>
      <c r="S23" t="s">
        <v>17</v>
      </c>
      <c r="U23" t="s">
        <v>15</v>
      </c>
      <c r="V23" t="s">
        <v>102</v>
      </c>
      <c r="W23" t="s">
        <v>16</v>
      </c>
      <c r="X23" t="s">
        <v>17</v>
      </c>
    </row>
    <row r="24" spans="2:24" x14ac:dyDescent="0.45">
      <c r="B24" t="s">
        <v>106</v>
      </c>
      <c r="C24">
        <v>5.0831360000000005</v>
      </c>
      <c r="D24">
        <v>105.60000000000001</v>
      </c>
      <c r="E24">
        <v>0.99424000000000001</v>
      </c>
      <c r="H24" t="s">
        <v>54</v>
      </c>
      <c r="I24" t="s">
        <v>36</v>
      </c>
      <c r="J24">
        <v>1.1576395628258719E-3</v>
      </c>
      <c r="K24" t="s">
        <v>14</v>
      </c>
      <c r="P24" t="s">
        <v>15</v>
      </c>
      <c r="Q24" t="s">
        <v>107</v>
      </c>
      <c r="R24" t="s">
        <v>108</v>
      </c>
      <c r="S24" t="s">
        <v>17</v>
      </c>
      <c r="U24" t="s">
        <v>15</v>
      </c>
      <c r="V24" t="s">
        <v>109</v>
      </c>
      <c r="W24" t="s">
        <v>76</v>
      </c>
      <c r="X24" t="s">
        <v>19</v>
      </c>
    </row>
    <row r="25" spans="2:24" x14ac:dyDescent="0.45">
      <c r="B25" t="s">
        <v>110</v>
      </c>
      <c r="C25">
        <v>5.8651559999999998</v>
      </c>
      <c r="D25">
        <v>185.9</v>
      </c>
      <c r="E25">
        <v>0.98985999999999996</v>
      </c>
      <c r="H25" t="s">
        <v>58</v>
      </c>
      <c r="I25" t="s">
        <v>13</v>
      </c>
      <c r="J25">
        <v>5.3675624714884336E-3</v>
      </c>
      <c r="K25" t="s">
        <v>14</v>
      </c>
      <c r="P25" t="s">
        <v>15</v>
      </c>
      <c r="Q25" t="s">
        <v>111</v>
      </c>
      <c r="R25" t="s">
        <v>112</v>
      </c>
      <c r="S25" t="s">
        <v>17</v>
      </c>
      <c r="U25" t="s">
        <v>15</v>
      </c>
      <c r="V25" t="s">
        <v>109</v>
      </c>
      <c r="W25" t="s">
        <v>16</v>
      </c>
      <c r="X25" t="s">
        <v>17</v>
      </c>
    </row>
    <row r="26" spans="2:24" x14ac:dyDescent="0.45">
      <c r="B26" t="s">
        <v>113</v>
      </c>
      <c r="C26">
        <v>2.2902040000000001</v>
      </c>
      <c r="D26">
        <v>83.600000000000009</v>
      </c>
      <c r="E26">
        <v>0.99543999999999999</v>
      </c>
      <c r="H26" t="s">
        <v>58</v>
      </c>
      <c r="I26" t="s">
        <v>27</v>
      </c>
      <c r="J26">
        <v>5.3675624714884336E-3</v>
      </c>
      <c r="K26" t="s">
        <v>14</v>
      </c>
      <c r="P26" t="s">
        <v>15</v>
      </c>
      <c r="Q26" t="s">
        <v>114</v>
      </c>
      <c r="R26" t="s">
        <v>115</v>
      </c>
      <c r="S26" t="s">
        <v>17</v>
      </c>
      <c r="U26" t="s">
        <v>15</v>
      </c>
      <c r="V26" t="s">
        <v>116</v>
      </c>
      <c r="W26" t="s">
        <v>29</v>
      </c>
      <c r="X26" t="s">
        <v>19</v>
      </c>
    </row>
    <row r="27" spans="2:24" x14ac:dyDescent="0.45">
      <c r="B27" t="s">
        <v>117</v>
      </c>
      <c r="C27">
        <v>0.50272800000000006</v>
      </c>
      <c r="D27">
        <v>40.700000000000003</v>
      </c>
      <c r="E27">
        <v>0.99778</v>
      </c>
      <c r="H27" t="s">
        <v>58</v>
      </c>
      <c r="I27" t="s">
        <v>36</v>
      </c>
      <c r="J27">
        <v>5.3675624714884336E-3</v>
      </c>
      <c r="K27" t="s">
        <v>14</v>
      </c>
      <c r="P27" t="s">
        <v>15</v>
      </c>
      <c r="Q27" t="s">
        <v>118</v>
      </c>
      <c r="R27" t="s">
        <v>119</v>
      </c>
      <c r="S27" t="s">
        <v>17</v>
      </c>
      <c r="U27" t="s">
        <v>15</v>
      </c>
      <c r="V27" t="s">
        <v>120</v>
      </c>
      <c r="W27" t="s">
        <v>29</v>
      </c>
      <c r="X27" t="s">
        <v>19</v>
      </c>
    </row>
    <row r="28" spans="2:24" x14ac:dyDescent="0.45">
      <c r="B28" t="s">
        <v>121</v>
      </c>
      <c r="C28">
        <v>2.2902040000000001</v>
      </c>
      <c r="D28">
        <v>29.700000000000003</v>
      </c>
      <c r="E28">
        <v>0.99838000000000005</v>
      </c>
      <c r="H28" t="s">
        <v>62</v>
      </c>
      <c r="I28" t="s">
        <v>13</v>
      </c>
      <c r="J28">
        <v>5.0867550511116914E-3</v>
      </c>
      <c r="K28" t="s">
        <v>14</v>
      </c>
      <c r="P28" t="s">
        <v>15</v>
      </c>
      <c r="Q28" t="s">
        <v>122</v>
      </c>
      <c r="R28" t="s">
        <v>123</v>
      </c>
      <c r="S28" t="s">
        <v>17</v>
      </c>
      <c r="U28" t="s">
        <v>15</v>
      </c>
      <c r="V28" t="s">
        <v>124</v>
      </c>
      <c r="W28" t="s">
        <v>29</v>
      </c>
      <c r="X28" t="s">
        <v>19</v>
      </c>
    </row>
    <row r="29" spans="2:24" x14ac:dyDescent="0.45">
      <c r="B29" t="s">
        <v>125</v>
      </c>
      <c r="C29">
        <v>3.5749520000000001</v>
      </c>
      <c r="D29">
        <v>179.3</v>
      </c>
      <c r="E29">
        <v>0.99021999999999999</v>
      </c>
      <c r="H29" t="s">
        <v>62</v>
      </c>
      <c r="I29" t="s">
        <v>27</v>
      </c>
      <c r="J29">
        <v>5.0867550511116914E-3</v>
      </c>
      <c r="K29" t="s">
        <v>14</v>
      </c>
      <c r="P29" t="s">
        <v>15</v>
      </c>
      <c r="Q29" t="s">
        <v>126</v>
      </c>
      <c r="R29" t="s">
        <v>127</v>
      </c>
      <c r="S29" t="s">
        <v>17</v>
      </c>
      <c r="U29" t="s">
        <v>15</v>
      </c>
      <c r="V29" t="s">
        <v>128</v>
      </c>
      <c r="W29" t="s">
        <v>29</v>
      </c>
      <c r="X29" t="s">
        <v>19</v>
      </c>
    </row>
    <row r="30" spans="2:24" x14ac:dyDescent="0.45">
      <c r="B30" t="s">
        <v>129</v>
      </c>
      <c r="C30">
        <v>2.2902040000000001</v>
      </c>
      <c r="D30">
        <v>75.900000000000006</v>
      </c>
      <c r="E30">
        <v>0.99585999999999997</v>
      </c>
      <c r="H30" t="s">
        <v>62</v>
      </c>
      <c r="I30" t="s">
        <v>36</v>
      </c>
      <c r="J30">
        <v>5.0867550511116914E-3</v>
      </c>
      <c r="K30" t="s">
        <v>14</v>
      </c>
      <c r="P30" t="s">
        <v>15</v>
      </c>
      <c r="Q30" t="s">
        <v>130</v>
      </c>
      <c r="R30" t="s">
        <v>131</v>
      </c>
      <c r="S30" t="s">
        <v>17</v>
      </c>
      <c r="U30" t="s">
        <v>15</v>
      </c>
      <c r="V30" t="s">
        <v>132</v>
      </c>
      <c r="W30" t="s">
        <v>29</v>
      </c>
      <c r="X30" t="s">
        <v>19</v>
      </c>
    </row>
    <row r="31" spans="2:24" x14ac:dyDescent="0.45">
      <c r="B31" t="s">
        <v>133</v>
      </c>
      <c r="C31">
        <v>7.6526319999999997</v>
      </c>
      <c r="D31">
        <v>94.600000000000009</v>
      </c>
      <c r="E31">
        <v>0.99483999999999995</v>
      </c>
      <c r="H31" t="s">
        <v>66</v>
      </c>
      <c r="I31" t="s">
        <v>13</v>
      </c>
      <c r="J31">
        <v>2.5522936781708799E-3</v>
      </c>
      <c r="K31" t="s">
        <v>14</v>
      </c>
      <c r="P31" t="s">
        <v>15</v>
      </c>
      <c r="Q31" t="s">
        <v>134</v>
      </c>
      <c r="R31" t="s">
        <v>135</v>
      </c>
      <c r="S31" t="s">
        <v>17</v>
      </c>
      <c r="U31" t="s">
        <v>15</v>
      </c>
      <c r="V31" t="s">
        <v>136</v>
      </c>
      <c r="W31" t="s">
        <v>29</v>
      </c>
      <c r="X31" t="s">
        <v>19</v>
      </c>
    </row>
    <row r="32" spans="2:24" x14ac:dyDescent="0.45">
      <c r="B32" t="s">
        <v>137</v>
      </c>
      <c r="C32">
        <v>3.5749529999999998</v>
      </c>
      <c r="D32">
        <v>36.300000000000004</v>
      </c>
      <c r="E32">
        <v>0.99802000000000002</v>
      </c>
      <c r="H32" t="s">
        <v>66</v>
      </c>
      <c r="I32" t="s">
        <v>27</v>
      </c>
      <c r="J32">
        <v>2.5522936781708799E-3</v>
      </c>
      <c r="K32" t="s">
        <v>14</v>
      </c>
      <c r="P32" t="s">
        <v>15</v>
      </c>
      <c r="Q32" t="s">
        <v>138</v>
      </c>
      <c r="R32" t="s">
        <v>139</v>
      </c>
      <c r="S32" t="s">
        <v>17</v>
      </c>
      <c r="U32" t="s">
        <v>15</v>
      </c>
      <c r="V32" t="s">
        <v>140</v>
      </c>
      <c r="W32" t="s">
        <v>29</v>
      </c>
      <c r="X32" t="s">
        <v>19</v>
      </c>
    </row>
    <row r="33" spans="2:24" x14ac:dyDescent="0.45">
      <c r="B33" t="s">
        <v>141</v>
      </c>
      <c r="C33">
        <v>0.50272800000000006</v>
      </c>
      <c r="D33">
        <v>45.1</v>
      </c>
      <c r="E33">
        <v>0.99753999999999998</v>
      </c>
      <c r="H33" t="s">
        <v>66</v>
      </c>
      <c r="I33" t="s">
        <v>36</v>
      </c>
      <c r="J33">
        <v>2.5522936781708799E-3</v>
      </c>
      <c r="K33" t="s">
        <v>14</v>
      </c>
      <c r="P33" t="s">
        <v>15</v>
      </c>
      <c r="Q33" t="s">
        <v>142</v>
      </c>
      <c r="R33" t="s">
        <v>143</v>
      </c>
      <c r="S33" t="s">
        <v>17</v>
      </c>
      <c r="U33" t="s">
        <v>15</v>
      </c>
      <c r="V33" t="s">
        <v>144</v>
      </c>
      <c r="W33" t="s">
        <v>29</v>
      </c>
      <c r="X33" t="s">
        <v>19</v>
      </c>
    </row>
    <row r="34" spans="2:24" x14ac:dyDescent="0.45">
      <c r="B34" t="s">
        <v>145</v>
      </c>
      <c r="C34">
        <v>1.508184</v>
      </c>
      <c r="D34">
        <v>39.6</v>
      </c>
      <c r="E34">
        <v>0.99783999999999995</v>
      </c>
      <c r="H34" t="s">
        <v>70</v>
      </c>
      <c r="I34" t="s">
        <v>13</v>
      </c>
      <c r="J34">
        <v>3.3434873282738062E-3</v>
      </c>
      <c r="K34" t="s">
        <v>14</v>
      </c>
      <c r="P34" t="s">
        <v>15</v>
      </c>
      <c r="Q34" t="s">
        <v>146</v>
      </c>
      <c r="R34" t="s">
        <v>147</v>
      </c>
      <c r="S34" t="s">
        <v>17</v>
      </c>
      <c r="U34" t="s">
        <v>15</v>
      </c>
      <c r="V34" t="s">
        <v>148</v>
      </c>
      <c r="W34" t="s">
        <v>29</v>
      </c>
      <c r="X34" t="s">
        <v>19</v>
      </c>
    </row>
    <row r="35" spans="2:24" x14ac:dyDescent="0.45">
      <c r="B35" t="s">
        <v>149</v>
      </c>
      <c r="C35">
        <v>5.8651559999999998</v>
      </c>
      <c r="D35">
        <v>60.500000000000007</v>
      </c>
      <c r="E35">
        <v>0.99670000000000003</v>
      </c>
      <c r="H35" t="s">
        <v>70</v>
      </c>
      <c r="I35" t="s">
        <v>27</v>
      </c>
      <c r="J35">
        <v>3.3434873282738062E-3</v>
      </c>
      <c r="K35" t="s">
        <v>14</v>
      </c>
      <c r="P35" t="s">
        <v>15</v>
      </c>
      <c r="Q35" t="s">
        <v>150</v>
      </c>
      <c r="R35" t="s">
        <v>151</v>
      </c>
      <c r="S35" t="s">
        <v>17</v>
      </c>
      <c r="U35" t="s">
        <v>15</v>
      </c>
      <c r="V35" t="s">
        <v>152</v>
      </c>
      <c r="W35" t="s">
        <v>29</v>
      </c>
      <c r="X35" t="s">
        <v>19</v>
      </c>
    </row>
    <row r="36" spans="2:24" x14ac:dyDescent="0.45">
      <c r="B36" t="s">
        <v>153</v>
      </c>
      <c r="C36">
        <v>11.171727999999996</v>
      </c>
      <c r="D36">
        <v>48.400000000000006</v>
      </c>
      <c r="E36">
        <v>0.99736000000000002</v>
      </c>
      <c r="H36" t="s">
        <v>70</v>
      </c>
      <c r="I36" t="s">
        <v>36</v>
      </c>
      <c r="J36">
        <v>3.3434873282738062E-3</v>
      </c>
      <c r="K36" t="s">
        <v>14</v>
      </c>
      <c r="P36" t="s">
        <v>15</v>
      </c>
      <c r="Q36" t="s">
        <v>154</v>
      </c>
      <c r="R36" t="s">
        <v>155</v>
      </c>
      <c r="S36" t="s">
        <v>17</v>
      </c>
      <c r="U36" t="s">
        <v>15</v>
      </c>
      <c r="V36" t="s">
        <v>156</v>
      </c>
      <c r="W36" t="s">
        <v>29</v>
      </c>
      <c r="X36" t="s">
        <v>19</v>
      </c>
    </row>
    <row r="37" spans="2:24" x14ac:dyDescent="0.45">
      <c r="B37" t="s">
        <v>157</v>
      </c>
      <c r="C37">
        <v>16.701735999999997</v>
      </c>
      <c r="D37">
        <v>20.900000000000002</v>
      </c>
      <c r="E37">
        <v>0.99885999999999997</v>
      </c>
      <c r="H37" t="s">
        <v>74</v>
      </c>
      <c r="I37" t="s">
        <v>13</v>
      </c>
      <c r="J37">
        <v>9.2829288495468263E-3</v>
      </c>
      <c r="K37" t="s">
        <v>14</v>
      </c>
      <c r="P37" t="s">
        <v>15</v>
      </c>
      <c r="Q37" t="s">
        <v>158</v>
      </c>
      <c r="R37" t="s">
        <v>159</v>
      </c>
      <c r="S37" t="s">
        <v>17</v>
      </c>
      <c r="U37" t="s">
        <v>15</v>
      </c>
      <c r="V37" t="s">
        <v>156</v>
      </c>
      <c r="W37" t="s">
        <v>160</v>
      </c>
      <c r="X37" t="s">
        <v>19</v>
      </c>
    </row>
    <row r="38" spans="2:24" x14ac:dyDescent="0.45">
      <c r="B38" t="s">
        <v>161</v>
      </c>
      <c r="C38">
        <v>7.876068000000001</v>
      </c>
      <c r="D38">
        <v>84.7</v>
      </c>
      <c r="E38">
        <v>0.99538000000000004</v>
      </c>
      <c r="H38" t="s">
        <v>74</v>
      </c>
      <c r="I38" t="s">
        <v>27</v>
      </c>
      <c r="J38">
        <v>9.2829288495468263E-3</v>
      </c>
      <c r="K38" t="s">
        <v>14</v>
      </c>
      <c r="P38" t="s">
        <v>15</v>
      </c>
      <c r="Q38" t="s">
        <v>162</v>
      </c>
      <c r="R38" t="s">
        <v>16</v>
      </c>
      <c r="S38" t="s">
        <v>17</v>
      </c>
      <c r="U38" t="s">
        <v>15</v>
      </c>
      <c r="V38" t="s">
        <v>163</v>
      </c>
      <c r="W38" t="s">
        <v>29</v>
      </c>
      <c r="X38" t="s">
        <v>19</v>
      </c>
    </row>
    <row r="39" spans="2:24" x14ac:dyDescent="0.45">
      <c r="B39" t="s">
        <v>164</v>
      </c>
      <c r="C39">
        <v>4.07768</v>
      </c>
      <c r="D39">
        <v>126.50000000000001</v>
      </c>
      <c r="E39">
        <v>0.99309999999999998</v>
      </c>
      <c r="H39" t="s">
        <v>74</v>
      </c>
      <c r="I39" t="s">
        <v>36</v>
      </c>
      <c r="J39">
        <v>9.2829288495468263E-3</v>
      </c>
      <c r="K39" t="s">
        <v>14</v>
      </c>
      <c r="P39" t="s">
        <v>15</v>
      </c>
      <c r="Q39" t="s">
        <v>165</v>
      </c>
      <c r="R39" t="s">
        <v>29</v>
      </c>
      <c r="S39" t="s">
        <v>17</v>
      </c>
      <c r="U39" t="s">
        <v>15</v>
      </c>
      <c r="V39" t="s">
        <v>163</v>
      </c>
      <c r="W39" t="s">
        <v>160</v>
      </c>
      <c r="X39" t="s">
        <v>19</v>
      </c>
    </row>
    <row r="40" spans="2:24" x14ac:dyDescent="0.45">
      <c r="B40" t="s">
        <v>166</v>
      </c>
      <c r="C40">
        <v>11.227584</v>
      </c>
      <c r="D40">
        <v>59.400000000000006</v>
      </c>
      <c r="E40">
        <v>0.99675999999999998</v>
      </c>
      <c r="H40" t="s">
        <v>78</v>
      </c>
      <c r="I40" t="s">
        <v>13</v>
      </c>
      <c r="J40">
        <v>4.0721481264519585E-3</v>
      </c>
      <c r="K40" t="s">
        <v>14</v>
      </c>
      <c r="P40" t="s">
        <v>15</v>
      </c>
      <c r="Q40" t="s">
        <v>167</v>
      </c>
      <c r="R40" t="s">
        <v>38</v>
      </c>
      <c r="S40" t="s">
        <v>17</v>
      </c>
      <c r="U40" t="s">
        <v>15</v>
      </c>
      <c r="V40" t="s">
        <v>168</v>
      </c>
      <c r="W40" t="s">
        <v>29</v>
      </c>
      <c r="X40" t="s">
        <v>19</v>
      </c>
    </row>
    <row r="41" spans="2:24" x14ac:dyDescent="0.45">
      <c r="B41" t="s">
        <v>169</v>
      </c>
      <c r="C41">
        <v>6.5913199999999996</v>
      </c>
      <c r="D41">
        <v>46.2</v>
      </c>
      <c r="E41">
        <v>0.99748000000000003</v>
      </c>
      <c r="H41" t="s">
        <v>78</v>
      </c>
      <c r="I41" t="s">
        <v>27</v>
      </c>
      <c r="J41">
        <v>4.0721481264519585E-3</v>
      </c>
      <c r="K41" t="s">
        <v>14</v>
      </c>
      <c r="P41" t="s">
        <v>15</v>
      </c>
      <c r="Q41" t="s">
        <v>170</v>
      </c>
      <c r="R41" t="s">
        <v>43</v>
      </c>
      <c r="S41" t="s">
        <v>17</v>
      </c>
      <c r="U41" t="s">
        <v>15</v>
      </c>
      <c r="V41" t="s">
        <v>168</v>
      </c>
      <c r="W41" t="s">
        <v>160</v>
      </c>
      <c r="X41" t="s">
        <v>19</v>
      </c>
    </row>
    <row r="42" spans="2:24" x14ac:dyDescent="0.45">
      <c r="B42" t="s">
        <v>171</v>
      </c>
      <c r="C42">
        <v>2.0109110000000001</v>
      </c>
      <c r="D42">
        <v>61.600000000000009</v>
      </c>
      <c r="E42">
        <v>0.99663999999999997</v>
      </c>
      <c r="H42" t="s">
        <v>78</v>
      </c>
      <c r="I42" t="s">
        <v>36</v>
      </c>
      <c r="J42">
        <v>4.0721481264519585E-3</v>
      </c>
      <c r="K42" t="s">
        <v>14</v>
      </c>
      <c r="P42" t="s">
        <v>15</v>
      </c>
      <c r="Q42" t="s">
        <v>172</v>
      </c>
      <c r="R42" t="s">
        <v>47</v>
      </c>
      <c r="S42" t="s">
        <v>17</v>
      </c>
      <c r="U42" t="s">
        <v>15</v>
      </c>
      <c r="V42" t="s">
        <v>173</v>
      </c>
      <c r="W42" t="s">
        <v>160</v>
      </c>
      <c r="X42" t="s">
        <v>19</v>
      </c>
    </row>
    <row r="43" spans="2:24" x14ac:dyDescent="0.45">
      <c r="B43" t="s">
        <v>174</v>
      </c>
      <c r="C43">
        <v>4.07768</v>
      </c>
      <c r="D43">
        <v>74.800000000000011</v>
      </c>
      <c r="E43">
        <v>0.99592000000000003</v>
      </c>
      <c r="H43" t="s">
        <v>82</v>
      </c>
      <c r="I43" t="s">
        <v>13</v>
      </c>
      <c r="J43">
        <v>1.2515662450557463E-2</v>
      </c>
      <c r="K43" t="s">
        <v>14</v>
      </c>
      <c r="P43" t="s">
        <v>15</v>
      </c>
      <c r="Q43" t="s">
        <v>175</v>
      </c>
      <c r="R43" t="s">
        <v>51</v>
      </c>
      <c r="S43" t="s">
        <v>17</v>
      </c>
      <c r="U43" t="s">
        <v>15</v>
      </c>
      <c r="V43" t="s">
        <v>176</v>
      </c>
      <c r="W43" t="s">
        <v>160</v>
      </c>
      <c r="X43" t="s">
        <v>19</v>
      </c>
    </row>
    <row r="44" spans="2:24" x14ac:dyDescent="0.45">
      <c r="B44" t="s">
        <v>177</v>
      </c>
      <c r="C44">
        <v>2.5136399999999997</v>
      </c>
      <c r="D44">
        <v>36.300000000000004</v>
      </c>
      <c r="E44">
        <v>0.99802000000000002</v>
      </c>
      <c r="H44" t="s">
        <v>82</v>
      </c>
      <c r="I44" t="s">
        <v>27</v>
      </c>
      <c r="J44">
        <v>1.2515662450557463E-2</v>
      </c>
      <c r="K44" t="s">
        <v>14</v>
      </c>
      <c r="P44" t="s">
        <v>15</v>
      </c>
      <c r="Q44" t="s">
        <v>178</v>
      </c>
      <c r="R44" t="s">
        <v>55</v>
      </c>
      <c r="S44" t="s">
        <v>17</v>
      </c>
      <c r="U44" t="s">
        <v>15</v>
      </c>
      <c r="V44" t="s">
        <v>179</v>
      </c>
      <c r="W44" t="s">
        <v>160</v>
      </c>
      <c r="X44" t="s">
        <v>19</v>
      </c>
    </row>
    <row r="45" spans="2:24" x14ac:dyDescent="0.45">
      <c r="B45" t="s">
        <v>180</v>
      </c>
      <c r="C45">
        <v>3.5749529999999998</v>
      </c>
      <c r="D45">
        <v>63.800000000000004</v>
      </c>
      <c r="E45">
        <v>0.99651999999999996</v>
      </c>
      <c r="H45" t="s">
        <v>82</v>
      </c>
      <c r="I45" t="s">
        <v>36</v>
      </c>
      <c r="J45">
        <v>1.2515662450557463E-2</v>
      </c>
      <c r="K45" t="s">
        <v>14</v>
      </c>
      <c r="P45" t="s">
        <v>15</v>
      </c>
      <c r="Q45" t="s">
        <v>181</v>
      </c>
      <c r="R45" t="s">
        <v>59</v>
      </c>
      <c r="S45" t="s">
        <v>17</v>
      </c>
      <c r="U45" t="s">
        <v>15</v>
      </c>
      <c r="V45" t="s">
        <v>179</v>
      </c>
      <c r="W45" t="s">
        <v>29</v>
      </c>
      <c r="X45" t="s">
        <v>17</v>
      </c>
    </row>
    <row r="46" spans="2:24" x14ac:dyDescent="0.45">
      <c r="B46" t="s">
        <v>182</v>
      </c>
      <c r="C46">
        <v>1.7874760000000001</v>
      </c>
      <c r="D46">
        <v>182.60000000000002</v>
      </c>
      <c r="E46">
        <v>0.99004000000000003</v>
      </c>
      <c r="H46" t="s">
        <v>85</v>
      </c>
      <c r="I46" t="s">
        <v>13</v>
      </c>
      <c r="J46">
        <v>5.1163821716811303E-3</v>
      </c>
      <c r="K46" t="s">
        <v>14</v>
      </c>
      <c r="P46" t="s">
        <v>15</v>
      </c>
      <c r="Q46" t="s">
        <v>183</v>
      </c>
      <c r="R46" t="s">
        <v>63</v>
      </c>
      <c r="S46" t="s">
        <v>17</v>
      </c>
      <c r="U46" t="s">
        <v>15</v>
      </c>
      <c r="V46" t="s">
        <v>184</v>
      </c>
      <c r="W46" t="s">
        <v>160</v>
      </c>
      <c r="X46" t="s">
        <v>19</v>
      </c>
    </row>
    <row r="47" spans="2:24" x14ac:dyDescent="0.45">
      <c r="B47" t="s">
        <v>185</v>
      </c>
      <c r="C47">
        <v>3.2956600000000003</v>
      </c>
      <c r="D47">
        <v>34.1</v>
      </c>
      <c r="E47">
        <v>0.99814000000000003</v>
      </c>
      <c r="H47" t="s">
        <v>85</v>
      </c>
      <c r="I47" t="s">
        <v>27</v>
      </c>
      <c r="J47">
        <v>5.1163821716811303E-3</v>
      </c>
      <c r="K47" t="s">
        <v>14</v>
      </c>
      <c r="P47" t="s">
        <v>15</v>
      </c>
      <c r="Q47" t="s">
        <v>186</v>
      </c>
      <c r="R47" t="s">
        <v>67</v>
      </c>
      <c r="S47" t="s">
        <v>17</v>
      </c>
      <c r="U47" t="s">
        <v>15</v>
      </c>
      <c r="V47" t="s">
        <v>184</v>
      </c>
      <c r="W47" t="s">
        <v>29</v>
      </c>
      <c r="X47" t="s">
        <v>17</v>
      </c>
    </row>
    <row r="48" spans="2:24" x14ac:dyDescent="0.45">
      <c r="B48" t="s">
        <v>187</v>
      </c>
      <c r="C48">
        <v>5.0831360000000005</v>
      </c>
      <c r="D48">
        <v>55.000000000000007</v>
      </c>
      <c r="E48">
        <v>0.997</v>
      </c>
      <c r="H48" t="s">
        <v>85</v>
      </c>
      <c r="I48" t="s">
        <v>36</v>
      </c>
      <c r="J48">
        <v>5.1163821716811303E-3</v>
      </c>
      <c r="K48" t="s">
        <v>14</v>
      </c>
      <c r="P48" t="s">
        <v>15</v>
      </c>
      <c r="Q48" t="s">
        <v>188</v>
      </c>
      <c r="R48" t="s">
        <v>71</v>
      </c>
      <c r="S48" t="s">
        <v>17</v>
      </c>
      <c r="U48" t="s">
        <v>15</v>
      </c>
      <c r="V48" t="s">
        <v>189</v>
      </c>
      <c r="W48" t="s">
        <v>38</v>
      </c>
      <c r="X48" t="s">
        <v>19</v>
      </c>
    </row>
    <row r="49" spans="2:24" x14ac:dyDescent="0.45">
      <c r="B49" t="s">
        <v>190</v>
      </c>
      <c r="C49">
        <v>10.445564000000003</v>
      </c>
      <c r="D49">
        <v>58.300000000000004</v>
      </c>
      <c r="E49">
        <v>0.99682000000000004</v>
      </c>
      <c r="H49" t="s">
        <v>89</v>
      </c>
      <c r="I49" t="s">
        <v>13</v>
      </c>
      <c r="J49">
        <v>9.8369424079460237E-3</v>
      </c>
      <c r="K49" t="s">
        <v>14</v>
      </c>
      <c r="P49" t="s">
        <v>15</v>
      </c>
      <c r="Q49" t="s">
        <v>191</v>
      </c>
      <c r="R49" t="s">
        <v>75</v>
      </c>
      <c r="S49" t="s">
        <v>17</v>
      </c>
      <c r="U49" t="s">
        <v>15</v>
      </c>
      <c r="V49" t="s">
        <v>192</v>
      </c>
      <c r="W49" t="s">
        <v>38</v>
      </c>
      <c r="X49" t="s">
        <v>19</v>
      </c>
    </row>
    <row r="50" spans="2:24" x14ac:dyDescent="0.45">
      <c r="B50" t="s">
        <v>193</v>
      </c>
      <c r="C50">
        <v>1.7874760000000001</v>
      </c>
      <c r="D50">
        <v>108.9</v>
      </c>
      <c r="E50">
        <v>0.99406000000000005</v>
      </c>
      <c r="H50" t="s">
        <v>89</v>
      </c>
      <c r="I50" t="s">
        <v>27</v>
      </c>
      <c r="J50">
        <v>9.8369424079460237E-3</v>
      </c>
      <c r="K50" t="s">
        <v>14</v>
      </c>
      <c r="P50" t="s">
        <v>15</v>
      </c>
      <c r="Q50" t="s">
        <v>194</v>
      </c>
      <c r="R50" t="s">
        <v>79</v>
      </c>
      <c r="S50" t="s">
        <v>17</v>
      </c>
      <c r="U50" t="s">
        <v>15</v>
      </c>
      <c r="V50" t="s">
        <v>195</v>
      </c>
      <c r="W50" t="s">
        <v>38</v>
      </c>
      <c r="X50" t="s">
        <v>19</v>
      </c>
    </row>
    <row r="51" spans="2:24" x14ac:dyDescent="0.45">
      <c r="B51" t="s">
        <v>196</v>
      </c>
      <c r="C51">
        <v>7.6526320000000014</v>
      </c>
      <c r="D51">
        <v>125.4</v>
      </c>
      <c r="E51">
        <v>0.99316000000000004</v>
      </c>
      <c r="H51" t="s">
        <v>89</v>
      </c>
      <c r="I51" t="s">
        <v>36</v>
      </c>
      <c r="J51">
        <v>9.8369424079460237E-3</v>
      </c>
      <c r="K51" t="s">
        <v>14</v>
      </c>
      <c r="P51" t="s">
        <v>15</v>
      </c>
      <c r="Q51" t="s">
        <v>197</v>
      </c>
      <c r="R51" t="s">
        <v>83</v>
      </c>
      <c r="S51" t="s">
        <v>17</v>
      </c>
      <c r="U51" t="s">
        <v>15</v>
      </c>
      <c r="V51" t="s">
        <v>198</v>
      </c>
      <c r="W51" t="s">
        <v>38</v>
      </c>
      <c r="X51" t="s">
        <v>19</v>
      </c>
    </row>
    <row r="52" spans="2:24" x14ac:dyDescent="0.45">
      <c r="B52" t="s">
        <v>199</v>
      </c>
      <c r="C52">
        <v>1.508184</v>
      </c>
      <c r="D52">
        <v>35.200000000000003</v>
      </c>
      <c r="E52">
        <v>0.99807999999999997</v>
      </c>
      <c r="H52" t="s">
        <v>92</v>
      </c>
      <c r="I52" t="s">
        <v>13</v>
      </c>
      <c r="J52">
        <v>3.626041548450244E-3</v>
      </c>
      <c r="K52" t="s">
        <v>14</v>
      </c>
      <c r="P52" t="s">
        <v>15</v>
      </c>
      <c r="Q52" t="s">
        <v>200</v>
      </c>
      <c r="R52" t="s">
        <v>86</v>
      </c>
      <c r="S52" t="s">
        <v>17</v>
      </c>
      <c r="U52" t="s">
        <v>15</v>
      </c>
      <c r="V52" t="s">
        <v>201</v>
      </c>
      <c r="W52" t="s">
        <v>38</v>
      </c>
      <c r="X52" t="s">
        <v>19</v>
      </c>
    </row>
    <row r="53" spans="2:24" x14ac:dyDescent="0.45">
      <c r="B53" t="s">
        <v>202</v>
      </c>
      <c r="C53">
        <v>9.1608150000000013</v>
      </c>
      <c r="D53">
        <v>85.800000000000011</v>
      </c>
      <c r="E53">
        <v>0.99531999999999998</v>
      </c>
      <c r="H53" t="s">
        <v>92</v>
      </c>
      <c r="I53" t="s">
        <v>27</v>
      </c>
      <c r="J53">
        <v>3.626041548450244E-3</v>
      </c>
      <c r="K53" t="s">
        <v>14</v>
      </c>
      <c r="P53" t="s">
        <v>15</v>
      </c>
      <c r="Q53" t="s">
        <v>203</v>
      </c>
      <c r="R53" t="s">
        <v>90</v>
      </c>
      <c r="S53" t="s">
        <v>17</v>
      </c>
      <c r="U53" t="s">
        <v>15</v>
      </c>
      <c r="V53" t="s">
        <v>204</v>
      </c>
      <c r="W53" t="s">
        <v>38</v>
      </c>
      <c r="X53" t="s">
        <v>19</v>
      </c>
    </row>
    <row r="54" spans="2:24" x14ac:dyDescent="0.45">
      <c r="B54" t="s">
        <v>205</v>
      </c>
      <c r="C54">
        <v>7.0940480000000008</v>
      </c>
      <c r="D54">
        <v>48.400000000000006</v>
      </c>
      <c r="E54">
        <v>0.99736000000000002</v>
      </c>
      <c r="H54" t="s">
        <v>92</v>
      </c>
      <c r="I54" t="s">
        <v>36</v>
      </c>
      <c r="J54">
        <v>3.626041548450244E-3</v>
      </c>
      <c r="K54" t="s">
        <v>14</v>
      </c>
      <c r="P54" t="s">
        <v>15</v>
      </c>
      <c r="Q54" t="s">
        <v>206</v>
      </c>
      <c r="R54" t="s">
        <v>93</v>
      </c>
      <c r="S54" t="s">
        <v>17</v>
      </c>
      <c r="U54" t="s">
        <v>15</v>
      </c>
      <c r="V54" t="s">
        <v>207</v>
      </c>
      <c r="W54" t="s">
        <v>38</v>
      </c>
      <c r="X54" t="s">
        <v>19</v>
      </c>
    </row>
    <row r="55" spans="2:24" x14ac:dyDescent="0.45">
      <c r="B55" t="s">
        <v>208</v>
      </c>
      <c r="C55">
        <v>8.1553600000000017</v>
      </c>
      <c r="D55">
        <v>74.800000000000011</v>
      </c>
      <c r="E55">
        <v>0.99592000000000003</v>
      </c>
      <c r="H55" t="s">
        <v>96</v>
      </c>
      <c r="I55" t="s">
        <v>13</v>
      </c>
      <c r="J55">
        <v>5.5571731029676677E-3</v>
      </c>
      <c r="K55" t="s">
        <v>14</v>
      </c>
      <c r="P55" t="s">
        <v>15</v>
      </c>
      <c r="Q55" t="s">
        <v>209</v>
      </c>
      <c r="R55" t="s">
        <v>97</v>
      </c>
      <c r="S55" t="s">
        <v>17</v>
      </c>
      <c r="U55" t="s">
        <v>15</v>
      </c>
      <c r="V55" t="s">
        <v>210</v>
      </c>
      <c r="W55" t="s">
        <v>38</v>
      </c>
      <c r="X55" t="s">
        <v>19</v>
      </c>
    </row>
    <row r="56" spans="2:24" x14ac:dyDescent="0.45">
      <c r="B56" t="s">
        <v>211</v>
      </c>
      <c r="C56">
        <v>2.2902040000000001</v>
      </c>
      <c r="D56">
        <v>85.800000000000011</v>
      </c>
      <c r="E56">
        <v>0.99531999999999998</v>
      </c>
      <c r="H56" t="s">
        <v>96</v>
      </c>
      <c r="I56" t="s">
        <v>27</v>
      </c>
      <c r="J56">
        <v>5.5571731029676677E-3</v>
      </c>
      <c r="K56" t="s">
        <v>14</v>
      </c>
      <c r="P56" t="s">
        <v>15</v>
      </c>
      <c r="Q56" t="s">
        <v>212</v>
      </c>
      <c r="R56" t="s">
        <v>101</v>
      </c>
      <c r="S56" t="s">
        <v>17</v>
      </c>
      <c r="U56" t="s">
        <v>15</v>
      </c>
      <c r="V56" t="s">
        <v>213</v>
      </c>
      <c r="W56" t="s">
        <v>38</v>
      </c>
      <c r="X56" t="s">
        <v>19</v>
      </c>
    </row>
    <row r="57" spans="2:24" x14ac:dyDescent="0.45">
      <c r="B57" t="s">
        <v>214</v>
      </c>
      <c r="C57">
        <v>5.0831360000000005</v>
      </c>
      <c r="D57">
        <v>83.600000000000009</v>
      </c>
      <c r="E57">
        <v>0.99543999999999999</v>
      </c>
      <c r="H57" t="s">
        <v>96</v>
      </c>
      <c r="I57" t="s">
        <v>36</v>
      </c>
      <c r="J57">
        <v>5.5571731029676677E-3</v>
      </c>
      <c r="K57" t="s">
        <v>14</v>
      </c>
      <c r="P57" t="s">
        <v>15</v>
      </c>
      <c r="Q57" t="s">
        <v>215</v>
      </c>
      <c r="R57" t="s">
        <v>105</v>
      </c>
      <c r="S57" t="s">
        <v>17</v>
      </c>
      <c r="U57" t="s">
        <v>15</v>
      </c>
      <c r="V57" t="s">
        <v>216</v>
      </c>
      <c r="W57" t="s">
        <v>38</v>
      </c>
      <c r="X57" t="s">
        <v>19</v>
      </c>
    </row>
    <row r="58" spans="2:24" x14ac:dyDescent="0.45">
      <c r="B58" t="s">
        <v>217</v>
      </c>
      <c r="C58">
        <v>1.0054560000000001</v>
      </c>
      <c r="D58">
        <v>23.1</v>
      </c>
      <c r="E58">
        <v>0.99873999999999996</v>
      </c>
      <c r="H58" t="s">
        <v>100</v>
      </c>
      <c r="I58" t="s">
        <v>13</v>
      </c>
      <c r="J58">
        <v>2.9682584700861541E-3</v>
      </c>
      <c r="K58" t="s">
        <v>14</v>
      </c>
      <c r="P58" t="s">
        <v>15</v>
      </c>
      <c r="Q58" t="s">
        <v>218</v>
      </c>
      <c r="R58" t="s">
        <v>108</v>
      </c>
      <c r="S58" t="s">
        <v>17</v>
      </c>
      <c r="U58" t="s">
        <v>15</v>
      </c>
      <c r="V58" t="s">
        <v>219</v>
      </c>
      <c r="W58" t="s">
        <v>38</v>
      </c>
      <c r="X58" t="s">
        <v>19</v>
      </c>
    </row>
    <row r="59" spans="2:24" x14ac:dyDescent="0.45">
      <c r="B59" t="s">
        <v>220</v>
      </c>
      <c r="C59">
        <v>11.730312000000001</v>
      </c>
      <c r="D59">
        <v>88</v>
      </c>
      <c r="E59">
        <v>0.99519999999999997</v>
      </c>
      <c r="H59" t="s">
        <v>100</v>
      </c>
      <c r="I59" t="s">
        <v>27</v>
      </c>
      <c r="J59">
        <v>2.9682584700861541E-3</v>
      </c>
      <c r="K59" t="s">
        <v>14</v>
      </c>
      <c r="P59" t="s">
        <v>15</v>
      </c>
      <c r="Q59" t="s">
        <v>221</v>
      </c>
      <c r="R59" t="s">
        <v>112</v>
      </c>
      <c r="S59" t="s">
        <v>17</v>
      </c>
      <c r="U59" t="s">
        <v>15</v>
      </c>
      <c r="V59" t="s">
        <v>219</v>
      </c>
      <c r="W59" t="s">
        <v>222</v>
      </c>
      <c r="X59" t="s">
        <v>19</v>
      </c>
    </row>
    <row r="60" spans="2:24" x14ac:dyDescent="0.45">
      <c r="B60" t="s">
        <v>223</v>
      </c>
      <c r="C60">
        <v>4.07768</v>
      </c>
      <c r="D60">
        <v>74.800000000000011</v>
      </c>
      <c r="E60">
        <v>0.99592000000000003</v>
      </c>
      <c r="H60" t="s">
        <v>100</v>
      </c>
      <c r="I60" t="s">
        <v>36</v>
      </c>
      <c r="J60">
        <v>2.9682584700861541E-3</v>
      </c>
      <c r="K60" t="s">
        <v>14</v>
      </c>
      <c r="P60" t="s">
        <v>15</v>
      </c>
      <c r="Q60" t="s">
        <v>224</v>
      </c>
      <c r="R60" t="s">
        <v>115</v>
      </c>
      <c r="S60" t="s">
        <v>17</v>
      </c>
      <c r="U60" t="s">
        <v>15</v>
      </c>
      <c r="V60" t="s">
        <v>225</v>
      </c>
      <c r="W60" t="s">
        <v>38</v>
      </c>
      <c r="X60" t="s">
        <v>19</v>
      </c>
    </row>
    <row r="61" spans="2:24" x14ac:dyDescent="0.45">
      <c r="B61" t="s">
        <v>226</v>
      </c>
      <c r="C61">
        <v>4.07768</v>
      </c>
      <c r="D61">
        <v>74.800000000000011</v>
      </c>
      <c r="E61">
        <v>0.99592000000000003</v>
      </c>
      <c r="H61" t="s">
        <v>104</v>
      </c>
      <c r="I61" t="s">
        <v>13</v>
      </c>
      <c r="J61">
        <v>0.24126655237657862</v>
      </c>
      <c r="K61" t="s">
        <v>14</v>
      </c>
      <c r="P61" t="s">
        <v>15</v>
      </c>
      <c r="Q61" t="s">
        <v>227</v>
      </c>
      <c r="R61" t="s">
        <v>119</v>
      </c>
      <c r="S61" t="s">
        <v>17</v>
      </c>
      <c r="U61" t="s">
        <v>15</v>
      </c>
      <c r="V61" t="s">
        <v>225</v>
      </c>
      <c r="W61" t="s">
        <v>222</v>
      </c>
      <c r="X61" t="s">
        <v>19</v>
      </c>
    </row>
    <row r="62" spans="2:24" x14ac:dyDescent="0.45">
      <c r="B62" t="s">
        <v>228</v>
      </c>
      <c r="C62">
        <v>0</v>
      </c>
      <c r="D62">
        <v>38.5</v>
      </c>
      <c r="E62">
        <v>0.99790000000000001</v>
      </c>
      <c r="H62" t="s">
        <v>104</v>
      </c>
      <c r="I62" t="s">
        <v>27</v>
      </c>
      <c r="J62">
        <v>0.24126655237657862</v>
      </c>
      <c r="K62" t="s">
        <v>14</v>
      </c>
      <c r="P62" t="s">
        <v>15</v>
      </c>
      <c r="Q62" t="s">
        <v>229</v>
      </c>
      <c r="R62" t="s">
        <v>123</v>
      </c>
      <c r="S62" t="s">
        <v>17</v>
      </c>
      <c r="U62" t="s">
        <v>15</v>
      </c>
      <c r="V62" t="s">
        <v>230</v>
      </c>
      <c r="W62" t="s">
        <v>38</v>
      </c>
      <c r="X62" t="s">
        <v>19</v>
      </c>
    </row>
    <row r="63" spans="2:24" x14ac:dyDescent="0.45">
      <c r="B63" t="s">
        <v>231</v>
      </c>
      <c r="C63">
        <v>8.3787959999999995</v>
      </c>
      <c r="D63">
        <v>62.7</v>
      </c>
      <c r="E63">
        <v>0.99658000000000002</v>
      </c>
      <c r="H63" t="s">
        <v>104</v>
      </c>
      <c r="I63" t="s">
        <v>36</v>
      </c>
      <c r="J63">
        <v>0.24126655237657862</v>
      </c>
      <c r="K63" t="s">
        <v>14</v>
      </c>
      <c r="P63" t="s">
        <v>15</v>
      </c>
      <c r="Q63" t="s">
        <v>232</v>
      </c>
      <c r="R63" t="s">
        <v>127</v>
      </c>
      <c r="S63" t="s">
        <v>17</v>
      </c>
      <c r="U63" t="s">
        <v>15</v>
      </c>
      <c r="V63" t="s">
        <v>230</v>
      </c>
      <c r="W63" t="s">
        <v>222</v>
      </c>
      <c r="X63" t="s">
        <v>19</v>
      </c>
    </row>
    <row r="64" spans="2:24" x14ac:dyDescent="0.45">
      <c r="B64" t="s">
        <v>233</v>
      </c>
      <c r="C64">
        <v>0.50272800000000006</v>
      </c>
      <c r="D64">
        <v>38.5</v>
      </c>
      <c r="E64">
        <v>0.99790000000000001</v>
      </c>
      <c r="H64" t="s">
        <v>107</v>
      </c>
      <c r="I64" t="s">
        <v>13</v>
      </c>
      <c r="J64">
        <v>4.7741348240542769E-2</v>
      </c>
      <c r="K64" t="s">
        <v>14</v>
      </c>
      <c r="P64" t="s">
        <v>15</v>
      </c>
      <c r="Q64" t="s">
        <v>234</v>
      </c>
      <c r="R64" t="s">
        <v>131</v>
      </c>
      <c r="S64" t="s">
        <v>17</v>
      </c>
      <c r="U64" t="s">
        <v>15</v>
      </c>
      <c r="V64" t="s">
        <v>235</v>
      </c>
      <c r="W64" t="s">
        <v>222</v>
      </c>
      <c r="X64" t="s">
        <v>19</v>
      </c>
    </row>
    <row r="65" spans="2:24" x14ac:dyDescent="0.45">
      <c r="B65" t="s">
        <v>236</v>
      </c>
      <c r="C65">
        <v>1.005455</v>
      </c>
      <c r="D65">
        <v>24.200000000000003</v>
      </c>
      <c r="E65">
        <v>0.99868000000000001</v>
      </c>
      <c r="H65" t="s">
        <v>107</v>
      </c>
      <c r="I65" t="s">
        <v>27</v>
      </c>
      <c r="J65">
        <v>4.7741348240542769E-2</v>
      </c>
      <c r="K65" t="s">
        <v>14</v>
      </c>
      <c r="P65" t="s">
        <v>15</v>
      </c>
      <c r="Q65" t="s">
        <v>237</v>
      </c>
      <c r="R65" t="s">
        <v>135</v>
      </c>
      <c r="S65" t="s">
        <v>17</v>
      </c>
      <c r="U65" t="s">
        <v>15</v>
      </c>
      <c r="V65" t="s">
        <v>238</v>
      </c>
      <c r="W65" t="s">
        <v>222</v>
      </c>
      <c r="X65" t="s">
        <v>19</v>
      </c>
    </row>
    <row r="66" spans="2:24" x14ac:dyDescent="0.45">
      <c r="B66" t="s">
        <v>239</v>
      </c>
      <c r="C66">
        <v>1.508184</v>
      </c>
      <c r="D66">
        <v>53.900000000000006</v>
      </c>
      <c r="E66">
        <v>0.99705999999999995</v>
      </c>
      <c r="H66" t="s">
        <v>107</v>
      </c>
      <c r="I66" t="s">
        <v>36</v>
      </c>
      <c r="J66">
        <v>4.7741348240542769E-2</v>
      </c>
      <c r="K66" t="s">
        <v>14</v>
      </c>
      <c r="P66" t="s">
        <v>15</v>
      </c>
      <c r="Q66" t="s">
        <v>240</v>
      </c>
      <c r="R66" t="s">
        <v>139</v>
      </c>
      <c r="S66" t="s">
        <v>17</v>
      </c>
      <c r="U66" t="s">
        <v>15</v>
      </c>
      <c r="V66" t="s">
        <v>241</v>
      </c>
      <c r="W66" t="s">
        <v>222</v>
      </c>
      <c r="X66" t="s">
        <v>19</v>
      </c>
    </row>
    <row r="67" spans="2:24" x14ac:dyDescent="0.45">
      <c r="B67" t="s">
        <v>242</v>
      </c>
      <c r="C67">
        <v>3.5749520000000001</v>
      </c>
      <c r="D67">
        <v>64.900000000000006</v>
      </c>
      <c r="E67">
        <v>0.99646000000000001</v>
      </c>
      <c r="H67" t="s">
        <v>111</v>
      </c>
      <c r="I67" t="s">
        <v>13</v>
      </c>
      <c r="J67">
        <v>5.0558998273974101E-2</v>
      </c>
      <c r="K67" t="s">
        <v>14</v>
      </c>
      <c r="P67" t="s">
        <v>15</v>
      </c>
      <c r="Q67" t="s">
        <v>243</v>
      </c>
      <c r="R67" t="s">
        <v>143</v>
      </c>
      <c r="S67" t="s">
        <v>17</v>
      </c>
      <c r="U67" t="s">
        <v>15</v>
      </c>
      <c r="V67" t="s">
        <v>241</v>
      </c>
      <c r="W67" t="s">
        <v>38</v>
      </c>
      <c r="X67" t="s">
        <v>17</v>
      </c>
    </row>
    <row r="68" spans="2:24" x14ac:dyDescent="0.45">
      <c r="H68" t="s">
        <v>111</v>
      </c>
      <c r="I68" t="s">
        <v>27</v>
      </c>
      <c r="J68">
        <v>5.0558998273974101E-2</v>
      </c>
      <c r="K68" t="s">
        <v>14</v>
      </c>
      <c r="P68" t="s">
        <v>15</v>
      </c>
      <c r="Q68" t="s">
        <v>244</v>
      </c>
      <c r="R68" t="s">
        <v>147</v>
      </c>
      <c r="S68" t="s">
        <v>17</v>
      </c>
      <c r="U68" t="s">
        <v>15</v>
      </c>
      <c r="V68" t="s">
        <v>245</v>
      </c>
      <c r="W68" t="s">
        <v>222</v>
      </c>
      <c r="X68" t="s">
        <v>19</v>
      </c>
    </row>
    <row r="69" spans="2:24" x14ac:dyDescent="0.45">
      <c r="H69" t="s">
        <v>111</v>
      </c>
      <c r="I69" t="s">
        <v>36</v>
      </c>
      <c r="J69">
        <v>5.0558998273974101E-2</v>
      </c>
      <c r="K69" t="s">
        <v>14</v>
      </c>
      <c r="P69" t="s">
        <v>15</v>
      </c>
      <c r="Q69" t="s">
        <v>246</v>
      </c>
      <c r="R69" t="s">
        <v>151</v>
      </c>
      <c r="S69" t="s">
        <v>17</v>
      </c>
      <c r="U69" t="s">
        <v>15</v>
      </c>
      <c r="V69" t="s">
        <v>245</v>
      </c>
      <c r="W69" t="s">
        <v>38</v>
      </c>
      <c r="X69" t="s">
        <v>17</v>
      </c>
    </row>
    <row r="70" spans="2:24" x14ac:dyDescent="0.45">
      <c r="H70" t="s">
        <v>114</v>
      </c>
      <c r="I70" t="s">
        <v>13</v>
      </c>
      <c r="J70">
        <v>1.0131390521420966E-2</v>
      </c>
      <c r="K70" t="s">
        <v>14</v>
      </c>
      <c r="P70" t="s">
        <v>15</v>
      </c>
      <c r="Q70" t="s">
        <v>247</v>
      </c>
      <c r="R70" t="s">
        <v>155</v>
      </c>
      <c r="S70" t="s">
        <v>17</v>
      </c>
      <c r="U70" t="s">
        <v>15</v>
      </c>
      <c r="V70" t="s">
        <v>248</v>
      </c>
      <c r="W70" t="s">
        <v>43</v>
      </c>
      <c r="X70" t="s">
        <v>19</v>
      </c>
    </row>
    <row r="71" spans="2:24" x14ac:dyDescent="0.45">
      <c r="H71" t="s">
        <v>114</v>
      </c>
      <c r="I71" t="s">
        <v>27</v>
      </c>
      <c r="J71">
        <v>1.0131390521420966E-2</v>
      </c>
      <c r="K71" t="s">
        <v>14</v>
      </c>
      <c r="P71" t="s">
        <v>15</v>
      </c>
      <c r="Q71" t="s">
        <v>249</v>
      </c>
      <c r="R71" t="s">
        <v>159</v>
      </c>
      <c r="S71" t="s">
        <v>17</v>
      </c>
      <c r="U71" t="s">
        <v>15</v>
      </c>
      <c r="V71" t="s">
        <v>250</v>
      </c>
      <c r="W71" t="s">
        <v>43</v>
      </c>
      <c r="X71" t="s">
        <v>19</v>
      </c>
    </row>
    <row r="72" spans="2:24" x14ac:dyDescent="0.45">
      <c r="H72" t="s">
        <v>114</v>
      </c>
      <c r="I72" t="s">
        <v>36</v>
      </c>
      <c r="J72">
        <v>1.0131390521420966E-2</v>
      </c>
      <c r="K72" t="s">
        <v>14</v>
      </c>
      <c r="P72" t="s">
        <v>15</v>
      </c>
      <c r="Q72" t="s">
        <v>251</v>
      </c>
      <c r="R72" t="s">
        <v>16</v>
      </c>
      <c r="S72" t="s">
        <v>17</v>
      </c>
      <c r="U72" t="s">
        <v>15</v>
      </c>
      <c r="V72" t="s">
        <v>252</v>
      </c>
      <c r="W72" t="s">
        <v>43</v>
      </c>
      <c r="X72" t="s">
        <v>19</v>
      </c>
    </row>
    <row r="73" spans="2:24" x14ac:dyDescent="0.45">
      <c r="H73" t="s">
        <v>118</v>
      </c>
      <c r="I73" t="s">
        <v>13</v>
      </c>
      <c r="J73">
        <v>7.9990265077930466E-3</v>
      </c>
      <c r="K73" t="s">
        <v>14</v>
      </c>
      <c r="P73" t="s">
        <v>15</v>
      </c>
      <c r="Q73" t="s">
        <v>253</v>
      </c>
      <c r="R73" t="s">
        <v>29</v>
      </c>
      <c r="S73" t="s">
        <v>17</v>
      </c>
      <c r="U73" t="s">
        <v>15</v>
      </c>
      <c r="V73" t="s">
        <v>254</v>
      </c>
      <c r="W73" t="s">
        <v>43</v>
      </c>
      <c r="X73" t="s">
        <v>19</v>
      </c>
    </row>
    <row r="74" spans="2:24" x14ac:dyDescent="0.45">
      <c r="H74" t="s">
        <v>118</v>
      </c>
      <c r="I74" t="s">
        <v>27</v>
      </c>
      <c r="J74">
        <v>7.9990265077930466E-3</v>
      </c>
      <c r="K74" t="s">
        <v>14</v>
      </c>
      <c r="P74" t="s">
        <v>15</v>
      </c>
      <c r="Q74" t="s">
        <v>255</v>
      </c>
      <c r="R74" t="s">
        <v>38</v>
      </c>
      <c r="S74" t="s">
        <v>17</v>
      </c>
      <c r="U74" t="s">
        <v>15</v>
      </c>
      <c r="V74" t="s">
        <v>256</v>
      </c>
      <c r="W74" t="s">
        <v>43</v>
      </c>
      <c r="X74" t="s">
        <v>19</v>
      </c>
    </row>
    <row r="75" spans="2:24" x14ac:dyDescent="0.45">
      <c r="H75" t="s">
        <v>118</v>
      </c>
      <c r="I75" t="s">
        <v>36</v>
      </c>
      <c r="J75">
        <v>7.9990265077930466E-3</v>
      </c>
      <c r="K75" t="s">
        <v>14</v>
      </c>
      <c r="P75" t="s">
        <v>15</v>
      </c>
      <c r="Q75" t="s">
        <v>257</v>
      </c>
      <c r="R75" t="s">
        <v>43</v>
      </c>
      <c r="S75" t="s">
        <v>17</v>
      </c>
      <c r="U75" t="s">
        <v>15</v>
      </c>
      <c r="V75" t="s">
        <v>258</v>
      </c>
      <c r="W75" t="s">
        <v>43</v>
      </c>
      <c r="X75" t="s">
        <v>19</v>
      </c>
    </row>
    <row r="76" spans="2:24" x14ac:dyDescent="0.45">
      <c r="H76" t="s">
        <v>122</v>
      </c>
      <c r="I76" t="s">
        <v>13</v>
      </c>
      <c r="J76">
        <v>5.9969581717619702E-3</v>
      </c>
      <c r="K76" t="s">
        <v>14</v>
      </c>
      <c r="P76" t="s">
        <v>15</v>
      </c>
      <c r="Q76" t="s">
        <v>259</v>
      </c>
      <c r="R76" t="s">
        <v>47</v>
      </c>
      <c r="S76" t="s">
        <v>17</v>
      </c>
      <c r="U76" t="s">
        <v>15</v>
      </c>
      <c r="V76" t="s">
        <v>260</v>
      </c>
      <c r="W76" t="s">
        <v>43</v>
      </c>
      <c r="X76" t="s">
        <v>19</v>
      </c>
    </row>
    <row r="77" spans="2:24" x14ac:dyDescent="0.45">
      <c r="H77" t="s">
        <v>122</v>
      </c>
      <c r="I77" t="s">
        <v>27</v>
      </c>
      <c r="J77">
        <v>5.9969581717619702E-3</v>
      </c>
      <c r="K77" t="s">
        <v>14</v>
      </c>
      <c r="P77" t="s">
        <v>15</v>
      </c>
      <c r="Q77" t="s">
        <v>261</v>
      </c>
      <c r="R77" t="s">
        <v>51</v>
      </c>
      <c r="S77" t="s">
        <v>17</v>
      </c>
      <c r="U77" t="s">
        <v>15</v>
      </c>
      <c r="V77" t="s">
        <v>262</v>
      </c>
      <c r="W77" t="s">
        <v>43</v>
      </c>
      <c r="X77" t="s">
        <v>19</v>
      </c>
    </row>
    <row r="78" spans="2:24" x14ac:dyDescent="0.45">
      <c r="H78" t="s">
        <v>122</v>
      </c>
      <c r="I78" t="s">
        <v>36</v>
      </c>
      <c r="J78">
        <v>5.9969581717619702E-3</v>
      </c>
      <c r="K78" t="s">
        <v>14</v>
      </c>
      <c r="P78" t="s">
        <v>15</v>
      </c>
      <c r="Q78" t="s">
        <v>263</v>
      </c>
      <c r="R78" t="s">
        <v>55</v>
      </c>
      <c r="S78" t="s">
        <v>17</v>
      </c>
      <c r="U78" t="s">
        <v>15</v>
      </c>
      <c r="V78" t="s">
        <v>264</v>
      </c>
      <c r="W78" t="s">
        <v>43</v>
      </c>
      <c r="X78" t="s">
        <v>19</v>
      </c>
    </row>
    <row r="79" spans="2:24" x14ac:dyDescent="0.45">
      <c r="H79" t="s">
        <v>126</v>
      </c>
      <c r="I79" t="s">
        <v>13</v>
      </c>
      <c r="J79">
        <v>9.4500834159670817E-3</v>
      </c>
      <c r="K79" t="s">
        <v>14</v>
      </c>
      <c r="P79" t="s">
        <v>15</v>
      </c>
      <c r="Q79" t="s">
        <v>265</v>
      </c>
      <c r="R79" t="s">
        <v>59</v>
      </c>
      <c r="S79" t="s">
        <v>17</v>
      </c>
      <c r="U79" t="s">
        <v>15</v>
      </c>
      <c r="V79" t="s">
        <v>266</v>
      </c>
      <c r="W79" t="s">
        <v>43</v>
      </c>
      <c r="X79" t="s">
        <v>19</v>
      </c>
    </row>
    <row r="80" spans="2:24" x14ac:dyDescent="0.45">
      <c r="H80" t="s">
        <v>126</v>
      </c>
      <c r="I80" t="s">
        <v>27</v>
      </c>
      <c r="J80">
        <v>9.4500834159670817E-3</v>
      </c>
      <c r="K80" t="s">
        <v>14</v>
      </c>
      <c r="P80" t="s">
        <v>15</v>
      </c>
      <c r="Q80" t="s">
        <v>267</v>
      </c>
      <c r="R80" t="s">
        <v>63</v>
      </c>
      <c r="S80" t="s">
        <v>17</v>
      </c>
      <c r="U80" t="s">
        <v>15</v>
      </c>
      <c r="V80" t="s">
        <v>268</v>
      </c>
      <c r="W80" t="s">
        <v>43</v>
      </c>
      <c r="X80" t="s">
        <v>19</v>
      </c>
    </row>
    <row r="81" spans="8:24" x14ac:dyDescent="0.45">
      <c r="H81" t="s">
        <v>126</v>
      </c>
      <c r="I81" t="s">
        <v>36</v>
      </c>
      <c r="J81">
        <v>9.4500834159670817E-3</v>
      </c>
      <c r="K81" t="s">
        <v>14</v>
      </c>
      <c r="P81" t="s">
        <v>15</v>
      </c>
      <c r="Q81" t="s">
        <v>269</v>
      </c>
      <c r="R81" t="s">
        <v>67</v>
      </c>
      <c r="S81" t="s">
        <v>17</v>
      </c>
      <c r="U81" t="s">
        <v>15</v>
      </c>
      <c r="V81" t="s">
        <v>268</v>
      </c>
      <c r="W81" t="s">
        <v>270</v>
      </c>
      <c r="X81" t="s">
        <v>19</v>
      </c>
    </row>
    <row r="82" spans="8:24" x14ac:dyDescent="0.45">
      <c r="H82" t="s">
        <v>130</v>
      </c>
      <c r="I82" t="s">
        <v>13</v>
      </c>
      <c r="J82">
        <v>9.0410425206741071E-3</v>
      </c>
      <c r="K82" t="s">
        <v>14</v>
      </c>
      <c r="P82" t="s">
        <v>15</v>
      </c>
      <c r="Q82" t="s">
        <v>271</v>
      </c>
      <c r="R82" t="s">
        <v>71</v>
      </c>
      <c r="S82" t="s">
        <v>17</v>
      </c>
      <c r="U82" t="s">
        <v>15</v>
      </c>
      <c r="V82" t="s">
        <v>272</v>
      </c>
      <c r="W82" t="s">
        <v>43</v>
      </c>
      <c r="X82" t="s">
        <v>19</v>
      </c>
    </row>
    <row r="83" spans="8:24" x14ac:dyDescent="0.45">
      <c r="H83" t="s">
        <v>130</v>
      </c>
      <c r="I83" t="s">
        <v>27</v>
      </c>
      <c r="J83">
        <v>9.0410425206741071E-3</v>
      </c>
      <c r="K83" t="s">
        <v>14</v>
      </c>
      <c r="P83" t="s">
        <v>15</v>
      </c>
      <c r="Q83" t="s">
        <v>273</v>
      </c>
      <c r="R83" t="s">
        <v>75</v>
      </c>
      <c r="S83" t="s">
        <v>17</v>
      </c>
      <c r="U83" t="s">
        <v>15</v>
      </c>
      <c r="V83" t="s">
        <v>272</v>
      </c>
      <c r="W83" t="s">
        <v>270</v>
      </c>
      <c r="X83" t="s">
        <v>19</v>
      </c>
    </row>
    <row r="84" spans="8:24" x14ac:dyDescent="0.45">
      <c r="H84" t="s">
        <v>130</v>
      </c>
      <c r="I84" t="s">
        <v>36</v>
      </c>
      <c r="J84">
        <v>9.0410425206741071E-3</v>
      </c>
      <c r="K84" t="s">
        <v>14</v>
      </c>
      <c r="P84" t="s">
        <v>15</v>
      </c>
      <c r="Q84" t="s">
        <v>274</v>
      </c>
      <c r="R84" t="s">
        <v>79</v>
      </c>
      <c r="S84" t="s">
        <v>17</v>
      </c>
      <c r="U84" t="s">
        <v>15</v>
      </c>
      <c r="V84" t="s">
        <v>275</v>
      </c>
      <c r="W84" t="s">
        <v>43</v>
      </c>
      <c r="X84" t="s">
        <v>19</v>
      </c>
    </row>
    <row r="85" spans="8:24" x14ac:dyDescent="0.45">
      <c r="H85" t="s">
        <v>134</v>
      </c>
      <c r="I85" t="s">
        <v>13</v>
      </c>
      <c r="J85">
        <v>8.7984816269158061E-3</v>
      </c>
      <c r="K85" t="s">
        <v>14</v>
      </c>
      <c r="P85" t="s">
        <v>15</v>
      </c>
      <c r="Q85" t="s">
        <v>276</v>
      </c>
      <c r="R85" t="s">
        <v>83</v>
      </c>
      <c r="S85" t="s">
        <v>17</v>
      </c>
      <c r="U85" t="s">
        <v>15</v>
      </c>
      <c r="V85" t="s">
        <v>275</v>
      </c>
      <c r="W85" t="s">
        <v>270</v>
      </c>
      <c r="X85" t="s">
        <v>19</v>
      </c>
    </row>
    <row r="86" spans="8:24" x14ac:dyDescent="0.45">
      <c r="H86" t="s">
        <v>134</v>
      </c>
      <c r="I86" t="s">
        <v>27</v>
      </c>
      <c r="J86">
        <v>8.7984816269158061E-3</v>
      </c>
      <c r="K86" t="s">
        <v>14</v>
      </c>
      <c r="P86" t="s">
        <v>15</v>
      </c>
      <c r="Q86" t="s">
        <v>277</v>
      </c>
      <c r="R86" t="s">
        <v>86</v>
      </c>
      <c r="S86" t="s">
        <v>17</v>
      </c>
      <c r="U86" t="s">
        <v>15</v>
      </c>
      <c r="V86" t="s">
        <v>278</v>
      </c>
      <c r="W86" t="s">
        <v>270</v>
      </c>
      <c r="X86" t="s">
        <v>19</v>
      </c>
    </row>
    <row r="87" spans="8:24" x14ac:dyDescent="0.45">
      <c r="H87" t="s">
        <v>134</v>
      </c>
      <c r="I87" t="s">
        <v>36</v>
      </c>
      <c r="J87">
        <v>8.7984816269158061E-3</v>
      </c>
      <c r="K87" t="s">
        <v>14</v>
      </c>
      <c r="P87" t="s">
        <v>15</v>
      </c>
      <c r="Q87" t="s">
        <v>279</v>
      </c>
      <c r="R87" t="s">
        <v>90</v>
      </c>
      <c r="S87" t="s">
        <v>17</v>
      </c>
      <c r="U87" t="s">
        <v>15</v>
      </c>
      <c r="V87" t="s">
        <v>280</v>
      </c>
      <c r="W87" t="s">
        <v>270</v>
      </c>
      <c r="X87" t="s">
        <v>19</v>
      </c>
    </row>
    <row r="88" spans="8:24" x14ac:dyDescent="0.45">
      <c r="H88" t="s">
        <v>138</v>
      </c>
      <c r="I88" t="s">
        <v>13</v>
      </c>
      <c r="J88">
        <v>0.26360423996440069</v>
      </c>
      <c r="K88" t="s">
        <v>14</v>
      </c>
      <c r="P88" t="s">
        <v>15</v>
      </c>
      <c r="Q88" t="s">
        <v>281</v>
      </c>
      <c r="R88" t="s">
        <v>93</v>
      </c>
      <c r="S88" t="s">
        <v>17</v>
      </c>
      <c r="U88" t="s">
        <v>15</v>
      </c>
      <c r="V88" t="s">
        <v>282</v>
      </c>
      <c r="W88" t="s">
        <v>270</v>
      </c>
      <c r="X88" t="s">
        <v>19</v>
      </c>
    </row>
    <row r="89" spans="8:24" x14ac:dyDescent="0.45">
      <c r="H89" t="s">
        <v>138</v>
      </c>
      <c r="I89" t="s">
        <v>27</v>
      </c>
      <c r="J89">
        <v>0.26360423996440069</v>
      </c>
      <c r="K89" t="s">
        <v>14</v>
      </c>
      <c r="P89" t="s">
        <v>15</v>
      </c>
      <c r="Q89" t="s">
        <v>283</v>
      </c>
      <c r="R89" t="s">
        <v>97</v>
      </c>
      <c r="S89" t="s">
        <v>17</v>
      </c>
      <c r="U89" t="s">
        <v>15</v>
      </c>
      <c r="V89" t="s">
        <v>282</v>
      </c>
      <c r="W89" t="s">
        <v>43</v>
      </c>
      <c r="X89" t="s">
        <v>17</v>
      </c>
    </row>
    <row r="90" spans="8:24" x14ac:dyDescent="0.45">
      <c r="H90" t="s">
        <v>138</v>
      </c>
      <c r="I90" t="s">
        <v>36</v>
      </c>
      <c r="J90">
        <v>0.26360423996440069</v>
      </c>
      <c r="K90" t="s">
        <v>14</v>
      </c>
      <c r="P90" t="s">
        <v>15</v>
      </c>
      <c r="Q90" t="s">
        <v>284</v>
      </c>
      <c r="R90" t="s">
        <v>101</v>
      </c>
      <c r="S90" t="s">
        <v>17</v>
      </c>
      <c r="U90" t="s">
        <v>15</v>
      </c>
      <c r="V90" t="s">
        <v>285</v>
      </c>
      <c r="W90" t="s">
        <v>270</v>
      </c>
      <c r="X90" t="s">
        <v>19</v>
      </c>
    </row>
    <row r="91" spans="8:24" x14ac:dyDescent="0.45">
      <c r="H91" t="s">
        <v>142</v>
      </c>
      <c r="I91" t="s">
        <v>13</v>
      </c>
      <c r="J91">
        <v>9.4949341631152106E-3</v>
      </c>
      <c r="K91" t="s">
        <v>14</v>
      </c>
      <c r="P91" t="s">
        <v>15</v>
      </c>
      <c r="Q91" t="s">
        <v>286</v>
      </c>
      <c r="R91" t="s">
        <v>105</v>
      </c>
      <c r="S91" t="s">
        <v>17</v>
      </c>
      <c r="U91" t="s">
        <v>15</v>
      </c>
      <c r="V91" t="s">
        <v>285</v>
      </c>
      <c r="W91" t="s">
        <v>43</v>
      </c>
      <c r="X91" t="s">
        <v>17</v>
      </c>
    </row>
    <row r="92" spans="8:24" x14ac:dyDescent="0.45">
      <c r="H92" t="s">
        <v>142</v>
      </c>
      <c r="I92" t="s">
        <v>27</v>
      </c>
      <c r="J92">
        <v>9.4949341631152106E-3</v>
      </c>
      <c r="K92" t="s">
        <v>14</v>
      </c>
      <c r="P92" t="s">
        <v>15</v>
      </c>
      <c r="Q92" t="s">
        <v>287</v>
      </c>
      <c r="R92" t="s">
        <v>108</v>
      </c>
      <c r="S92" t="s">
        <v>17</v>
      </c>
      <c r="U92" t="s">
        <v>15</v>
      </c>
      <c r="V92" t="s">
        <v>288</v>
      </c>
      <c r="W92" t="s">
        <v>47</v>
      </c>
      <c r="X92" t="s">
        <v>19</v>
      </c>
    </row>
    <row r="93" spans="8:24" x14ac:dyDescent="0.45">
      <c r="H93" t="s">
        <v>142</v>
      </c>
      <c r="I93" t="s">
        <v>36</v>
      </c>
      <c r="J93">
        <v>9.4949341631152106E-3</v>
      </c>
      <c r="K93" t="s">
        <v>14</v>
      </c>
      <c r="P93" t="s">
        <v>15</v>
      </c>
      <c r="Q93" t="s">
        <v>289</v>
      </c>
      <c r="R93" t="s">
        <v>112</v>
      </c>
      <c r="S93" t="s">
        <v>17</v>
      </c>
      <c r="U93" t="s">
        <v>15</v>
      </c>
      <c r="V93" t="s">
        <v>290</v>
      </c>
      <c r="W93" t="s">
        <v>47</v>
      </c>
      <c r="X93" t="s">
        <v>19</v>
      </c>
    </row>
    <row r="94" spans="8:24" x14ac:dyDescent="0.45">
      <c r="H94" t="s">
        <v>146</v>
      </c>
      <c r="I94" t="s">
        <v>13</v>
      </c>
      <c r="J94">
        <v>1.0710881285310375E-2</v>
      </c>
      <c r="K94" t="s">
        <v>14</v>
      </c>
      <c r="P94" t="s">
        <v>15</v>
      </c>
      <c r="Q94" t="s">
        <v>291</v>
      </c>
      <c r="R94" t="s">
        <v>115</v>
      </c>
      <c r="S94" t="s">
        <v>17</v>
      </c>
      <c r="U94" t="s">
        <v>15</v>
      </c>
      <c r="V94" t="s">
        <v>292</v>
      </c>
      <c r="W94" t="s">
        <v>47</v>
      </c>
      <c r="X94" t="s">
        <v>19</v>
      </c>
    </row>
    <row r="95" spans="8:24" x14ac:dyDescent="0.45">
      <c r="H95" t="s">
        <v>146</v>
      </c>
      <c r="I95" t="s">
        <v>27</v>
      </c>
      <c r="J95">
        <v>1.0710881285310375E-2</v>
      </c>
      <c r="K95" t="s">
        <v>14</v>
      </c>
      <c r="P95" t="s">
        <v>15</v>
      </c>
      <c r="Q95" t="s">
        <v>293</v>
      </c>
      <c r="R95" t="s">
        <v>119</v>
      </c>
      <c r="S95" t="s">
        <v>17</v>
      </c>
      <c r="U95" t="s">
        <v>15</v>
      </c>
      <c r="V95" t="s">
        <v>294</v>
      </c>
      <c r="W95" t="s">
        <v>47</v>
      </c>
      <c r="X95" t="s">
        <v>19</v>
      </c>
    </row>
    <row r="96" spans="8:24" x14ac:dyDescent="0.45">
      <c r="H96" t="s">
        <v>146</v>
      </c>
      <c r="I96" t="s">
        <v>36</v>
      </c>
      <c r="J96">
        <v>1.0710881285310375E-2</v>
      </c>
      <c r="K96" t="s">
        <v>14</v>
      </c>
      <c r="P96" t="s">
        <v>15</v>
      </c>
      <c r="Q96" t="s">
        <v>295</v>
      </c>
      <c r="R96" t="s">
        <v>123</v>
      </c>
      <c r="S96" t="s">
        <v>17</v>
      </c>
      <c r="U96" t="s">
        <v>15</v>
      </c>
      <c r="V96" t="s">
        <v>296</v>
      </c>
      <c r="W96" t="s">
        <v>47</v>
      </c>
      <c r="X96" t="s">
        <v>19</v>
      </c>
    </row>
    <row r="97" spans="8:24" x14ac:dyDescent="0.45">
      <c r="H97" t="s">
        <v>150</v>
      </c>
      <c r="I97" t="s">
        <v>13</v>
      </c>
      <c r="J97">
        <v>3.801889886402678E-3</v>
      </c>
      <c r="K97" t="s">
        <v>14</v>
      </c>
      <c r="P97" t="s">
        <v>15</v>
      </c>
      <c r="Q97" t="s">
        <v>297</v>
      </c>
      <c r="R97" t="s">
        <v>127</v>
      </c>
      <c r="S97" t="s">
        <v>17</v>
      </c>
      <c r="U97" t="s">
        <v>15</v>
      </c>
      <c r="V97" t="s">
        <v>298</v>
      </c>
      <c r="W97" t="s">
        <v>47</v>
      </c>
      <c r="X97" t="s">
        <v>19</v>
      </c>
    </row>
    <row r="98" spans="8:24" x14ac:dyDescent="0.45">
      <c r="H98" t="s">
        <v>150</v>
      </c>
      <c r="I98" t="s">
        <v>27</v>
      </c>
      <c r="J98">
        <v>3.801889886402678E-3</v>
      </c>
      <c r="K98" t="s">
        <v>14</v>
      </c>
      <c r="P98" t="s">
        <v>15</v>
      </c>
      <c r="Q98" t="s">
        <v>299</v>
      </c>
      <c r="R98" t="s">
        <v>131</v>
      </c>
      <c r="S98" t="s">
        <v>17</v>
      </c>
      <c r="U98" t="s">
        <v>15</v>
      </c>
      <c r="V98" t="s">
        <v>300</v>
      </c>
      <c r="W98" t="s">
        <v>47</v>
      </c>
      <c r="X98" t="s">
        <v>19</v>
      </c>
    </row>
    <row r="99" spans="8:24" x14ac:dyDescent="0.45">
      <c r="H99" t="s">
        <v>150</v>
      </c>
      <c r="I99" t="s">
        <v>36</v>
      </c>
      <c r="J99">
        <v>3.801889886402678E-3</v>
      </c>
      <c r="K99" t="s">
        <v>14</v>
      </c>
      <c r="P99" t="s">
        <v>15</v>
      </c>
      <c r="Q99" t="s">
        <v>301</v>
      </c>
      <c r="R99" t="s">
        <v>135</v>
      </c>
      <c r="S99" t="s">
        <v>17</v>
      </c>
      <c r="U99" t="s">
        <v>15</v>
      </c>
      <c r="V99" t="s">
        <v>302</v>
      </c>
      <c r="W99" t="s">
        <v>47</v>
      </c>
      <c r="X99" t="s">
        <v>19</v>
      </c>
    </row>
    <row r="100" spans="8:24" x14ac:dyDescent="0.45">
      <c r="H100" t="s">
        <v>154</v>
      </c>
      <c r="I100" t="s">
        <v>13</v>
      </c>
      <c r="J100">
        <v>3.8036116911747971E-2</v>
      </c>
      <c r="K100" t="s">
        <v>14</v>
      </c>
      <c r="P100" t="s">
        <v>15</v>
      </c>
      <c r="Q100" t="s">
        <v>303</v>
      </c>
      <c r="R100" t="s">
        <v>139</v>
      </c>
      <c r="S100" t="s">
        <v>17</v>
      </c>
      <c r="U100" t="s">
        <v>15</v>
      </c>
      <c r="V100" t="s">
        <v>304</v>
      </c>
      <c r="W100" t="s">
        <v>47</v>
      </c>
      <c r="X100" t="s">
        <v>19</v>
      </c>
    </row>
    <row r="101" spans="8:24" x14ac:dyDescent="0.45">
      <c r="H101" t="s">
        <v>154</v>
      </c>
      <c r="I101" t="s">
        <v>27</v>
      </c>
      <c r="J101">
        <v>3.8036116911747971E-2</v>
      </c>
      <c r="K101" t="s">
        <v>14</v>
      </c>
      <c r="P101" t="s">
        <v>15</v>
      </c>
      <c r="Q101" t="s">
        <v>305</v>
      </c>
      <c r="R101" t="s">
        <v>143</v>
      </c>
      <c r="S101" t="s">
        <v>17</v>
      </c>
      <c r="U101" t="s">
        <v>15</v>
      </c>
      <c r="V101" t="s">
        <v>306</v>
      </c>
      <c r="W101" t="s">
        <v>47</v>
      </c>
      <c r="X101" t="s">
        <v>19</v>
      </c>
    </row>
    <row r="102" spans="8:24" x14ac:dyDescent="0.45">
      <c r="H102" t="s">
        <v>154</v>
      </c>
      <c r="I102" t="s">
        <v>36</v>
      </c>
      <c r="J102">
        <v>3.8036116911747971E-2</v>
      </c>
      <c r="K102" t="s">
        <v>14</v>
      </c>
      <c r="P102" t="s">
        <v>15</v>
      </c>
      <c r="Q102" t="s">
        <v>307</v>
      </c>
      <c r="R102" t="s">
        <v>147</v>
      </c>
      <c r="S102" t="s">
        <v>17</v>
      </c>
      <c r="U102" t="s">
        <v>15</v>
      </c>
      <c r="V102" t="s">
        <v>308</v>
      </c>
      <c r="W102" t="s">
        <v>47</v>
      </c>
      <c r="X102" t="s">
        <v>19</v>
      </c>
    </row>
    <row r="103" spans="8:24" x14ac:dyDescent="0.45">
      <c r="H103" t="s">
        <v>158</v>
      </c>
      <c r="I103" t="s">
        <v>13</v>
      </c>
      <c r="J103">
        <v>1.514031268696758E-2</v>
      </c>
      <c r="K103" t="s">
        <v>14</v>
      </c>
      <c r="P103" t="s">
        <v>15</v>
      </c>
      <c r="Q103" t="s">
        <v>309</v>
      </c>
      <c r="R103" t="s">
        <v>151</v>
      </c>
      <c r="S103" t="s">
        <v>17</v>
      </c>
      <c r="U103" t="s">
        <v>15</v>
      </c>
      <c r="V103" t="s">
        <v>308</v>
      </c>
      <c r="W103" t="s">
        <v>310</v>
      </c>
      <c r="X103" t="s">
        <v>19</v>
      </c>
    </row>
    <row r="104" spans="8:24" x14ac:dyDescent="0.45">
      <c r="H104" t="s">
        <v>158</v>
      </c>
      <c r="I104" t="s">
        <v>27</v>
      </c>
      <c r="J104">
        <v>1.514031268696758E-2</v>
      </c>
      <c r="K104" t="s">
        <v>14</v>
      </c>
      <c r="P104" t="s">
        <v>15</v>
      </c>
      <c r="Q104" t="s">
        <v>311</v>
      </c>
      <c r="R104" t="s">
        <v>155</v>
      </c>
      <c r="S104" t="s">
        <v>17</v>
      </c>
      <c r="U104" t="s">
        <v>15</v>
      </c>
      <c r="V104" t="s">
        <v>312</v>
      </c>
      <c r="W104" t="s">
        <v>47</v>
      </c>
      <c r="X104" t="s">
        <v>19</v>
      </c>
    </row>
    <row r="105" spans="8:24" x14ac:dyDescent="0.45">
      <c r="H105" t="s">
        <v>158</v>
      </c>
      <c r="I105" t="s">
        <v>36</v>
      </c>
      <c r="J105">
        <v>1.514031268696758E-2</v>
      </c>
      <c r="K105" t="s">
        <v>14</v>
      </c>
      <c r="P105" t="s">
        <v>15</v>
      </c>
      <c r="Q105" t="s">
        <v>313</v>
      </c>
      <c r="R105" t="s">
        <v>159</v>
      </c>
      <c r="S105" t="s">
        <v>17</v>
      </c>
      <c r="U105" t="s">
        <v>15</v>
      </c>
      <c r="V105" t="s">
        <v>312</v>
      </c>
      <c r="W105" t="s">
        <v>310</v>
      </c>
      <c r="X105" t="s">
        <v>19</v>
      </c>
    </row>
    <row r="106" spans="8:24" x14ac:dyDescent="0.45">
      <c r="H106" t="s">
        <v>162</v>
      </c>
      <c r="I106" t="s">
        <v>13</v>
      </c>
      <c r="J106">
        <v>2.8530057070046588E-2</v>
      </c>
      <c r="K106" t="s">
        <v>14</v>
      </c>
      <c r="P106" t="s">
        <v>15</v>
      </c>
      <c r="Q106" t="s">
        <v>314</v>
      </c>
      <c r="R106" t="s">
        <v>16</v>
      </c>
      <c r="S106" t="s">
        <v>17</v>
      </c>
      <c r="U106" t="s">
        <v>15</v>
      </c>
      <c r="V106" t="s">
        <v>315</v>
      </c>
      <c r="W106" t="s">
        <v>47</v>
      </c>
      <c r="X106" t="s">
        <v>19</v>
      </c>
    </row>
    <row r="107" spans="8:24" x14ac:dyDescent="0.45">
      <c r="H107" t="s">
        <v>162</v>
      </c>
      <c r="I107" t="s">
        <v>27</v>
      </c>
      <c r="J107">
        <v>2.8530057070046588E-2</v>
      </c>
      <c r="K107" t="s">
        <v>14</v>
      </c>
      <c r="P107" t="s">
        <v>15</v>
      </c>
      <c r="Q107" t="s">
        <v>316</v>
      </c>
      <c r="R107" t="s">
        <v>29</v>
      </c>
      <c r="S107" t="s">
        <v>17</v>
      </c>
      <c r="U107" t="s">
        <v>15</v>
      </c>
      <c r="V107" t="s">
        <v>315</v>
      </c>
      <c r="W107" t="s">
        <v>310</v>
      </c>
      <c r="X107" t="s">
        <v>19</v>
      </c>
    </row>
    <row r="108" spans="8:24" x14ac:dyDescent="0.45">
      <c r="H108" t="s">
        <v>162</v>
      </c>
      <c r="I108" t="s">
        <v>36</v>
      </c>
      <c r="J108">
        <v>2.8530057070046588E-2</v>
      </c>
      <c r="K108" t="s">
        <v>14</v>
      </c>
      <c r="P108" t="s">
        <v>15</v>
      </c>
      <c r="Q108" t="s">
        <v>317</v>
      </c>
      <c r="R108" t="s">
        <v>38</v>
      </c>
      <c r="S108" t="s">
        <v>17</v>
      </c>
      <c r="U108" t="s">
        <v>15</v>
      </c>
      <c r="V108" t="s">
        <v>318</v>
      </c>
      <c r="W108" t="s">
        <v>310</v>
      </c>
      <c r="X108" t="s">
        <v>19</v>
      </c>
    </row>
    <row r="109" spans="8:24" x14ac:dyDescent="0.45">
      <c r="H109" t="s">
        <v>165</v>
      </c>
      <c r="I109" t="s">
        <v>13</v>
      </c>
      <c r="J109">
        <v>8.0349917235820537E-3</v>
      </c>
      <c r="K109" t="s">
        <v>14</v>
      </c>
      <c r="P109" t="s">
        <v>15</v>
      </c>
      <c r="Q109" t="s">
        <v>319</v>
      </c>
      <c r="R109" t="s">
        <v>43</v>
      </c>
      <c r="S109" t="s">
        <v>17</v>
      </c>
      <c r="U109" t="s">
        <v>15</v>
      </c>
      <c r="V109" t="s">
        <v>320</v>
      </c>
      <c r="W109" t="s">
        <v>310</v>
      </c>
      <c r="X109" t="s">
        <v>19</v>
      </c>
    </row>
    <row r="110" spans="8:24" x14ac:dyDescent="0.45">
      <c r="H110" t="s">
        <v>165</v>
      </c>
      <c r="I110" t="s">
        <v>27</v>
      </c>
      <c r="J110">
        <v>8.0349917235820537E-3</v>
      </c>
      <c r="K110" t="s">
        <v>14</v>
      </c>
      <c r="P110" t="s">
        <v>15</v>
      </c>
      <c r="Q110" t="s">
        <v>321</v>
      </c>
      <c r="R110" t="s">
        <v>47</v>
      </c>
      <c r="S110" t="s">
        <v>17</v>
      </c>
      <c r="U110" t="s">
        <v>15</v>
      </c>
      <c r="V110" t="s">
        <v>322</v>
      </c>
      <c r="W110" t="s">
        <v>310</v>
      </c>
      <c r="X110" t="s">
        <v>19</v>
      </c>
    </row>
    <row r="111" spans="8:24" x14ac:dyDescent="0.45">
      <c r="H111" t="s">
        <v>165</v>
      </c>
      <c r="I111" t="s">
        <v>36</v>
      </c>
      <c r="J111">
        <v>8.0349917235820537E-3</v>
      </c>
      <c r="K111" t="s">
        <v>14</v>
      </c>
      <c r="P111" t="s">
        <v>15</v>
      </c>
      <c r="Q111" t="s">
        <v>323</v>
      </c>
      <c r="R111" t="s">
        <v>51</v>
      </c>
      <c r="S111" t="s">
        <v>17</v>
      </c>
      <c r="U111" t="s">
        <v>15</v>
      </c>
      <c r="V111" t="s">
        <v>322</v>
      </c>
      <c r="W111" t="s">
        <v>47</v>
      </c>
      <c r="X111" t="s">
        <v>17</v>
      </c>
    </row>
    <row r="112" spans="8:24" x14ac:dyDescent="0.45">
      <c r="H112" t="s">
        <v>167</v>
      </c>
      <c r="I112" t="s">
        <v>13</v>
      </c>
      <c r="J112">
        <v>2.9008015777553804E-2</v>
      </c>
      <c r="K112" t="s">
        <v>14</v>
      </c>
      <c r="P112" t="s">
        <v>15</v>
      </c>
      <c r="Q112" t="s">
        <v>324</v>
      </c>
      <c r="R112" t="s">
        <v>55</v>
      </c>
      <c r="S112" t="s">
        <v>17</v>
      </c>
      <c r="U112" t="s">
        <v>15</v>
      </c>
      <c r="V112" t="s">
        <v>325</v>
      </c>
      <c r="W112" t="s">
        <v>310</v>
      </c>
      <c r="X112" t="s">
        <v>19</v>
      </c>
    </row>
    <row r="113" spans="8:24" x14ac:dyDescent="0.45">
      <c r="H113" t="s">
        <v>167</v>
      </c>
      <c r="I113" t="s">
        <v>27</v>
      </c>
      <c r="J113">
        <v>2.9008015777553804E-2</v>
      </c>
      <c r="K113" t="s">
        <v>14</v>
      </c>
      <c r="P113" t="s">
        <v>15</v>
      </c>
      <c r="Q113" t="s">
        <v>326</v>
      </c>
      <c r="R113" t="s">
        <v>59</v>
      </c>
      <c r="S113" t="s">
        <v>17</v>
      </c>
      <c r="U113" t="s">
        <v>15</v>
      </c>
      <c r="V113" t="s">
        <v>325</v>
      </c>
      <c r="W113" t="s">
        <v>47</v>
      </c>
      <c r="X113" t="s">
        <v>17</v>
      </c>
    </row>
    <row r="114" spans="8:24" x14ac:dyDescent="0.45">
      <c r="H114" t="s">
        <v>167</v>
      </c>
      <c r="I114" t="s">
        <v>36</v>
      </c>
      <c r="J114">
        <v>2.9008015777553804E-2</v>
      </c>
      <c r="K114" t="s">
        <v>14</v>
      </c>
      <c r="P114" t="s">
        <v>15</v>
      </c>
      <c r="Q114" t="s">
        <v>327</v>
      </c>
      <c r="R114" t="s">
        <v>63</v>
      </c>
      <c r="S114" t="s">
        <v>17</v>
      </c>
      <c r="U114" t="s">
        <v>15</v>
      </c>
      <c r="V114" t="s">
        <v>328</v>
      </c>
      <c r="W114" t="s">
        <v>51</v>
      </c>
      <c r="X114" t="s">
        <v>19</v>
      </c>
    </row>
    <row r="115" spans="8:24" x14ac:dyDescent="0.45">
      <c r="H115" t="s">
        <v>170</v>
      </c>
      <c r="I115" t="s">
        <v>13</v>
      </c>
      <c r="J115">
        <v>6.8145540410057326E-2</v>
      </c>
      <c r="K115" t="s">
        <v>14</v>
      </c>
      <c r="P115" t="s">
        <v>15</v>
      </c>
      <c r="Q115" t="s">
        <v>329</v>
      </c>
      <c r="R115" t="s">
        <v>67</v>
      </c>
      <c r="S115" t="s">
        <v>17</v>
      </c>
      <c r="U115" t="s">
        <v>15</v>
      </c>
      <c r="V115" t="s">
        <v>330</v>
      </c>
      <c r="W115" t="s">
        <v>51</v>
      </c>
      <c r="X115" t="s">
        <v>19</v>
      </c>
    </row>
    <row r="116" spans="8:24" x14ac:dyDescent="0.45">
      <c r="H116" t="s">
        <v>170</v>
      </c>
      <c r="I116" t="s">
        <v>27</v>
      </c>
      <c r="J116">
        <v>6.8145540410057326E-2</v>
      </c>
      <c r="K116" t="s">
        <v>14</v>
      </c>
      <c r="P116" t="s">
        <v>15</v>
      </c>
      <c r="Q116" t="s">
        <v>331</v>
      </c>
      <c r="R116" t="s">
        <v>71</v>
      </c>
      <c r="S116" t="s">
        <v>17</v>
      </c>
      <c r="U116" t="s">
        <v>15</v>
      </c>
      <c r="V116" t="s">
        <v>332</v>
      </c>
      <c r="W116" t="s">
        <v>51</v>
      </c>
      <c r="X116" t="s">
        <v>19</v>
      </c>
    </row>
    <row r="117" spans="8:24" x14ac:dyDescent="0.45">
      <c r="H117" t="s">
        <v>170</v>
      </c>
      <c r="I117" t="s">
        <v>36</v>
      </c>
      <c r="J117">
        <v>6.8145540410057326E-2</v>
      </c>
      <c r="K117" t="s">
        <v>14</v>
      </c>
      <c r="P117" t="s">
        <v>15</v>
      </c>
      <c r="Q117" t="s">
        <v>333</v>
      </c>
      <c r="R117" t="s">
        <v>75</v>
      </c>
      <c r="S117" t="s">
        <v>17</v>
      </c>
      <c r="U117" t="s">
        <v>15</v>
      </c>
      <c r="V117" t="s">
        <v>334</v>
      </c>
      <c r="W117" t="s">
        <v>51</v>
      </c>
      <c r="X117" t="s">
        <v>19</v>
      </c>
    </row>
    <row r="118" spans="8:24" x14ac:dyDescent="0.45">
      <c r="H118" t="s">
        <v>172</v>
      </c>
      <c r="I118" t="s">
        <v>13</v>
      </c>
      <c r="J118">
        <v>7.4092128656555933E-3</v>
      </c>
      <c r="K118" t="s">
        <v>14</v>
      </c>
      <c r="P118" t="s">
        <v>15</v>
      </c>
      <c r="Q118" t="s">
        <v>335</v>
      </c>
      <c r="R118" t="s">
        <v>79</v>
      </c>
      <c r="S118" t="s">
        <v>17</v>
      </c>
      <c r="U118" t="s">
        <v>15</v>
      </c>
      <c r="V118" t="s">
        <v>336</v>
      </c>
      <c r="W118" t="s">
        <v>51</v>
      </c>
      <c r="X118" t="s">
        <v>19</v>
      </c>
    </row>
    <row r="119" spans="8:24" x14ac:dyDescent="0.45">
      <c r="H119" t="s">
        <v>172</v>
      </c>
      <c r="I119" t="s">
        <v>27</v>
      </c>
      <c r="J119">
        <v>7.4092128656555933E-3</v>
      </c>
      <c r="K119" t="s">
        <v>14</v>
      </c>
      <c r="P119" t="s">
        <v>15</v>
      </c>
      <c r="Q119" t="s">
        <v>337</v>
      </c>
      <c r="R119" t="s">
        <v>83</v>
      </c>
      <c r="S119" t="s">
        <v>17</v>
      </c>
      <c r="U119" t="s">
        <v>15</v>
      </c>
      <c r="V119" t="s">
        <v>338</v>
      </c>
      <c r="W119" t="s">
        <v>51</v>
      </c>
      <c r="X119" t="s">
        <v>19</v>
      </c>
    </row>
    <row r="120" spans="8:24" x14ac:dyDescent="0.45">
      <c r="H120" t="s">
        <v>172</v>
      </c>
      <c r="I120" t="s">
        <v>36</v>
      </c>
      <c r="J120">
        <v>7.4092128656555933E-3</v>
      </c>
      <c r="K120" t="s">
        <v>14</v>
      </c>
      <c r="P120" t="s">
        <v>15</v>
      </c>
      <c r="Q120" t="s">
        <v>339</v>
      </c>
      <c r="R120" t="s">
        <v>86</v>
      </c>
      <c r="S120" t="s">
        <v>17</v>
      </c>
      <c r="U120" t="s">
        <v>15</v>
      </c>
      <c r="V120" t="s">
        <v>340</v>
      </c>
      <c r="W120" t="s">
        <v>51</v>
      </c>
      <c r="X120" t="s">
        <v>19</v>
      </c>
    </row>
    <row r="121" spans="8:24" x14ac:dyDescent="0.45">
      <c r="H121" t="s">
        <v>175</v>
      </c>
      <c r="I121" t="s">
        <v>13</v>
      </c>
      <c r="J121">
        <v>3.6616650379971902E-2</v>
      </c>
      <c r="K121" t="s">
        <v>14</v>
      </c>
      <c r="P121" t="s">
        <v>15</v>
      </c>
      <c r="Q121" t="s">
        <v>341</v>
      </c>
      <c r="R121" t="s">
        <v>90</v>
      </c>
      <c r="S121" t="s">
        <v>17</v>
      </c>
      <c r="U121" t="s">
        <v>15</v>
      </c>
      <c r="V121" t="s">
        <v>342</v>
      </c>
      <c r="W121" t="s">
        <v>51</v>
      </c>
      <c r="X121" t="s">
        <v>19</v>
      </c>
    </row>
    <row r="122" spans="8:24" x14ac:dyDescent="0.45">
      <c r="H122" t="s">
        <v>175</v>
      </c>
      <c r="I122" t="s">
        <v>27</v>
      </c>
      <c r="J122">
        <v>3.6616650379971902E-2</v>
      </c>
      <c r="K122" t="s">
        <v>14</v>
      </c>
      <c r="P122" t="s">
        <v>15</v>
      </c>
      <c r="Q122" t="s">
        <v>343</v>
      </c>
      <c r="R122" t="s">
        <v>93</v>
      </c>
      <c r="S122" t="s">
        <v>17</v>
      </c>
      <c r="U122" t="s">
        <v>15</v>
      </c>
      <c r="V122" t="s">
        <v>344</v>
      </c>
      <c r="W122" t="s">
        <v>51</v>
      </c>
      <c r="X122" t="s">
        <v>19</v>
      </c>
    </row>
    <row r="123" spans="8:24" x14ac:dyDescent="0.45">
      <c r="H123" t="s">
        <v>175</v>
      </c>
      <c r="I123" t="s">
        <v>36</v>
      </c>
      <c r="J123">
        <v>3.6616650379971902E-2</v>
      </c>
      <c r="K123" t="s">
        <v>14</v>
      </c>
      <c r="P123" t="s">
        <v>15</v>
      </c>
      <c r="Q123" t="s">
        <v>345</v>
      </c>
      <c r="R123" t="s">
        <v>97</v>
      </c>
      <c r="S123" t="s">
        <v>17</v>
      </c>
      <c r="U123" t="s">
        <v>15</v>
      </c>
      <c r="V123" t="s">
        <v>346</v>
      </c>
      <c r="W123" t="s">
        <v>51</v>
      </c>
      <c r="X123" t="s">
        <v>19</v>
      </c>
    </row>
    <row r="124" spans="8:24" x14ac:dyDescent="0.45">
      <c r="H124" t="s">
        <v>178</v>
      </c>
      <c r="I124" t="s">
        <v>13</v>
      </c>
      <c r="J124">
        <v>1.1576395628258719E-3</v>
      </c>
      <c r="K124" t="s">
        <v>14</v>
      </c>
      <c r="P124" t="s">
        <v>15</v>
      </c>
      <c r="Q124" t="s">
        <v>347</v>
      </c>
      <c r="R124" t="s">
        <v>101</v>
      </c>
      <c r="S124" t="s">
        <v>17</v>
      </c>
      <c r="U124" t="s">
        <v>15</v>
      </c>
      <c r="V124" t="s">
        <v>348</v>
      </c>
      <c r="W124" t="s">
        <v>51</v>
      </c>
      <c r="X124" t="s">
        <v>19</v>
      </c>
    </row>
    <row r="125" spans="8:24" x14ac:dyDescent="0.45">
      <c r="H125" t="s">
        <v>178</v>
      </c>
      <c r="I125" t="s">
        <v>27</v>
      </c>
      <c r="J125">
        <v>1.1576395628258719E-3</v>
      </c>
      <c r="K125" t="s">
        <v>14</v>
      </c>
      <c r="P125" t="s">
        <v>15</v>
      </c>
      <c r="Q125" t="s">
        <v>349</v>
      </c>
      <c r="R125" t="s">
        <v>105</v>
      </c>
      <c r="S125" t="s">
        <v>17</v>
      </c>
      <c r="U125" t="s">
        <v>15</v>
      </c>
      <c r="V125" t="s">
        <v>348</v>
      </c>
      <c r="W125" t="s">
        <v>350</v>
      </c>
      <c r="X125" t="s">
        <v>19</v>
      </c>
    </row>
    <row r="126" spans="8:24" x14ac:dyDescent="0.45">
      <c r="H126" t="s">
        <v>178</v>
      </c>
      <c r="I126" t="s">
        <v>36</v>
      </c>
      <c r="J126">
        <v>1.1576395628258719E-3</v>
      </c>
      <c r="K126" t="s">
        <v>14</v>
      </c>
      <c r="P126" t="s">
        <v>15</v>
      </c>
      <c r="Q126" t="s">
        <v>351</v>
      </c>
      <c r="R126" t="s">
        <v>108</v>
      </c>
      <c r="S126" t="s">
        <v>17</v>
      </c>
      <c r="U126" t="s">
        <v>15</v>
      </c>
      <c r="V126" t="s">
        <v>352</v>
      </c>
      <c r="W126" t="s">
        <v>51</v>
      </c>
      <c r="X126" t="s">
        <v>19</v>
      </c>
    </row>
    <row r="127" spans="8:24" x14ac:dyDescent="0.45">
      <c r="H127" t="s">
        <v>181</v>
      </c>
      <c r="I127" t="s">
        <v>13</v>
      </c>
      <c r="J127">
        <v>5.3675624714884336E-3</v>
      </c>
      <c r="K127" t="s">
        <v>14</v>
      </c>
      <c r="P127" t="s">
        <v>15</v>
      </c>
      <c r="Q127" t="s">
        <v>353</v>
      </c>
      <c r="R127" t="s">
        <v>112</v>
      </c>
      <c r="S127" t="s">
        <v>17</v>
      </c>
      <c r="U127" t="s">
        <v>15</v>
      </c>
      <c r="V127" t="s">
        <v>352</v>
      </c>
      <c r="W127" t="s">
        <v>350</v>
      </c>
      <c r="X127" t="s">
        <v>19</v>
      </c>
    </row>
    <row r="128" spans="8:24" x14ac:dyDescent="0.45">
      <c r="H128" t="s">
        <v>181</v>
      </c>
      <c r="I128" t="s">
        <v>27</v>
      </c>
      <c r="J128">
        <v>5.3675624714884336E-3</v>
      </c>
      <c r="K128" t="s">
        <v>14</v>
      </c>
      <c r="P128" t="s">
        <v>15</v>
      </c>
      <c r="Q128" t="s">
        <v>354</v>
      </c>
      <c r="R128" t="s">
        <v>115</v>
      </c>
      <c r="S128" t="s">
        <v>17</v>
      </c>
      <c r="U128" t="s">
        <v>15</v>
      </c>
      <c r="V128" t="s">
        <v>355</v>
      </c>
      <c r="W128" t="s">
        <v>51</v>
      </c>
      <c r="X128" t="s">
        <v>19</v>
      </c>
    </row>
    <row r="129" spans="8:24" x14ac:dyDescent="0.45">
      <c r="H129" t="s">
        <v>181</v>
      </c>
      <c r="I129" t="s">
        <v>36</v>
      </c>
      <c r="J129">
        <v>5.3675624714884336E-3</v>
      </c>
      <c r="K129" t="s">
        <v>14</v>
      </c>
      <c r="P129" t="s">
        <v>15</v>
      </c>
      <c r="Q129" t="s">
        <v>356</v>
      </c>
      <c r="R129" t="s">
        <v>119</v>
      </c>
      <c r="S129" t="s">
        <v>17</v>
      </c>
      <c r="U129" t="s">
        <v>15</v>
      </c>
      <c r="V129" t="s">
        <v>355</v>
      </c>
      <c r="W129" t="s">
        <v>350</v>
      </c>
      <c r="X129" t="s">
        <v>19</v>
      </c>
    </row>
    <row r="130" spans="8:24" x14ac:dyDescent="0.45">
      <c r="H130" t="s">
        <v>183</v>
      </c>
      <c r="I130" t="s">
        <v>13</v>
      </c>
      <c r="J130">
        <v>5.0867550511116914E-3</v>
      </c>
      <c r="K130" t="s">
        <v>14</v>
      </c>
      <c r="P130" t="s">
        <v>15</v>
      </c>
      <c r="Q130" t="s">
        <v>357</v>
      </c>
      <c r="R130" t="s">
        <v>123</v>
      </c>
      <c r="S130" t="s">
        <v>17</v>
      </c>
      <c r="U130" t="s">
        <v>15</v>
      </c>
      <c r="V130" t="s">
        <v>358</v>
      </c>
      <c r="W130" t="s">
        <v>350</v>
      </c>
      <c r="X130" t="s">
        <v>19</v>
      </c>
    </row>
    <row r="131" spans="8:24" x14ac:dyDescent="0.45">
      <c r="H131" t="s">
        <v>183</v>
      </c>
      <c r="I131" t="s">
        <v>27</v>
      </c>
      <c r="J131">
        <v>5.0867550511116914E-3</v>
      </c>
      <c r="K131" t="s">
        <v>14</v>
      </c>
      <c r="P131" t="s">
        <v>15</v>
      </c>
      <c r="Q131" t="s">
        <v>359</v>
      </c>
      <c r="R131" t="s">
        <v>127</v>
      </c>
      <c r="S131" t="s">
        <v>17</v>
      </c>
      <c r="U131" t="s">
        <v>15</v>
      </c>
      <c r="V131" t="s">
        <v>360</v>
      </c>
      <c r="W131" t="s">
        <v>350</v>
      </c>
      <c r="X131" t="s">
        <v>19</v>
      </c>
    </row>
    <row r="132" spans="8:24" x14ac:dyDescent="0.45">
      <c r="H132" t="s">
        <v>183</v>
      </c>
      <c r="I132" t="s">
        <v>36</v>
      </c>
      <c r="J132">
        <v>5.0867550511116914E-3</v>
      </c>
      <c r="K132" t="s">
        <v>14</v>
      </c>
      <c r="P132" t="s">
        <v>15</v>
      </c>
      <c r="Q132" t="s">
        <v>361</v>
      </c>
      <c r="R132" t="s">
        <v>131</v>
      </c>
      <c r="S132" t="s">
        <v>17</v>
      </c>
      <c r="U132" t="s">
        <v>15</v>
      </c>
      <c r="V132" t="s">
        <v>362</v>
      </c>
      <c r="W132" t="s">
        <v>350</v>
      </c>
      <c r="X132" t="s">
        <v>19</v>
      </c>
    </row>
    <row r="133" spans="8:24" x14ac:dyDescent="0.45">
      <c r="H133" t="s">
        <v>186</v>
      </c>
      <c r="I133" t="s">
        <v>13</v>
      </c>
      <c r="J133">
        <v>2.5522936781708799E-3</v>
      </c>
      <c r="K133" t="s">
        <v>14</v>
      </c>
      <c r="P133" t="s">
        <v>15</v>
      </c>
      <c r="Q133" t="s">
        <v>363</v>
      </c>
      <c r="R133" t="s">
        <v>135</v>
      </c>
      <c r="S133" t="s">
        <v>17</v>
      </c>
      <c r="U133" t="s">
        <v>15</v>
      </c>
      <c r="V133" t="s">
        <v>362</v>
      </c>
      <c r="W133" t="s">
        <v>51</v>
      </c>
      <c r="X133" t="s">
        <v>17</v>
      </c>
    </row>
    <row r="134" spans="8:24" x14ac:dyDescent="0.45">
      <c r="H134" t="s">
        <v>186</v>
      </c>
      <c r="I134" t="s">
        <v>27</v>
      </c>
      <c r="J134">
        <v>2.5522936781708799E-3</v>
      </c>
      <c r="K134" t="s">
        <v>14</v>
      </c>
      <c r="P134" t="s">
        <v>15</v>
      </c>
      <c r="Q134" t="s">
        <v>364</v>
      </c>
      <c r="R134" t="s">
        <v>139</v>
      </c>
      <c r="S134" t="s">
        <v>17</v>
      </c>
      <c r="U134" t="s">
        <v>15</v>
      </c>
      <c r="V134" t="s">
        <v>365</v>
      </c>
      <c r="W134" t="s">
        <v>350</v>
      </c>
      <c r="X134" t="s">
        <v>19</v>
      </c>
    </row>
    <row r="135" spans="8:24" x14ac:dyDescent="0.45">
      <c r="H135" t="s">
        <v>186</v>
      </c>
      <c r="I135" t="s">
        <v>36</v>
      </c>
      <c r="J135">
        <v>2.5522936781708799E-3</v>
      </c>
      <c r="K135" t="s">
        <v>14</v>
      </c>
      <c r="P135" t="s">
        <v>15</v>
      </c>
      <c r="Q135" t="s">
        <v>366</v>
      </c>
      <c r="R135" t="s">
        <v>143</v>
      </c>
      <c r="S135" t="s">
        <v>17</v>
      </c>
      <c r="U135" t="s">
        <v>15</v>
      </c>
      <c r="V135" t="s">
        <v>365</v>
      </c>
      <c r="W135" t="s">
        <v>51</v>
      </c>
      <c r="X135" t="s">
        <v>17</v>
      </c>
    </row>
    <row r="136" spans="8:24" x14ac:dyDescent="0.45">
      <c r="H136" t="s">
        <v>188</v>
      </c>
      <c r="I136" t="s">
        <v>13</v>
      </c>
      <c r="J136">
        <v>3.3434873282738062E-3</v>
      </c>
      <c r="K136" t="s">
        <v>14</v>
      </c>
      <c r="P136" t="s">
        <v>15</v>
      </c>
      <c r="Q136" t="s">
        <v>367</v>
      </c>
      <c r="R136" t="s">
        <v>147</v>
      </c>
      <c r="S136" t="s">
        <v>17</v>
      </c>
      <c r="U136" t="s">
        <v>15</v>
      </c>
      <c r="V136" t="s">
        <v>368</v>
      </c>
      <c r="W136" t="s">
        <v>55</v>
      </c>
      <c r="X136" t="s">
        <v>19</v>
      </c>
    </row>
    <row r="137" spans="8:24" x14ac:dyDescent="0.45">
      <c r="H137" t="s">
        <v>188</v>
      </c>
      <c r="I137" t="s">
        <v>27</v>
      </c>
      <c r="J137">
        <v>3.3434873282738062E-3</v>
      </c>
      <c r="K137" t="s">
        <v>14</v>
      </c>
      <c r="P137" t="s">
        <v>15</v>
      </c>
      <c r="Q137" t="s">
        <v>369</v>
      </c>
      <c r="R137" t="s">
        <v>151</v>
      </c>
      <c r="S137" t="s">
        <v>17</v>
      </c>
      <c r="U137" t="s">
        <v>15</v>
      </c>
      <c r="V137" t="s">
        <v>370</v>
      </c>
      <c r="W137" t="s">
        <v>55</v>
      </c>
      <c r="X137" t="s">
        <v>19</v>
      </c>
    </row>
    <row r="138" spans="8:24" x14ac:dyDescent="0.45">
      <c r="H138" t="s">
        <v>188</v>
      </c>
      <c r="I138" t="s">
        <v>36</v>
      </c>
      <c r="J138">
        <v>3.3434873282738062E-3</v>
      </c>
      <c r="K138" t="s">
        <v>14</v>
      </c>
      <c r="P138" t="s">
        <v>15</v>
      </c>
      <c r="Q138" t="s">
        <v>371</v>
      </c>
      <c r="R138" t="s">
        <v>155</v>
      </c>
      <c r="S138" t="s">
        <v>17</v>
      </c>
      <c r="U138" t="s">
        <v>15</v>
      </c>
      <c r="V138" t="s">
        <v>372</v>
      </c>
      <c r="W138" t="s">
        <v>55</v>
      </c>
      <c r="X138" t="s">
        <v>19</v>
      </c>
    </row>
    <row r="139" spans="8:24" x14ac:dyDescent="0.45">
      <c r="H139" t="s">
        <v>191</v>
      </c>
      <c r="I139" t="s">
        <v>13</v>
      </c>
      <c r="J139">
        <v>9.2829288495468263E-3</v>
      </c>
      <c r="K139" t="s">
        <v>14</v>
      </c>
      <c r="P139" t="s">
        <v>15</v>
      </c>
      <c r="Q139" t="s">
        <v>373</v>
      </c>
      <c r="R139" t="s">
        <v>159</v>
      </c>
      <c r="S139" t="s">
        <v>17</v>
      </c>
      <c r="U139" t="s">
        <v>15</v>
      </c>
      <c r="V139" t="s">
        <v>374</v>
      </c>
      <c r="W139" t="s">
        <v>55</v>
      </c>
      <c r="X139" t="s">
        <v>19</v>
      </c>
    </row>
    <row r="140" spans="8:24" x14ac:dyDescent="0.45">
      <c r="H140" t="s">
        <v>191</v>
      </c>
      <c r="I140" t="s">
        <v>27</v>
      </c>
      <c r="J140">
        <v>9.2829288495468263E-3</v>
      </c>
      <c r="K140" t="s">
        <v>14</v>
      </c>
      <c r="P140" t="s">
        <v>15</v>
      </c>
      <c r="Q140" t="s">
        <v>375</v>
      </c>
      <c r="R140" t="s">
        <v>376</v>
      </c>
      <c r="S140" t="s">
        <v>17</v>
      </c>
      <c r="U140" t="s">
        <v>15</v>
      </c>
      <c r="V140" t="s">
        <v>377</v>
      </c>
      <c r="W140" t="s">
        <v>55</v>
      </c>
      <c r="X140" t="s">
        <v>19</v>
      </c>
    </row>
    <row r="141" spans="8:24" x14ac:dyDescent="0.45">
      <c r="H141" t="s">
        <v>191</v>
      </c>
      <c r="I141" t="s">
        <v>36</v>
      </c>
      <c r="J141">
        <v>9.2829288495468263E-3</v>
      </c>
      <c r="K141" t="s">
        <v>14</v>
      </c>
      <c r="P141" t="s">
        <v>15</v>
      </c>
      <c r="Q141" t="s">
        <v>378</v>
      </c>
      <c r="R141" t="s">
        <v>379</v>
      </c>
      <c r="S141" t="s">
        <v>17</v>
      </c>
      <c r="U141" t="s">
        <v>15</v>
      </c>
      <c r="V141" t="s">
        <v>380</v>
      </c>
      <c r="W141" t="s">
        <v>55</v>
      </c>
      <c r="X141" t="s">
        <v>19</v>
      </c>
    </row>
    <row r="142" spans="8:24" x14ac:dyDescent="0.45">
      <c r="H142" t="s">
        <v>194</v>
      </c>
      <c r="I142" t="s">
        <v>13</v>
      </c>
      <c r="J142">
        <v>4.0721481264519585E-3</v>
      </c>
      <c r="K142" t="s">
        <v>14</v>
      </c>
      <c r="P142" t="s">
        <v>15</v>
      </c>
      <c r="Q142" t="s">
        <v>381</v>
      </c>
      <c r="R142" t="s">
        <v>382</v>
      </c>
      <c r="S142" t="s">
        <v>17</v>
      </c>
      <c r="U142" t="s">
        <v>15</v>
      </c>
      <c r="V142" t="s">
        <v>383</v>
      </c>
      <c r="W142" t="s">
        <v>55</v>
      </c>
      <c r="X142" t="s">
        <v>19</v>
      </c>
    </row>
    <row r="143" spans="8:24" x14ac:dyDescent="0.45">
      <c r="H143" t="s">
        <v>194</v>
      </c>
      <c r="I143" t="s">
        <v>27</v>
      </c>
      <c r="J143">
        <v>4.0721481264519585E-3</v>
      </c>
      <c r="K143" t="s">
        <v>14</v>
      </c>
      <c r="P143" t="s">
        <v>15</v>
      </c>
      <c r="Q143" t="s">
        <v>384</v>
      </c>
      <c r="R143" t="s">
        <v>385</v>
      </c>
      <c r="S143" t="s">
        <v>17</v>
      </c>
      <c r="U143" t="s">
        <v>15</v>
      </c>
      <c r="V143" t="s">
        <v>386</v>
      </c>
      <c r="W143" t="s">
        <v>55</v>
      </c>
      <c r="X143" t="s">
        <v>19</v>
      </c>
    </row>
    <row r="144" spans="8:24" x14ac:dyDescent="0.45">
      <c r="H144" t="s">
        <v>194</v>
      </c>
      <c r="I144" t="s">
        <v>36</v>
      </c>
      <c r="J144">
        <v>4.0721481264519585E-3</v>
      </c>
      <c r="K144" t="s">
        <v>14</v>
      </c>
      <c r="P144" t="s">
        <v>15</v>
      </c>
      <c r="Q144" t="s">
        <v>387</v>
      </c>
      <c r="R144" t="s">
        <v>388</v>
      </c>
      <c r="S144" t="s">
        <v>17</v>
      </c>
      <c r="U144" t="s">
        <v>15</v>
      </c>
      <c r="V144" t="s">
        <v>389</v>
      </c>
      <c r="W144" t="s">
        <v>55</v>
      </c>
      <c r="X144" t="s">
        <v>19</v>
      </c>
    </row>
    <row r="145" spans="8:24" x14ac:dyDescent="0.45">
      <c r="H145" t="s">
        <v>197</v>
      </c>
      <c r="I145" t="s">
        <v>13</v>
      </c>
      <c r="J145">
        <v>1.2515662450557463E-2</v>
      </c>
      <c r="K145" t="s">
        <v>14</v>
      </c>
      <c r="P145" t="s">
        <v>15</v>
      </c>
      <c r="Q145" t="s">
        <v>390</v>
      </c>
      <c r="R145" t="s">
        <v>76</v>
      </c>
      <c r="S145" t="s">
        <v>17</v>
      </c>
      <c r="U145" t="s">
        <v>15</v>
      </c>
      <c r="V145" t="s">
        <v>391</v>
      </c>
      <c r="W145" t="s">
        <v>55</v>
      </c>
      <c r="X145" t="s">
        <v>19</v>
      </c>
    </row>
    <row r="146" spans="8:24" x14ac:dyDescent="0.45">
      <c r="H146" t="s">
        <v>197</v>
      </c>
      <c r="I146" t="s">
        <v>27</v>
      </c>
      <c r="J146">
        <v>1.2515662450557463E-2</v>
      </c>
      <c r="K146" t="s">
        <v>14</v>
      </c>
      <c r="P146" t="s">
        <v>15</v>
      </c>
      <c r="Q146" t="s">
        <v>392</v>
      </c>
      <c r="R146" t="s">
        <v>393</v>
      </c>
      <c r="S146" t="s">
        <v>17</v>
      </c>
      <c r="U146" t="s">
        <v>15</v>
      </c>
      <c r="V146" t="s">
        <v>394</v>
      </c>
      <c r="W146" t="s">
        <v>55</v>
      </c>
      <c r="X146" t="s">
        <v>19</v>
      </c>
    </row>
    <row r="147" spans="8:24" x14ac:dyDescent="0.45">
      <c r="H147" t="s">
        <v>197</v>
      </c>
      <c r="I147" t="s">
        <v>36</v>
      </c>
      <c r="J147">
        <v>1.2515662450557463E-2</v>
      </c>
      <c r="K147" t="s">
        <v>14</v>
      </c>
      <c r="P147" t="s">
        <v>15</v>
      </c>
      <c r="Q147" t="s">
        <v>395</v>
      </c>
      <c r="R147" t="s">
        <v>396</v>
      </c>
      <c r="S147" t="s">
        <v>17</v>
      </c>
      <c r="U147" t="s">
        <v>15</v>
      </c>
      <c r="V147" t="s">
        <v>394</v>
      </c>
      <c r="W147" t="s">
        <v>397</v>
      </c>
      <c r="X147" t="s">
        <v>19</v>
      </c>
    </row>
    <row r="148" spans="8:24" x14ac:dyDescent="0.45">
      <c r="H148" t="s">
        <v>200</v>
      </c>
      <c r="I148" t="s">
        <v>13</v>
      </c>
      <c r="J148">
        <v>5.1163821716811303E-3</v>
      </c>
      <c r="K148" t="s">
        <v>14</v>
      </c>
      <c r="P148" t="s">
        <v>15</v>
      </c>
      <c r="Q148" t="s">
        <v>398</v>
      </c>
      <c r="R148" t="s">
        <v>399</v>
      </c>
      <c r="S148" t="s">
        <v>17</v>
      </c>
      <c r="U148" t="s">
        <v>15</v>
      </c>
      <c r="V148" t="s">
        <v>400</v>
      </c>
      <c r="W148" t="s">
        <v>55</v>
      </c>
      <c r="X148" t="s">
        <v>19</v>
      </c>
    </row>
    <row r="149" spans="8:24" x14ac:dyDescent="0.45">
      <c r="H149" t="s">
        <v>200</v>
      </c>
      <c r="I149" t="s">
        <v>27</v>
      </c>
      <c r="J149">
        <v>5.1163821716811303E-3</v>
      </c>
      <c r="K149" t="s">
        <v>14</v>
      </c>
      <c r="P149" t="s">
        <v>15</v>
      </c>
      <c r="Q149" t="s">
        <v>401</v>
      </c>
      <c r="R149" t="s">
        <v>402</v>
      </c>
      <c r="S149" t="s">
        <v>17</v>
      </c>
      <c r="U149" t="s">
        <v>15</v>
      </c>
      <c r="V149" t="s">
        <v>400</v>
      </c>
      <c r="W149" t="s">
        <v>397</v>
      </c>
      <c r="X149" t="s">
        <v>19</v>
      </c>
    </row>
    <row r="150" spans="8:24" x14ac:dyDescent="0.45">
      <c r="H150" t="s">
        <v>200</v>
      </c>
      <c r="I150" t="s">
        <v>36</v>
      </c>
      <c r="J150">
        <v>5.1163821716811303E-3</v>
      </c>
      <c r="K150" t="s">
        <v>14</v>
      </c>
      <c r="P150" t="s">
        <v>15</v>
      </c>
      <c r="Q150" t="s">
        <v>403</v>
      </c>
      <c r="R150" t="s">
        <v>270</v>
      </c>
      <c r="S150" t="s">
        <v>17</v>
      </c>
      <c r="U150" t="s">
        <v>15</v>
      </c>
      <c r="V150" t="s">
        <v>404</v>
      </c>
      <c r="W150" t="s">
        <v>55</v>
      </c>
      <c r="X150" t="s">
        <v>19</v>
      </c>
    </row>
    <row r="151" spans="8:24" x14ac:dyDescent="0.45">
      <c r="H151" t="s">
        <v>203</v>
      </c>
      <c r="I151" t="s">
        <v>13</v>
      </c>
      <c r="J151">
        <v>9.8369424079460237E-3</v>
      </c>
      <c r="K151" t="s">
        <v>14</v>
      </c>
      <c r="P151" t="s">
        <v>15</v>
      </c>
      <c r="Q151" t="s">
        <v>405</v>
      </c>
      <c r="R151" t="s">
        <v>406</v>
      </c>
      <c r="S151" t="s">
        <v>17</v>
      </c>
      <c r="U151" t="s">
        <v>15</v>
      </c>
      <c r="V151" t="s">
        <v>404</v>
      </c>
      <c r="W151" t="s">
        <v>397</v>
      </c>
      <c r="X151" t="s">
        <v>19</v>
      </c>
    </row>
    <row r="152" spans="8:24" x14ac:dyDescent="0.45">
      <c r="H152" t="s">
        <v>203</v>
      </c>
      <c r="I152" t="s">
        <v>27</v>
      </c>
      <c r="J152">
        <v>9.8369424079460237E-3</v>
      </c>
      <c r="K152" t="s">
        <v>14</v>
      </c>
      <c r="P152" t="s">
        <v>15</v>
      </c>
      <c r="Q152" t="s">
        <v>407</v>
      </c>
      <c r="R152" t="s">
        <v>408</v>
      </c>
      <c r="S152" t="s">
        <v>17</v>
      </c>
      <c r="U152" t="s">
        <v>15</v>
      </c>
      <c r="V152" t="s">
        <v>409</v>
      </c>
      <c r="W152" t="s">
        <v>397</v>
      </c>
      <c r="X152" t="s">
        <v>19</v>
      </c>
    </row>
    <row r="153" spans="8:24" x14ac:dyDescent="0.45">
      <c r="H153" t="s">
        <v>203</v>
      </c>
      <c r="I153" t="s">
        <v>36</v>
      </c>
      <c r="J153">
        <v>9.8369424079460237E-3</v>
      </c>
      <c r="K153" t="s">
        <v>14</v>
      </c>
      <c r="P153" t="s">
        <v>15</v>
      </c>
      <c r="Q153" t="s">
        <v>410</v>
      </c>
      <c r="R153" t="s">
        <v>411</v>
      </c>
      <c r="S153" t="s">
        <v>17</v>
      </c>
      <c r="U153" t="s">
        <v>15</v>
      </c>
      <c r="V153" t="s">
        <v>412</v>
      </c>
      <c r="W153" t="s">
        <v>397</v>
      </c>
      <c r="X153" t="s">
        <v>19</v>
      </c>
    </row>
    <row r="154" spans="8:24" x14ac:dyDescent="0.45">
      <c r="H154" t="s">
        <v>206</v>
      </c>
      <c r="I154" t="s">
        <v>13</v>
      </c>
      <c r="J154">
        <v>3.626041548450244E-3</v>
      </c>
      <c r="K154" t="s">
        <v>14</v>
      </c>
      <c r="P154" t="s">
        <v>15</v>
      </c>
      <c r="Q154" t="s">
        <v>413</v>
      </c>
      <c r="R154" t="s">
        <v>414</v>
      </c>
      <c r="S154" t="s">
        <v>17</v>
      </c>
      <c r="U154" t="s">
        <v>15</v>
      </c>
      <c r="V154" t="s">
        <v>415</v>
      </c>
      <c r="W154" t="s">
        <v>397</v>
      </c>
      <c r="X154" t="s">
        <v>19</v>
      </c>
    </row>
    <row r="155" spans="8:24" x14ac:dyDescent="0.45">
      <c r="H155" t="s">
        <v>206</v>
      </c>
      <c r="I155" t="s">
        <v>27</v>
      </c>
      <c r="J155">
        <v>3.626041548450244E-3</v>
      </c>
      <c r="K155" t="s">
        <v>14</v>
      </c>
      <c r="P155" t="s">
        <v>15</v>
      </c>
      <c r="Q155" t="s">
        <v>416</v>
      </c>
      <c r="R155" t="s">
        <v>160</v>
      </c>
      <c r="S155" t="s">
        <v>17</v>
      </c>
      <c r="U155" t="s">
        <v>15</v>
      </c>
      <c r="V155" t="s">
        <v>415</v>
      </c>
      <c r="W155" t="s">
        <v>55</v>
      </c>
      <c r="X155" t="s">
        <v>17</v>
      </c>
    </row>
    <row r="156" spans="8:24" x14ac:dyDescent="0.45">
      <c r="H156" t="s">
        <v>206</v>
      </c>
      <c r="I156" t="s">
        <v>36</v>
      </c>
      <c r="J156">
        <v>3.626041548450244E-3</v>
      </c>
      <c r="K156" t="s">
        <v>14</v>
      </c>
      <c r="P156" t="s">
        <v>15</v>
      </c>
      <c r="Q156" t="s">
        <v>417</v>
      </c>
      <c r="R156" t="s">
        <v>418</v>
      </c>
      <c r="S156" t="s">
        <v>17</v>
      </c>
      <c r="U156" t="s">
        <v>15</v>
      </c>
      <c r="V156" t="s">
        <v>419</v>
      </c>
      <c r="W156" t="s">
        <v>397</v>
      </c>
      <c r="X156" t="s">
        <v>19</v>
      </c>
    </row>
    <row r="157" spans="8:24" x14ac:dyDescent="0.45">
      <c r="H157" t="s">
        <v>209</v>
      </c>
      <c r="I157" t="s">
        <v>13</v>
      </c>
      <c r="J157">
        <v>5.5571731029676677E-3</v>
      </c>
      <c r="K157" t="s">
        <v>14</v>
      </c>
      <c r="P157" t="s">
        <v>15</v>
      </c>
      <c r="Q157" t="s">
        <v>420</v>
      </c>
      <c r="R157" t="s">
        <v>421</v>
      </c>
      <c r="S157" t="s">
        <v>17</v>
      </c>
      <c r="U157" t="s">
        <v>15</v>
      </c>
      <c r="V157" t="s">
        <v>419</v>
      </c>
      <c r="W157" t="s">
        <v>55</v>
      </c>
      <c r="X157" t="s">
        <v>17</v>
      </c>
    </row>
    <row r="158" spans="8:24" x14ac:dyDescent="0.45">
      <c r="H158" t="s">
        <v>209</v>
      </c>
      <c r="I158" t="s">
        <v>27</v>
      </c>
      <c r="J158">
        <v>5.5571731029676677E-3</v>
      </c>
      <c r="K158" t="s">
        <v>14</v>
      </c>
      <c r="P158" t="s">
        <v>15</v>
      </c>
      <c r="Q158" t="s">
        <v>422</v>
      </c>
      <c r="R158" t="s">
        <v>423</v>
      </c>
      <c r="S158" t="s">
        <v>17</v>
      </c>
      <c r="U158" t="s">
        <v>15</v>
      </c>
      <c r="V158" t="s">
        <v>424</v>
      </c>
      <c r="W158" t="s">
        <v>59</v>
      </c>
      <c r="X158" t="s">
        <v>19</v>
      </c>
    </row>
    <row r="159" spans="8:24" x14ac:dyDescent="0.45">
      <c r="H159" t="s">
        <v>209</v>
      </c>
      <c r="I159" t="s">
        <v>36</v>
      </c>
      <c r="J159">
        <v>5.5571731029676677E-3</v>
      </c>
      <c r="K159" t="s">
        <v>14</v>
      </c>
      <c r="P159" t="s">
        <v>15</v>
      </c>
      <c r="Q159" t="s">
        <v>425</v>
      </c>
      <c r="R159" t="s">
        <v>350</v>
      </c>
      <c r="S159" t="s">
        <v>17</v>
      </c>
      <c r="U159" t="s">
        <v>15</v>
      </c>
      <c r="V159" t="s">
        <v>426</v>
      </c>
      <c r="W159" t="s">
        <v>59</v>
      </c>
      <c r="X159" t="s">
        <v>19</v>
      </c>
    </row>
    <row r="160" spans="8:24" x14ac:dyDescent="0.45">
      <c r="H160" t="s">
        <v>212</v>
      </c>
      <c r="I160" t="s">
        <v>13</v>
      </c>
      <c r="J160">
        <v>2.9682584700861541E-3</v>
      </c>
      <c r="K160" t="s">
        <v>14</v>
      </c>
      <c r="P160" t="s">
        <v>15</v>
      </c>
      <c r="Q160" t="s">
        <v>427</v>
      </c>
      <c r="R160" t="s">
        <v>428</v>
      </c>
      <c r="S160" t="s">
        <v>17</v>
      </c>
      <c r="U160" t="s">
        <v>15</v>
      </c>
      <c r="V160" t="s">
        <v>429</v>
      </c>
      <c r="W160" t="s">
        <v>59</v>
      </c>
      <c r="X160" t="s">
        <v>19</v>
      </c>
    </row>
    <row r="161" spans="8:24" x14ac:dyDescent="0.45">
      <c r="H161" t="s">
        <v>212</v>
      </c>
      <c r="I161" t="s">
        <v>27</v>
      </c>
      <c r="J161">
        <v>2.9682584700861541E-3</v>
      </c>
      <c r="K161" t="s">
        <v>14</v>
      </c>
      <c r="U161" t="s">
        <v>15</v>
      </c>
      <c r="V161" t="s">
        <v>430</v>
      </c>
      <c r="W161" t="s">
        <v>59</v>
      </c>
      <c r="X161" t="s">
        <v>19</v>
      </c>
    </row>
    <row r="162" spans="8:24" x14ac:dyDescent="0.45">
      <c r="H162" t="s">
        <v>212</v>
      </c>
      <c r="I162" t="s">
        <v>36</v>
      </c>
      <c r="J162">
        <v>2.9682584700861541E-3</v>
      </c>
      <c r="K162" t="s">
        <v>14</v>
      </c>
      <c r="U162" t="s">
        <v>15</v>
      </c>
      <c r="V162" t="s">
        <v>431</v>
      </c>
      <c r="W162" t="s">
        <v>59</v>
      </c>
      <c r="X162" t="s">
        <v>19</v>
      </c>
    </row>
    <row r="163" spans="8:24" x14ac:dyDescent="0.45">
      <c r="H163" t="s">
        <v>215</v>
      </c>
      <c r="I163" t="s">
        <v>13</v>
      </c>
      <c r="J163">
        <v>0.24126655237657862</v>
      </c>
      <c r="K163" t="s">
        <v>14</v>
      </c>
      <c r="U163" t="s">
        <v>15</v>
      </c>
      <c r="V163" t="s">
        <v>432</v>
      </c>
      <c r="W163" t="s">
        <v>59</v>
      </c>
      <c r="X163" t="s">
        <v>19</v>
      </c>
    </row>
    <row r="164" spans="8:24" x14ac:dyDescent="0.45">
      <c r="H164" t="s">
        <v>215</v>
      </c>
      <c r="I164" t="s">
        <v>27</v>
      </c>
      <c r="J164">
        <v>0.24126655237657862</v>
      </c>
      <c r="K164" t="s">
        <v>14</v>
      </c>
      <c r="U164" t="s">
        <v>15</v>
      </c>
      <c r="V164" t="s">
        <v>433</v>
      </c>
      <c r="W164" t="s">
        <v>59</v>
      </c>
      <c r="X164" t="s">
        <v>19</v>
      </c>
    </row>
    <row r="165" spans="8:24" x14ac:dyDescent="0.45">
      <c r="H165" t="s">
        <v>215</v>
      </c>
      <c r="I165" t="s">
        <v>36</v>
      </c>
      <c r="J165">
        <v>0.24126655237657862</v>
      </c>
      <c r="K165" t="s">
        <v>14</v>
      </c>
      <c r="U165" t="s">
        <v>15</v>
      </c>
      <c r="V165" t="s">
        <v>434</v>
      </c>
      <c r="W165" t="s">
        <v>59</v>
      </c>
      <c r="X165" t="s">
        <v>19</v>
      </c>
    </row>
    <row r="166" spans="8:24" x14ac:dyDescent="0.45">
      <c r="H166" t="s">
        <v>218</v>
      </c>
      <c r="I166" t="s">
        <v>13</v>
      </c>
      <c r="J166">
        <v>4.7741348240542769E-2</v>
      </c>
      <c r="K166" t="s">
        <v>14</v>
      </c>
      <c r="U166" t="s">
        <v>15</v>
      </c>
      <c r="V166" t="s">
        <v>435</v>
      </c>
      <c r="W166" t="s">
        <v>59</v>
      </c>
      <c r="X166" t="s">
        <v>19</v>
      </c>
    </row>
    <row r="167" spans="8:24" x14ac:dyDescent="0.45">
      <c r="H167" t="s">
        <v>218</v>
      </c>
      <c r="I167" t="s">
        <v>27</v>
      </c>
      <c r="J167">
        <v>4.7741348240542769E-2</v>
      </c>
      <c r="K167" t="s">
        <v>14</v>
      </c>
      <c r="U167" t="s">
        <v>15</v>
      </c>
      <c r="V167" t="s">
        <v>436</v>
      </c>
      <c r="W167" t="s">
        <v>59</v>
      </c>
      <c r="X167" t="s">
        <v>19</v>
      </c>
    </row>
    <row r="168" spans="8:24" x14ac:dyDescent="0.45">
      <c r="H168" t="s">
        <v>218</v>
      </c>
      <c r="I168" t="s">
        <v>36</v>
      </c>
      <c r="J168">
        <v>4.7741348240542769E-2</v>
      </c>
      <c r="K168" t="s">
        <v>14</v>
      </c>
      <c r="U168" t="s">
        <v>15</v>
      </c>
      <c r="V168" t="s">
        <v>437</v>
      </c>
      <c r="W168" t="s">
        <v>59</v>
      </c>
      <c r="X168" t="s">
        <v>19</v>
      </c>
    </row>
    <row r="169" spans="8:24" x14ac:dyDescent="0.45">
      <c r="H169" t="s">
        <v>221</v>
      </c>
      <c r="I169" t="s">
        <v>13</v>
      </c>
      <c r="J169">
        <v>5.0558998273974101E-2</v>
      </c>
      <c r="K169" t="s">
        <v>14</v>
      </c>
      <c r="U169" t="s">
        <v>15</v>
      </c>
      <c r="V169" t="s">
        <v>437</v>
      </c>
      <c r="W169" t="s">
        <v>438</v>
      </c>
      <c r="X169" t="s">
        <v>19</v>
      </c>
    </row>
    <row r="170" spans="8:24" x14ac:dyDescent="0.45">
      <c r="H170" t="s">
        <v>221</v>
      </c>
      <c r="I170" t="s">
        <v>27</v>
      </c>
      <c r="J170">
        <v>5.0558998273974101E-2</v>
      </c>
      <c r="K170" t="s">
        <v>14</v>
      </c>
      <c r="U170" t="s">
        <v>15</v>
      </c>
      <c r="V170" t="s">
        <v>439</v>
      </c>
      <c r="W170" t="s">
        <v>59</v>
      </c>
      <c r="X170" t="s">
        <v>19</v>
      </c>
    </row>
    <row r="171" spans="8:24" x14ac:dyDescent="0.45">
      <c r="H171" t="s">
        <v>221</v>
      </c>
      <c r="I171" t="s">
        <v>36</v>
      </c>
      <c r="J171">
        <v>5.0558998273974101E-2</v>
      </c>
      <c r="K171" t="s">
        <v>14</v>
      </c>
      <c r="U171" t="s">
        <v>15</v>
      </c>
      <c r="V171" t="s">
        <v>439</v>
      </c>
      <c r="W171" t="s">
        <v>438</v>
      </c>
      <c r="X171" t="s">
        <v>19</v>
      </c>
    </row>
    <row r="172" spans="8:24" x14ac:dyDescent="0.45">
      <c r="H172" t="s">
        <v>224</v>
      </c>
      <c r="I172" t="s">
        <v>13</v>
      </c>
      <c r="J172">
        <v>1.0131390521420966E-2</v>
      </c>
      <c r="K172" t="s">
        <v>14</v>
      </c>
      <c r="U172" t="s">
        <v>15</v>
      </c>
      <c r="V172" t="s">
        <v>440</v>
      </c>
      <c r="W172" t="s">
        <v>59</v>
      </c>
      <c r="X172" t="s">
        <v>19</v>
      </c>
    </row>
    <row r="173" spans="8:24" x14ac:dyDescent="0.45">
      <c r="H173" t="s">
        <v>224</v>
      </c>
      <c r="I173" t="s">
        <v>27</v>
      </c>
      <c r="J173">
        <v>1.0131390521420966E-2</v>
      </c>
      <c r="K173" t="s">
        <v>14</v>
      </c>
      <c r="U173" t="s">
        <v>15</v>
      </c>
      <c r="V173" t="s">
        <v>440</v>
      </c>
      <c r="W173" t="s">
        <v>438</v>
      </c>
      <c r="X173" t="s">
        <v>19</v>
      </c>
    </row>
    <row r="174" spans="8:24" x14ac:dyDescent="0.45">
      <c r="H174" t="s">
        <v>224</v>
      </c>
      <c r="I174" t="s">
        <v>36</v>
      </c>
      <c r="J174">
        <v>1.0131390521420966E-2</v>
      </c>
      <c r="K174" t="s">
        <v>14</v>
      </c>
      <c r="U174" t="s">
        <v>15</v>
      </c>
      <c r="V174" t="s">
        <v>441</v>
      </c>
      <c r="W174" t="s">
        <v>438</v>
      </c>
      <c r="X174" t="s">
        <v>19</v>
      </c>
    </row>
    <row r="175" spans="8:24" x14ac:dyDescent="0.45">
      <c r="H175" t="s">
        <v>227</v>
      </c>
      <c r="I175" t="s">
        <v>13</v>
      </c>
      <c r="J175">
        <v>7.9990265077930466E-3</v>
      </c>
      <c r="K175" t="s">
        <v>14</v>
      </c>
      <c r="U175" t="s">
        <v>15</v>
      </c>
      <c r="V175" t="s">
        <v>442</v>
      </c>
      <c r="W175" t="s">
        <v>438</v>
      </c>
      <c r="X175" t="s">
        <v>19</v>
      </c>
    </row>
    <row r="176" spans="8:24" x14ac:dyDescent="0.45">
      <c r="H176" t="s">
        <v>227</v>
      </c>
      <c r="I176" t="s">
        <v>27</v>
      </c>
      <c r="J176">
        <v>7.9990265077930466E-3</v>
      </c>
      <c r="K176" t="s">
        <v>14</v>
      </c>
      <c r="U176" t="s">
        <v>15</v>
      </c>
      <c r="V176" t="s">
        <v>443</v>
      </c>
      <c r="W176" t="s">
        <v>438</v>
      </c>
      <c r="X176" t="s">
        <v>19</v>
      </c>
    </row>
    <row r="177" spans="8:24" x14ac:dyDescent="0.45">
      <c r="H177" t="s">
        <v>227</v>
      </c>
      <c r="I177" t="s">
        <v>36</v>
      </c>
      <c r="J177">
        <v>7.9990265077930466E-3</v>
      </c>
      <c r="K177" t="s">
        <v>14</v>
      </c>
      <c r="U177" t="s">
        <v>15</v>
      </c>
      <c r="V177" t="s">
        <v>443</v>
      </c>
      <c r="W177" t="s">
        <v>59</v>
      </c>
      <c r="X177" t="s">
        <v>17</v>
      </c>
    </row>
    <row r="178" spans="8:24" x14ac:dyDescent="0.45">
      <c r="H178" t="s">
        <v>229</v>
      </c>
      <c r="I178" t="s">
        <v>13</v>
      </c>
      <c r="J178">
        <v>5.9969581717619702E-3</v>
      </c>
      <c r="K178" t="s">
        <v>14</v>
      </c>
      <c r="U178" t="s">
        <v>15</v>
      </c>
      <c r="V178" t="s">
        <v>444</v>
      </c>
      <c r="W178" t="s">
        <v>438</v>
      </c>
      <c r="X178" t="s">
        <v>19</v>
      </c>
    </row>
    <row r="179" spans="8:24" x14ac:dyDescent="0.45">
      <c r="H179" t="s">
        <v>229</v>
      </c>
      <c r="I179" t="s">
        <v>27</v>
      </c>
      <c r="J179">
        <v>5.9969581717619702E-3</v>
      </c>
      <c r="K179" t="s">
        <v>14</v>
      </c>
      <c r="U179" t="s">
        <v>15</v>
      </c>
      <c r="V179" t="s">
        <v>444</v>
      </c>
      <c r="W179" t="s">
        <v>59</v>
      </c>
      <c r="X179" t="s">
        <v>17</v>
      </c>
    </row>
    <row r="180" spans="8:24" x14ac:dyDescent="0.45">
      <c r="H180" t="s">
        <v>229</v>
      </c>
      <c r="I180" t="s">
        <v>36</v>
      </c>
      <c r="J180">
        <v>5.9969581717619702E-3</v>
      </c>
      <c r="K180" t="s">
        <v>14</v>
      </c>
      <c r="U180" t="s">
        <v>15</v>
      </c>
      <c r="V180" t="s">
        <v>445</v>
      </c>
      <c r="W180" t="s">
        <v>63</v>
      </c>
      <c r="X180" t="s">
        <v>19</v>
      </c>
    </row>
    <row r="181" spans="8:24" x14ac:dyDescent="0.45">
      <c r="H181" t="s">
        <v>232</v>
      </c>
      <c r="I181" t="s">
        <v>13</v>
      </c>
      <c r="J181">
        <v>9.4500834159670817E-3</v>
      </c>
      <c r="K181" t="s">
        <v>14</v>
      </c>
      <c r="U181" t="s">
        <v>15</v>
      </c>
      <c r="V181" t="s">
        <v>446</v>
      </c>
      <c r="W181" t="s">
        <v>63</v>
      </c>
      <c r="X181" t="s">
        <v>19</v>
      </c>
    </row>
    <row r="182" spans="8:24" x14ac:dyDescent="0.45">
      <c r="H182" t="s">
        <v>232</v>
      </c>
      <c r="I182" t="s">
        <v>27</v>
      </c>
      <c r="J182">
        <v>9.4500834159670817E-3</v>
      </c>
      <c r="K182" t="s">
        <v>14</v>
      </c>
      <c r="U182" t="s">
        <v>15</v>
      </c>
      <c r="V182" t="s">
        <v>447</v>
      </c>
      <c r="W182" t="s">
        <v>63</v>
      </c>
      <c r="X182" t="s">
        <v>19</v>
      </c>
    </row>
    <row r="183" spans="8:24" x14ac:dyDescent="0.45">
      <c r="H183" t="s">
        <v>232</v>
      </c>
      <c r="I183" t="s">
        <v>36</v>
      </c>
      <c r="J183">
        <v>9.4500834159670817E-3</v>
      </c>
      <c r="K183" t="s">
        <v>14</v>
      </c>
      <c r="U183" t="s">
        <v>15</v>
      </c>
      <c r="V183" t="s">
        <v>448</v>
      </c>
      <c r="W183" t="s">
        <v>63</v>
      </c>
      <c r="X183" t="s">
        <v>19</v>
      </c>
    </row>
    <row r="184" spans="8:24" x14ac:dyDescent="0.45">
      <c r="H184" t="s">
        <v>234</v>
      </c>
      <c r="I184" t="s">
        <v>13</v>
      </c>
      <c r="J184">
        <v>9.0410425206741071E-3</v>
      </c>
      <c r="K184" t="s">
        <v>14</v>
      </c>
      <c r="U184" t="s">
        <v>15</v>
      </c>
      <c r="V184" t="s">
        <v>449</v>
      </c>
      <c r="W184" t="s">
        <v>63</v>
      </c>
      <c r="X184" t="s">
        <v>19</v>
      </c>
    </row>
    <row r="185" spans="8:24" x14ac:dyDescent="0.45">
      <c r="H185" t="s">
        <v>234</v>
      </c>
      <c r="I185" t="s">
        <v>27</v>
      </c>
      <c r="J185">
        <v>9.0410425206741071E-3</v>
      </c>
      <c r="K185" t="s">
        <v>14</v>
      </c>
      <c r="U185" t="s">
        <v>15</v>
      </c>
      <c r="V185" t="s">
        <v>450</v>
      </c>
      <c r="W185" t="s">
        <v>63</v>
      </c>
      <c r="X185" t="s">
        <v>19</v>
      </c>
    </row>
    <row r="186" spans="8:24" x14ac:dyDescent="0.45">
      <c r="H186" t="s">
        <v>234</v>
      </c>
      <c r="I186" t="s">
        <v>36</v>
      </c>
      <c r="J186">
        <v>9.0410425206741071E-3</v>
      </c>
      <c r="K186" t="s">
        <v>14</v>
      </c>
      <c r="U186" t="s">
        <v>15</v>
      </c>
      <c r="V186" t="s">
        <v>451</v>
      </c>
      <c r="W186" t="s">
        <v>63</v>
      </c>
      <c r="X186" t="s">
        <v>19</v>
      </c>
    </row>
    <row r="187" spans="8:24" x14ac:dyDescent="0.45">
      <c r="H187" t="s">
        <v>237</v>
      </c>
      <c r="I187" t="s">
        <v>13</v>
      </c>
      <c r="J187">
        <v>8.7984816269158061E-3</v>
      </c>
      <c r="K187" t="s">
        <v>14</v>
      </c>
      <c r="U187" t="s">
        <v>15</v>
      </c>
      <c r="V187" t="s">
        <v>452</v>
      </c>
      <c r="W187" t="s">
        <v>63</v>
      </c>
      <c r="X187" t="s">
        <v>19</v>
      </c>
    </row>
    <row r="188" spans="8:24" x14ac:dyDescent="0.45">
      <c r="H188" t="s">
        <v>237</v>
      </c>
      <c r="I188" t="s">
        <v>27</v>
      </c>
      <c r="J188">
        <v>8.7984816269158061E-3</v>
      </c>
      <c r="K188" t="s">
        <v>14</v>
      </c>
      <c r="U188" t="s">
        <v>15</v>
      </c>
      <c r="V188" t="s">
        <v>453</v>
      </c>
      <c r="W188" t="s">
        <v>63</v>
      </c>
      <c r="X188" t="s">
        <v>19</v>
      </c>
    </row>
    <row r="189" spans="8:24" x14ac:dyDescent="0.45">
      <c r="H189" t="s">
        <v>237</v>
      </c>
      <c r="I189" t="s">
        <v>36</v>
      </c>
      <c r="J189">
        <v>8.7984816269158061E-3</v>
      </c>
      <c r="K189" t="s">
        <v>14</v>
      </c>
      <c r="U189" t="s">
        <v>15</v>
      </c>
      <c r="V189" t="s">
        <v>454</v>
      </c>
      <c r="W189" t="s">
        <v>63</v>
      </c>
      <c r="X189" t="s">
        <v>19</v>
      </c>
    </row>
    <row r="190" spans="8:24" x14ac:dyDescent="0.45">
      <c r="H190" t="s">
        <v>240</v>
      </c>
      <c r="I190" t="s">
        <v>13</v>
      </c>
      <c r="J190">
        <v>0.26360423996440069</v>
      </c>
      <c r="K190" t="s">
        <v>14</v>
      </c>
      <c r="U190" t="s">
        <v>15</v>
      </c>
      <c r="V190" t="s">
        <v>455</v>
      </c>
      <c r="W190" t="s">
        <v>63</v>
      </c>
      <c r="X190" t="s">
        <v>19</v>
      </c>
    </row>
    <row r="191" spans="8:24" x14ac:dyDescent="0.45">
      <c r="H191" t="s">
        <v>240</v>
      </c>
      <c r="I191" t="s">
        <v>27</v>
      </c>
      <c r="J191">
        <v>0.26360423996440069</v>
      </c>
      <c r="K191" t="s">
        <v>14</v>
      </c>
      <c r="U191" t="s">
        <v>15</v>
      </c>
      <c r="V191" t="s">
        <v>455</v>
      </c>
      <c r="W191" t="s">
        <v>456</v>
      </c>
      <c r="X191" t="s">
        <v>19</v>
      </c>
    </row>
    <row r="192" spans="8:24" x14ac:dyDescent="0.45">
      <c r="H192" t="s">
        <v>240</v>
      </c>
      <c r="I192" t="s">
        <v>36</v>
      </c>
      <c r="J192">
        <v>0.26360423996440069</v>
      </c>
      <c r="K192" t="s">
        <v>14</v>
      </c>
      <c r="U192" t="s">
        <v>15</v>
      </c>
      <c r="V192" t="s">
        <v>457</v>
      </c>
      <c r="W192" t="s">
        <v>63</v>
      </c>
      <c r="X192" t="s">
        <v>19</v>
      </c>
    </row>
    <row r="193" spans="8:24" x14ac:dyDescent="0.45">
      <c r="H193" t="s">
        <v>243</v>
      </c>
      <c r="I193" t="s">
        <v>13</v>
      </c>
      <c r="J193">
        <v>9.4949341631152106E-3</v>
      </c>
      <c r="K193" t="s">
        <v>14</v>
      </c>
      <c r="U193" t="s">
        <v>15</v>
      </c>
      <c r="V193" t="s">
        <v>457</v>
      </c>
      <c r="W193" t="s">
        <v>456</v>
      </c>
      <c r="X193" t="s">
        <v>19</v>
      </c>
    </row>
    <row r="194" spans="8:24" x14ac:dyDescent="0.45">
      <c r="H194" t="s">
        <v>243</v>
      </c>
      <c r="I194" t="s">
        <v>27</v>
      </c>
      <c r="J194">
        <v>9.4949341631152106E-3</v>
      </c>
      <c r="K194" t="s">
        <v>14</v>
      </c>
      <c r="U194" t="s">
        <v>15</v>
      </c>
      <c r="V194" t="s">
        <v>458</v>
      </c>
      <c r="W194" t="s">
        <v>63</v>
      </c>
      <c r="X194" t="s">
        <v>19</v>
      </c>
    </row>
    <row r="195" spans="8:24" x14ac:dyDescent="0.45">
      <c r="H195" t="s">
        <v>243</v>
      </c>
      <c r="I195" t="s">
        <v>36</v>
      </c>
      <c r="J195">
        <v>9.4949341631152106E-3</v>
      </c>
      <c r="K195" t="s">
        <v>14</v>
      </c>
      <c r="U195" t="s">
        <v>15</v>
      </c>
      <c r="V195" t="s">
        <v>458</v>
      </c>
      <c r="W195" t="s">
        <v>456</v>
      </c>
      <c r="X195" t="s">
        <v>19</v>
      </c>
    </row>
    <row r="196" spans="8:24" x14ac:dyDescent="0.45">
      <c r="H196" t="s">
        <v>244</v>
      </c>
      <c r="I196" t="s">
        <v>13</v>
      </c>
      <c r="J196">
        <v>1.0710881285310375E-2</v>
      </c>
      <c r="K196" t="s">
        <v>14</v>
      </c>
      <c r="U196" t="s">
        <v>15</v>
      </c>
      <c r="V196" t="s">
        <v>459</v>
      </c>
      <c r="W196" t="s">
        <v>456</v>
      </c>
      <c r="X196" t="s">
        <v>19</v>
      </c>
    </row>
    <row r="197" spans="8:24" x14ac:dyDescent="0.45">
      <c r="H197" t="s">
        <v>244</v>
      </c>
      <c r="I197" t="s">
        <v>27</v>
      </c>
      <c r="J197">
        <v>1.0710881285310375E-2</v>
      </c>
      <c r="K197" t="s">
        <v>14</v>
      </c>
      <c r="U197" t="s">
        <v>15</v>
      </c>
      <c r="V197" t="s">
        <v>460</v>
      </c>
      <c r="W197" t="s">
        <v>456</v>
      </c>
      <c r="X197" t="s">
        <v>19</v>
      </c>
    </row>
    <row r="198" spans="8:24" x14ac:dyDescent="0.45">
      <c r="H198" t="s">
        <v>244</v>
      </c>
      <c r="I198" t="s">
        <v>36</v>
      </c>
      <c r="J198">
        <v>1.0710881285310375E-2</v>
      </c>
      <c r="K198" t="s">
        <v>14</v>
      </c>
      <c r="U198" t="s">
        <v>15</v>
      </c>
      <c r="V198" t="s">
        <v>461</v>
      </c>
      <c r="W198" t="s">
        <v>456</v>
      </c>
      <c r="X198" t="s">
        <v>19</v>
      </c>
    </row>
    <row r="199" spans="8:24" x14ac:dyDescent="0.45">
      <c r="H199" t="s">
        <v>246</v>
      </c>
      <c r="I199" t="s">
        <v>13</v>
      </c>
      <c r="J199">
        <v>3.801889886402678E-3</v>
      </c>
      <c r="K199" t="s">
        <v>14</v>
      </c>
      <c r="U199" t="s">
        <v>15</v>
      </c>
      <c r="V199" t="s">
        <v>461</v>
      </c>
      <c r="W199" t="s">
        <v>63</v>
      </c>
      <c r="X199" t="s">
        <v>17</v>
      </c>
    </row>
    <row r="200" spans="8:24" x14ac:dyDescent="0.45">
      <c r="H200" t="s">
        <v>246</v>
      </c>
      <c r="I200" t="s">
        <v>27</v>
      </c>
      <c r="J200">
        <v>3.801889886402678E-3</v>
      </c>
      <c r="K200" t="s">
        <v>14</v>
      </c>
      <c r="U200" t="s">
        <v>15</v>
      </c>
      <c r="V200" t="s">
        <v>462</v>
      </c>
      <c r="W200" t="s">
        <v>456</v>
      </c>
      <c r="X200" t="s">
        <v>19</v>
      </c>
    </row>
    <row r="201" spans="8:24" x14ac:dyDescent="0.45">
      <c r="H201" t="s">
        <v>246</v>
      </c>
      <c r="I201" t="s">
        <v>36</v>
      </c>
      <c r="J201">
        <v>3.801889886402678E-3</v>
      </c>
      <c r="K201" t="s">
        <v>14</v>
      </c>
      <c r="U201" t="s">
        <v>15</v>
      </c>
      <c r="V201" t="s">
        <v>462</v>
      </c>
      <c r="W201" t="s">
        <v>63</v>
      </c>
      <c r="X201" t="s">
        <v>17</v>
      </c>
    </row>
    <row r="202" spans="8:24" x14ac:dyDescent="0.45">
      <c r="H202" t="s">
        <v>247</v>
      </c>
      <c r="I202" t="s">
        <v>13</v>
      </c>
      <c r="J202">
        <v>3.8036116911747971E-2</v>
      </c>
      <c r="K202" t="s">
        <v>14</v>
      </c>
      <c r="U202" t="s">
        <v>15</v>
      </c>
      <c r="V202" t="s">
        <v>463</v>
      </c>
      <c r="W202" t="s">
        <v>67</v>
      </c>
      <c r="X202" t="s">
        <v>19</v>
      </c>
    </row>
    <row r="203" spans="8:24" x14ac:dyDescent="0.45">
      <c r="H203" t="s">
        <v>247</v>
      </c>
      <c r="I203" t="s">
        <v>27</v>
      </c>
      <c r="J203">
        <v>3.8036116911747971E-2</v>
      </c>
      <c r="K203" t="s">
        <v>14</v>
      </c>
      <c r="U203" t="s">
        <v>15</v>
      </c>
      <c r="V203" t="s">
        <v>464</v>
      </c>
      <c r="W203" t="s">
        <v>67</v>
      </c>
      <c r="X203" t="s">
        <v>19</v>
      </c>
    </row>
    <row r="204" spans="8:24" x14ac:dyDescent="0.45">
      <c r="H204" t="s">
        <v>247</v>
      </c>
      <c r="I204" t="s">
        <v>36</v>
      </c>
      <c r="J204">
        <v>3.8036116911747971E-2</v>
      </c>
      <c r="K204" t="s">
        <v>14</v>
      </c>
      <c r="U204" t="s">
        <v>15</v>
      </c>
      <c r="V204" t="s">
        <v>465</v>
      </c>
      <c r="W204" t="s">
        <v>67</v>
      </c>
      <c r="X204" t="s">
        <v>19</v>
      </c>
    </row>
    <row r="205" spans="8:24" x14ac:dyDescent="0.45">
      <c r="H205" t="s">
        <v>249</v>
      </c>
      <c r="I205" t="s">
        <v>13</v>
      </c>
      <c r="J205">
        <v>1.514031268696758E-2</v>
      </c>
      <c r="K205" t="s">
        <v>14</v>
      </c>
      <c r="U205" t="s">
        <v>15</v>
      </c>
      <c r="V205" t="s">
        <v>466</v>
      </c>
      <c r="W205" t="s">
        <v>67</v>
      </c>
      <c r="X205" t="s">
        <v>19</v>
      </c>
    </row>
    <row r="206" spans="8:24" x14ac:dyDescent="0.45">
      <c r="H206" t="s">
        <v>249</v>
      </c>
      <c r="I206" t="s">
        <v>27</v>
      </c>
      <c r="J206">
        <v>1.514031268696758E-2</v>
      </c>
      <c r="K206" t="s">
        <v>14</v>
      </c>
      <c r="U206" t="s">
        <v>15</v>
      </c>
      <c r="V206" t="s">
        <v>467</v>
      </c>
      <c r="W206" t="s">
        <v>67</v>
      </c>
      <c r="X206" t="s">
        <v>19</v>
      </c>
    </row>
    <row r="207" spans="8:24" x14ac:dyDescent="0.45">
      <c r="H207" t="s">
        <v>249</v>
      </c>
      <c r="I207" t="s">
        <v>36</v>
      </c>
      <c r="J207">
        <v>1.514031268696758E-2</v>
      </c>
      <c r="K207" t="s">
        <v>14</v>
      </c>
      <c r="U207" t="s">
        <v>15</v>
      </c>
      <c r="V207" t="s">
        <v>468</v>
      </c>
      <c r="W207" t="s">
        <v>67</v>
      </c>
      <c r="X207" t="s">
        <v>19</v>
      </c>
    </row>
    <row r="208" spans="8:24" x14ac:dyDescent="0.45">
      <c r="H208" t="s">
        <v>251</v>
      </c>
      <c r="I208" t="s">
        <v>13</v>
      </c>
      <c r="J208">
        <v>2.8530057070046588E-2</v>
      </c>
      <c r="K208" t="s">
        <v>14</v>
      </c>
      <c r="U208" t="s">
        <v>15</v>
      </c>
      <c r="V208" t="s">
        <v>469</v>
      </c>
      <c r="W208" t="s">
        <v>67</v>
      </c>
      <c r="X208" t="s">
        <v>19</v>
      </c>
    </row>
    <row r="209" spans="8:24" x14ac:dyDescent="0.45">
      <c r="H209" t="s">
        <v>251</v>
      </c>
      <c r="I209" t="s">
        <v>27</v>
      </c>
      <c r="J209">
        <v>2.8530057070046588E-2</v>
      </c>
      <c r="K209" t="s">
        <v>14</v>
      </c>
      <c r="U209" t="s">
        <v>15</v>
      </c>
      <c r="V209" t="s">
        <v>470</v>
      </c>
      <c r="W209" t="s">
        <v>67</v>
      </c>
      <c r="X209" t="s">
        <v>19</v>
      </c>
    </row>
    <row r="210" spans="8:24" x14ac:dyDescent="0.45">
      <c r="H210" t="s">
        <v>251</v>
      </c>
      <c r="I210" t="s">
        <v>36</v>
      </c>
      <c r="J210">
        <v>2.8530057070046588E-2</v>
      </c>
      <c r="K210" t="s">
        <v>14</v>
      </c>
      <c r="U210" t="s">
        <v>15</v>
      </c>
      <c r="V210" t="s">
        <v>471</v>
      </c>
      <c r="W210" t="s">
        <v>67</v>
      </c>
      <c r="X210" t="s">
        <v>19</v>
      </c>
    </row>
    <row r="211" spans="8:24" x14ac:dyDescent="0.45">
      <c r="H211" t="s">
        <v>253</v>
      </c>
      <c r="I211" t="s">
        <v>13</v>
      </c>
      <c r="J211">
        <v>8.0349917235820537E-3</v>
      </c>
      <c r="K211" t="s">
        <v>14</v>
      </c>
      <c r="U211" t="s">
        <v>15</v>
      </c>
      <c r="V211" t="s">
        <v>472</v>
      </c>
      <c r="W211" t="s">
        <v>67</v>
      </c>
      <c r="X211" t="s">
        <v>19</v>
      </c>
    </row>
    <row r="212" spans="8:24" x14ac:dyDescent="0.45">
      <c r="H212" t="s">
        <v>253</v>
      </c>
      <c r="I212" t="s">
        <v>27</v>
      </c>
      <c r="J212">
        <v>8.0349917235820537E-3</v>
      </c>
      <c r="K212" t="s">
        <v>14</v>
      </c>
      <c r="U212" t="s">
        <v>15</v>
      </c>
      <c r="V212" t="s">
        <v>473</v>
      </c>
      <c r="W212" t="s">
        <v>67</v>
      </c>
      <c r="X212" t="s">
        <v>19</v>
      </c>
    </row>
    <row r="213" spans="8:24" x14ac:dyDescent="0.45">
      <c r="H213" t="s">
        <v>253</v>
      </c>
      <c r="I213" t="s">
        <v>36</v>
      </c>
      <c r="J213">
        <v>8.0349917235820537E-3</v>
      </c>
      <c r="K213" t="s">
        <v>14</v>
      </c>
      <c r="U213" t="s">
        <v>15</v>
      </c>
      <c r="V213" t="s">
        <v>473</v>
      </c>
      <c r="W213" t="s">
        <v>474</v>
      </c>
      <c r="X213" t="s">
        <v>19</v>
      </c>
    </row>
    <row r="214" spans="8:24" x14ac:dyDescent="0.45">
      <c r="H214" t="s">
        <v>255</v>
      </c>
      <c r="I214" t="s">
        <v>13</v>
      </c>
      <c r="J214">
        <v>2.9008015777553804E-2</v>
      </c>
      <c r="K214" t="s">
        <v>14</v>
      </c>
      <c r="U214" t="s">
        <v>15</v>
      </c>
      <c r="V214" t="s">
        <v>475</v>
      </c>
      <c r="W214" t="s">
        <v>67</v>
      </c>
      <c r="X214" t="s">
        <v>19</v>
      </c>
    </row>
    <row r="215" spans="8:24" x14ac:dyDescent="0.45">
      <c r="H215" t="s">
        <v>255</v>
      </c>
      <c r="I215" t="s">
        <v>27</v>
      </c>
      <c r="J215">
        <v>2.9008015777553804E-2</v>
      </c>
      <c r="K215" t="s">
        <v>14</v>
      </c>
      <c r="U215" t="s">
        <v>15</v>
      </c>
      <c r="V215" t="s">
        <v>475</v>
      </c>
      <c r="W215" t="s">
        <v>474</v>
      </c>
      <c r="X215" t="s">
        <v>19</v>
      </c>
    </row>
    <row r="216" spans="8:24" x14ac:dyDescent="0.45">
      <c r="H216" t="s">
        <v>255</v>
      </c>
      <c r="I216" t="s">
        <v>36</v>
      </c>
      <c r="J216">
        <v>2.9008015777553804E-2</v>
      </c>
      <c r="K216" t="s">
        <v>14</v>
      </c>
      <c r="U216" t="s">
        <v>15</v>
      </c>
      <c r="V216" t="s">
        <v>476</v>
      </c>
      <c r="W216" t="s">
        <v>67</v>
      </c>
      <c r="X216" t="s">
        <v>19</v>
      </c>
    </row>
    <row r="217" spans="8:24" x14ac:dyDescent="0.45">
      <c r="H217" t="s">
        <v>257</v>
      </c>
      <c r="I217" t="s">
        <v>13</v>
      </c>
      <c r="J217">
        <v>6.8145540410057326E-2</v>
      </c>
      <c r="K217" t="s">
        <v>14</v>
      </c>
      <c r="U217" t="s">
        <v>15</v>
      </c>
      <c r="V217" t="s">
        <v>476</v>
      </c>
      <c r="W217" t="s">
        <v>474</v>
      </c>
      <c r="X217" t="s">
        <v>19</v>
      </c>
    </row>
    <row r="218" spans="8:24" x14ac:dyDescent="0.45">
      <c r="H218" t="s">
        <v>257</v>
      </c>
      <c r="I218" t="s">
        <v>27</v>
      </c>
      <c r="J218">
        <v>6.8145540410057326E-2</v>
      </c>
      <c r="K218" t="s">
        <v>14</v>
      </c>
      <c r="U218" t="s">
        <v>15</v>
      </c>
      <c r="V218" t="s">
        <v>477</v>
      </c>
      <c r="W218" t="s">
        <v>474</v>
      </c>
      <c r="X218" t="s">
        <v>19</v>
      </c>
    </row>
    <row r="219" spans="8:24" x14ac:dyDescent="0.45">
      <c r="H219" t="s">
        <v>257</v>
      </c>
      <c r="I219" t="s">
        <v>36</v>
      </c>
      <c r="J219">
        <v>6.8145540410057326E-2</v>
      </c>
      <c r="K219" t="s">
        <v>14</v>
      </c>
      <c r="U219" t="s">
        <v>15</v>
      </c>
      <c r="V219" t="s">
        <v>478</v>
      </c>
      <c r="W219" t="s">
        <v>474</v>
      </c>
      <c r="X219" t="s">
        <v>19</v>
      </c>
    </row>
    <row r="220" spans="8:24" x14ac:dyDescent="0.45">
      <c r="H220" t="s">
        <v>259</v>
      </c>
      <c r="I220" t="s">
        <v>13</v>
      </c>
      <c r="J220">
        <v>7.4092128656555933E-3</v>
      </c>
      <c r="K220" t="s">
        <v>14</v>
      </c>
      <c r="U220" t="s">
        <v>15</v>
      </c>
      <c r="V220" t="s">
        <v>479</v>
      </c>
      <c r="W220" t="s">
        <v>474</v>
      </c>
      <c r="X220" t="s">
        <v>19</v>
      </c>
    </row>
    <row r="221" spans="8:24" x14ac:dyDescent="0.45">
      <c r="H221" t="s">
        <v>259</v>
      </c>
      <c r="I221" t="s">
        <v>27</v>
      </c>
      <c r="J221">
        <v>7.4092128656555933E-3</v>
      </c>
      <c r="K221" t="s">
        <v>14</v>
      </c>
      <c r="U221" t="s">
        <v>15</v>
      </c>
      <c r="V221" t="s">
        <v>479</v>
      </c>
      <c r="W221" t="s">
        <v>67</v>
      </c>
      <c r="X221" t="s">
        <v>17</v>
      </c>
    </row>
    <row r="222" spans="8:24" x14ac:dyDescent="0.45">
      <c r="H222" t="s">
        <v>259</v>
      </c>
      <c r="I222" t="s">
        <v>36</v>
      </c>
      <c r="J222">
        <v>7.4092128656555933E-3</v>
      </c>
      <c r="K222" t="s">
        <v>14</v>
      </c>
      <c r="U222" t="s">
        <v>15</v>
      </c>
      <c r="V222" t="s">
        <v>480</v>
      </c>
      <c r="W222" t="s">
        <v>474</v>
      </c>
      <c r="X222" t="s">
        <v>19</v>
      </c>
    </row>
    <row r="223" spans="8:24" x14ac:dyDescent="0.45">
      <c r="H223" t="s">
        <v>261</v>
      </c>
      <c r="I223" t="s">
        <v>13</v>
      </c>
      <c r="J223">
        <v>3.6616650379971902E-2</v>
      </c>
      <c r="K223" t="s">
        <v>14</v>
      </c>
      <c r="U223" t="s">
        <v>15</v>
      </c>
      <c r="V223" t="s">
        <v>480</v>
      </c>
      <c r="W223" t="s">
        <v>67</v>
      </c>
      <c r="X223" t="s">
        <v>17</v>
      </c>
    </row>
    <row r="224" spans="8:24" x14ac:dyDescent="0.45">
      <c r="H224" t="s">
        <v>261</v>
      </c>
      <c r="I224" t="s">
        <v>27</v>
      </c>
      <c r="J224">
        <v>3.6616650379971902E-2</v>
      </c>
      <c r="K224" t="s">
        <v>14</v>
      </c>
      <c r="U224" t="s">
        <v>15</v>
      </c>
      <c r="V224" t="s">
        <v>481</v>
      </c>
      <c r="W224" t="s">
        <v>71</v>
      </c>
      <c r="X224" t="s">
        <v>19</v>
      </c>
    </row>
    <row r="225" spans="8:24" x14ac:dyDescent="0.45">
      <c r="H225" t="s">
        <v>261</v>
      </c>
      <c r="I225" t="s">
        <v>36</v>
      </c>
      <c r="J225">
        <v>3.6616650379971902E-2</v>
      </c>
      <c r="K225" t="s">
        <v>14</v>
      </c>
      <c r="U225" t="s">
        <v>15</v>
      </c>
      <c r="V225" t="s">
        <v>482</v>
      </c>
      <c r="W225" t="s">
        <v>71</v>
      </c>
      <c r="X225" t="s">
        <v>19</v>
      </c>
    </row>
    <row r="226" spans="8:24" x14ac:dyDescent="0.45">
      <c r="H226" t="s">
        <v>263</v>
      </c>
      <c r="I226" t="s">
        <v>13</v>
      </c>
      <c r="J226">
        <v>1.1576395628258719E-3</v>
      </c>
      <c r="K226" t="s">
        <v>14</v>
      </c>
      <c r="U226" t="s">
        <v>15</v>
      </c>
      <c r="V226" t="s">
        <v>483</v>
      </c>
      <c r="W226" t="s">
        <v>71</v>
      </c>
      <c r="X226" t="s">
        <v>19</v>
      </c>
    </row>
    <row r="227" spans="8:24" x14ac:dyDescent="0.45">
      <c r="H227" t="s">
        <v>263</v>
      </c>
      <c r="I227" t="s">
        <v>27</v>
      </c>
      <c r="J227">
        <v>1.1576395628258719E-3</v>
      </c>
      <c r="K227" t="s">
        <v>14</v>
      </c>
      <c r="U227" t="s">
        <v>15</v>
      </c>
      <c r="V227" t="s">
        <v>484</v>
      </c>
      <c r="W227" t="s">
        <v>71</v>
      </c>
      <c r="X227" t="s">
        <v>19</v>
      </c>
    </row>
    <row r="228" spans="8:24" x14ac:dyDescent="0.45">
      <c r="H228" t="s">
        <v>263</v>
      </c>
      <c r="I228" t="s">
        <v>36</v>
      </c>
      <c r="J228">
        <v>1.1576395628258719E-3</v>
      </c>
      <c r="K228" t="s">
        <v>14</v>
      </c>
      <c r="U228" t="s">
        <v>15</v>
      </c>
      <c r="V228" t="s">
        <v>485</v>
      </c>
      <c r="W228" t="s">
        <v>71</v>
      </c>
      <c r="X228" t="s">
        <v>19</v>
      </c>
    </row>
    <row r="229" spans="8:24" x14ac:dyDescent="0.45">
      <c r="H229" t="s">
        <v>265</v>
      </c>
      <c r="I229" t="s">
        <v>13</v>
      </c>
      <c r="J229">
        <v>5.3675624714884336E-3</v>
      </c>
      <c r="K229" t="s">
        <v>14</v>
      </c>
      <c r="U229" t="s">
        <v>15</v>
      </c>
      <c r="V229" t="s">
        <v>486</v>
      </c>
      <c r="W229" t="s">
        <v>71</v>
      </c>
      <c r="X229" t="s">
        <v>19</v>
      </c>
    </row>
    <row r="230" spans="8:24" x14ac:dyDescent="0.45">
      <c r="H230" t="s">
        <v>265</v>
      </c>
      <c r="I230" t="s">
        <v>27</v>
      </c>
      <c r="J230">
        <v>5.3675624714884336E-3</v>
      </c>
      <c r="K230" t="s">
        <v>14</v>
      </c>
      <c r="U230" t="s">
        <v>15</v>
      </c>
      <c r="V230" t="s">
        <v>487</v>
      </c>
      <c r="W230" t="s">
        <v>71</v>
      </c>
      <c r="X230" t="s">
        <v>19</v>
      </c>
    </row>
    <row r="231" spans="8:24" x14ac:dyDescent="0.45">
      <c r="H231" t="s">
        <v>265</v>
      </c>
      <c r="I231" t="s">
        <v>36</v>
      </c>
      <c r="J231">
        <v>5.3675624714884336E-3</v>
      </c>
      <c r="K231" t="s">
        <v>14</v>
      </c>
      <c r="U231" t="s">
        <v>15</v>
      </c>
      <c r="V231" t="s">
        <v>488</v>
      </c>
      <c r="W231" t="s">
        <v>71</v>
      </c>
      <c r="X231" t="s">
        <v>19</v>
      </c>
    </row>
    <row r="232" spans="8:24" x14ac:dyDescent="0.45">
      <c r="H232" t="s">
        <v>267</v>
      </c>
      <c r="I232" t="s">
        <v>13</v>
      </c>
      <c r="J232">
        <v>5.0867550511116914E-3</v>
      </c>
      <c r="K232" t="s">
        <v>14</v>
      </c>
      <c r="U232" t="s">
        <v>15</v>
      </c>
      <c r="V232" t="s">
        <v>489</v>
      </c>
      <c r="W232" t="s">
        <v>71</v>
      </c>
      <c r="X232" t="s">
        <v>19</v>
      </c>
    </row>
    <row r="233" spans="8:24" x14ac:dyDescent="0.45">
      <c r="H233" t="s">
        <v>267</v>
      </c>
      <c r="I233" t="s">
        <v>27</v>
      </c>
      <c r="J233">
        <v>5.0867550511116914E-3</v>
      </c>
      <c r="K233" t="s">
        <v>14</v>
      </c>
      <c r="U233" t="s">
        <v>15</v>
      </c>
      <c r="V233" t="s">
        <v>490</v>
      </c>
      <c r="W233" t="s">
        <v>71</v>
      </c>
      <c r="X233" t="s">
        <v>19</v>
      </c>
    </row>
    <row r="234" spans="8:24" x14ac:dyDescent="0.45">
      <c r="H234" t="s">
        <v>267</v>
      </c>
      <c r="I234" t="s">
        <v>36</v>
      </c>
      <c r="J234">
        <v>5.0867550511116914E-3</v>
      </c>
      <c r="K234" t="s">
        <v>14</v>
      </c>
      <c r="U234" t="s">
        <v>15</v>
      </c>
      <c r="V234" t="s">
        <v>491</v>
      </c>
      <c r="W234" t="s">
        <v>71</v>
      </c>
      <c r="X234" t="s">
        <v>19</v>
      </c>
    </row>
    <row r="235" spans="8:24" x14ac:dyDescent="0.45">
      <c r="H235" t="s">
        <v>269</v>
      </c>
      <c r="I235" t="s">
        <v>13</v>
      </c>
      <c r="J235">
        <v>2.5522936781708799E-3</v>
      </c>
      <c r="K235" t="s">
        <v>14</v>
      </c>
      <c r="U235" t="s">
        <v>15</v>
      </c>
      <c r="V235" t="s">
        <v>491</v>
      </c>
      <c r="W235" t="s">
        <v>385</v>
      </c>
      <c r="X235" t="s">
        <v>19</v>
      </c>
    </row>
    <row r="236" spans="8:24" x14ac:dyDescent="0.45">
      <c r="H236" t="s">
        <v>269</v>
      </c>
      <c r="I236" t="s">
        <v>27</v>
      </c>
      <c r="J236">
        <v>2.5522936781708799E-3</v>
      </c>
      <c r="K236" t="s">
        <v>14</v>
      </c>
      <c r="U236" t="s">
        <v>15</v>
      </c>
      <c r="V236" t="s">
        <v>492</v>
      </c>
      <c r="W236" t="s">
        <v>71</v>
      </c>
      <c r="X236" t="s">
        <v>19</v>
      </c>
    </row>
    <row r="237" spans="8:24" x14ac:dyDescent="0.45">
      <c r="H237" t="s">
        <v>269</v>
      </c>
      <c r="I237" t="s">
        <v>36</v>
      </c>
      <c r="J237">
        <v>2.5522936781708799E-3</v>
      </c>
      <c r="K237" t="s">
        <v>14</v>
      </c>
      <c r="U237" t="s">
        <v>15</v>
      </c>
      <c r="V237" t="s">
        <v>492</v>
      </c>
      <c r="W237" t="s">
        <v>385</v>
      </c>
      <c r="X237" t="s">
        <v>19</v>
      </c>
    </row>
    <row r="238" spans="8:24" x14ac:dyDescent="0.45">
      <c r="H238" t="s">
        <v>271</v>
      </c>
      <c r="I238" t="s">
        <v>13</v>
      </c>
      <c r="J238">
        <v>3.3434873282738062E-3</v>
      </c>
      <c r="K238" t="s">
        <v>14</v>
      </c>
      <c r="U238" t="s">
        <v>15</v>
      </c>
      <c r="V238" t="s">
        <v>493</v>
      </c>
      <c r="W238" t="s">
        <v>71</v>
      </c>
      <c r="X238" t="s">
        <v>19</v>
      </c>
    </row>
    <row r="239" spans="8:24" x14ac:dyDescent="0.45">
      <c r="H239" t="s">
        <v>271</v>
      </c>
      <c r="I239" t="s">
        <v>27</v>
      </c>
      <c r="J239">
        <v>3.3434873282738062E-3</v>
      </c>
      <c r="K239" t="s">
        <v>14</v>
      </c>
      <c r="U239" t="s">
        <v>15</v>
      </c>
      <c r="V239" t="s">
        <v>493</v>
      </c>
      <c r="W239" t="s">
        <v>385</v>
      </c>
      <c r="X239" t="s">
        <v>19</v>
      </c>
    </row>
    <row r="240" spans="8:24" x14ac:dyDescent="0.45">
      <c r="H240" t="s">
        <v>271</v>
      </c>
      <c r="I240" t="s">
        <v>36</v>
      </c>
      <c r="J240">
        <v>3.3434873282738062E-3</v>
      </c>
      <c r="K240" t="s">
        <v>14</v>
      </c>
      <c r="U240" t="s">
        <v>15</v>
      </c>
      <c r="V240" t="s">
        <v>494</v>
      </c>
      <c r="W240" t="s">
        <v>385</v>
      </c>
      <c r="X240" t="s">
        <v>19</v>
      </c>
    </row>
    <row r="241" spans="8:24" x14ac:dyDescent="0.45">
      <c r="H241" t="s">
        <v>273</v>
      </c>
      <c r="I241" t="s">
        <v>13</v>
      </c>
      <c r="J241">
        <v>9.2829288495468263E-3</v>
      </c>
      <c r="K241" t="s">
        <v>14</v>
      </c>
      <c r="U241" t="s">
        <v>15</v>
      </c>
      <c r="V241" t="s">
        <v>495</v>
      </c>
      <c r="W241" t="s">
        <v>385</v>
      </c>
      <c r="X241" t="s">
        <v>19</v>
      </c>
    </row>
    <row r="242" spans="8:24" x14ac:dyDescent="0.45">
      <c r="H242" t="s">
        <v>273</v>
      </c>
      <c r="I242" t="s">
        <v>27</v>
      </c>
      <c r="J242">
        <v>9.2829288495468263E-3</v>
      </c>
      <c r="K242" t="s">
        <v>14</v>
      </c>
      <c r="U242" t="s">
        <v>15</v>
      </c>
      <c r="V242" t="s">
        <v>496</v>
      </c>
      <c r="W242" t="s">
        <v>385</v>
      </c>
      <c r="X242" t="s">
        <v>19</v>
      </c>
    </row>
    <row r="243" spans="8:24" x14ac:dyDescent="0.45">
      <c r="H243" t="s">
        <v>273</v>
      </c>
      <c r="I243" t="s">
        <v>36</v>
      </c>
      <c r="J243">
        <v>9.2829288495468263E-3</v>
      </c>
      <c r="K243" t="s">
        <v>14</v>
      </c>
      <c r="U243" t="s">
        <v>15</v>
      </c>
      <c r="V243" t="s">
        <v>496</v>
      </c>
      <c r="W243" t="s">
        <v>71</v>
      </c>
      <c r="X243" t="s">
        <v>17</v>
      </c>
    </row>
    <row r="244" spans="8:24" x14ac:dyDescent="0.45">
      <c r="H244" t="s">
        <v>274</v>
      </c>
      <c r="I244" t="s">
        <v>13</v>
      </c>
      <c r="J244">
        <v>4.0721481264519585E-3</v>
      </c>
      <c r="K244" t="s">
        <v>14</v>
      </c>
      <c r="U244" t="s">
        <v>15</v>
      </c>
      <c r="V244" t="s">
        <v>497</v>
      </c>
      <c r="W244" t="s">
        <v>385</v>
      </c>
      <c r="X244" t="s">
        <v>19</v>
      </c>
    </row>
    <row r="245" spans="8:24" x14ac:dyDescent="0.45">
      <c r="H245" t="s">
        <v>274</v>
      </c>
      <c r="I245" t="s">
        <v>27</v>
      </c>
      <c r="J245">
        <v>4.0721481264519585E-3</v>
      </c>
      <c r="K245" t="s">
        <v>14</v>
      </c>
      <c r="U245" t="s">
        <v>15</v>
      </c>
      <c r="V245" t="s">
        <v>497</v>
      </c>
      <c r="W245" t="s">
        <v>71</v>
      </c>
      <c r="X245" t="s">
        <v>17</v>
      </c>
    </row>
    <row r="246" spans="8:24" x14ac:dyDescent="0.45">
      <c r="H246" t="s">
        <v>274</v>
      </c>
      <c r="I246" t="s">
        <v>36</v>
      </c>
      <c r="J246">
        <v>4.0721481264519585E-3</v>
      </c>
      <c r="K246" t="s">
        <v>14</v>
      </c>
      <c r="U246" t="s">
        <v>15</v>
      </c>
      <c r="V246" t="s">
        <v>498</v>
      </c>
      <c r="W246" t="s">
        <v>75</v>
      </c>
      <c r="X246" t="s">
        <v>19</v>
      </c>
    </row>
    <row r="247" spans="8:24" x14ac:dyDescent="0.45">
      <c r="H247" t="s">
        <v>276</v>
      </c>
      <c r="I247" t="s">
        <v>13</v>
      </c>
      <c r="J247">
        <v>1.2515662450557463E-2</v>
      </c>
      <c r="K247" t="s">
        <v>14</v>
      </c>
      <c r="U247" t="s">
        <v>15</v>
      </c>
      <c r="V247" t="s">
        <v>499</v>
      </c>
      <c r="W247" t="s">
        <v>75</v>
      </c>
      <c r="X247" t="s">
        <v>19</v>
      </c>
    </row>
    <row r="248" spans="8:24" x14ac:dyDescent="0.45">
      <c r="H248" t="s">
        <v>276</v>
      </c>
      <c r="I248" t="s">
        <v>27</v>
      </c>
      <c r="J248">
        <v>1.2515662450557463E-2</v>
      </c>
      <c r="K248" t="s">
        <v>14</v>
      </c>
      <c r="U248" t="s">
        <v>15</v>
      </c>
      <c r="V248" t="s">
        <v>500</v>
      </c>
      <c r="W248" t="s">
        <v>75</v>
      </c>
      <c r="X248" t="s">
        <v>19</v>
      </c>
    </row>
    <row r="249" spans="8:24" x14ac:dyDescent="0.45">
      <c r="H249" t="s">
        <v>276</v>
      </c>
      <c r="I249" t="s">
        <v>36</v>
      </c>
      <c r="J249">
        <v>1.2515662450557463E-2</v>
      </c>
      <c r="K249" t="s">
        <v>14</v>
      </c>
      <c r="U249" t="s">
        <v>15</v>
      </c>
      <c r="V249" t="s">
        <v>501</v>
      </c>
      <c r="W249" t="s">
        <v>75</v>
      </c>
      <c r="X249" t="s">
        <v>19</v>
      </c>
    </row>
    <row r="250" spans="8:24" x14ac:dyDescent="0.45">
      <c r="H250" t="s">
        <v>277</v>
      </c>
      <c r="I250" t="s">
        <v>13</v>
      </c>
      <c r="J250">
        <v>5.1163821716811303E-3</v>
      </c>
      <c r="K250" t="s">
        <v>14</v>
      </c>
      <c r="U250" t="s">
        <v>15</v>
      </c>
      <c r="V250" t="s">
        <v>502</v>
      </c>
      <c r="W250" t="s">
        <v>75</v>
      </c>
      <c r="X250" t="s">
        <v>19</v>
      </c>
    </row>
    <row r="251" spans="8:24" x14ac:dyDescent="0.45">
      <c r="H251" t="s">
        <v>277</v>
      </c>
      <c r="I251" t="s">
        <v>27</v>
      </c>
      <c r="J251">
        <v>5.1163821716811303E-3</v>
      </c>
      <c r="K251" t="s">
        <v>14</v>
      </c>
      <c r="U251" t="s">
        <v>15</v>
      </c>
      <c r="V251" t="s">
        <v>503</v>
      </c>
      <c r="W251" t="s">
        <v>75</v>
      </c>
      <c r="X251" t="s">
        <v>19</v>
      </c>
    </row>
    <row r="252" spans="8:24" x14ac:dyDescent="0.45">
      <c r="H252" t="s">
        <v>277</v>
      </c>
      <c r="I252" t="s">
        <v>36</v>
      </c>
      <c r="J252">
        <v>5.1163821716811303E-3</v>
      </c>
      <c r="K252" t="s">
        <v>14</v>
      </c>
      <c r="U252" t="s">
        <v>15</v>
      </c>
      <c r="V252" t="s">
        <v>504</v>
      </c>
      <c r="W252" t="s">
        <v>75</v>
      </c>
      <c r="X252" t="s">
        <v>19</v>
      </c>
    </row>
    <row r="253" spans="8:24" x14ac:dyDescent="0.45">
      <c r="H253" t="s">
        <v>279</v>
      </c>
      <c r="I253" t="s">
        <v>13</v>
      </c>
      <c r="J253">
        <v>9.8369424079460237E-3</v>
      </c>
      <c r="K253" t="s">
        <v>14</v>
      </c>
      <c r="U253" t="s">
        <v>15</v>
      </c>
      <c r="V253" t="s">
        <v>505</v>
      </c>
      <c r="W253" t="s">
        <v>75</v>
      </c>
      <c r="X253" t="s">
        <v>19</v>
      </c>
    </row>
    <row r="254" spans="8:24" x14ac:dyDescent="0.45">
      <c r="H254" t="s">
        <v>279</v>
      </c>
      <c r="I254" t="s">
        <v>27</v>
      </c>
      <c r="J254">
        <v>9.8369424079460237E-3</v>
      </c>
      <c r="K254" t="s">
        <v>14</v>
      </c>
      <c r="U254" t="s">
        <v>15</v>
      </c>
      <c r="V254" t="s">
        <v>506</v>
      </c>
      <c r="W254" t="s">
        <v>75</v>
      </c>
      <c r="X254" t="s">
        <v>19</v>
      </c>
    </row>
    <row r="255" spans="8:24" x14ac:dyDescent="0.45">
      <c r="H255" t="s">
        <v>279</v>
      </c>
      <c r="I255" t="s">
        <v>36</v>
      </c>
      <c r="J255">
        <v>9.8369424079460237E-3</v>
      </c>
      <c r="K255" t="s">
        <v>14</v>
      </c>
      <c r="U255" t="s">
        <v>15</v>
      </c>
      <c r="V255" t="s">
        <v>507</v>
      </c>
      <c r="W255" t="s">
        <v>75</v>
      </c>
      <c r="X255" t="s">
        <v>19</v>
      </c>
    </row>
    <row r="256" spans="8:24" x14ac:dyDescent="0.45">
      <c r="H256" t="s">
        <v>281</v>
      </c>
      <c r="I256" t="s">
        <v>13</v>
      </c>
      <c r="J256">
        <v>3.626041548450244E-3</v>
      </c>
      <c r="K256" t="s">
        <v>14</v>
      </c>
      <c r="U256" t="s">
        <v>15</v>
      </c>
      <c r="V256" t="s">
        <v>508</v>
      </c>
      <c r="W256" t="s">
        <v>75</v>
      </c>
      <c r="X256" t="s">
        <v>19</v>
      </c>
    </row>
    <row r="257" spans="8:24" x14ac:dyDescent="0.45">
      <c r="H257" t="s">
        <v>281</v>
      </c>
      <c r="I257" t="s">
        <v>27</v>
      </c>
      <c r="J257">
        <v>3.626041548450244E-3</v>
      </c>
      <c r="K257" t="s">
        <v>14</v>
      </c>
      <c r="U257" t="s">
        <v>15</v>
      </c>
      <c r="V257" t="s">
        <v>508</v>
      </c>
      <c r="W257" t="s">
        <v>399</v>
      </c>
      <c r="X257" t="s">
        <v>19</v>
      </c>
    </row>
    <row r="258" spans="8:24" x14ac:dyDescent="0.45">
      <c r="H258" t="s">
        <v>281</v>
      </c>
      <c r="I258" t="s">
        <v>36</v>
      </c>
      <c r="J258">
        <v>3.626041548450244E-3</v>
      </c>
      <c r="K258" t="s">
        <v>14</v>
      </c>
      <c r="U258" t="s">
        <v>15</v>
      </c>
      <c r="V258" t="s">
        <v>509</v>
      </c>
      <c r="W258" t="s">
        <v>75</v>
      </c>
      <c r="X258" t="s">
        <v>19</v>
      </c>
    </row>
    <row r="259" spans="8:24" x14ac:dyDescent="0.45">
      <c r="H259" t="s">
        <v>283</v>
      </c>
      <c r="I259" t="s">
        <v>13</v>
      </c>
      <c r="J259">
        <v>5.5571731029676677E-3</v>
      </c>
      <c r="K259" t="s">
        <v>14</v>
      </c>
      <c r="U259" t="s">
        <v>15</v>
      </c>
      <c r="V259" t="s">
        <v>509</v>
      </c>
      <c r="W259" t="s">
        <v>399</v>
      </c>
      <c r="X259" t="s">
        <v>19</v>
      </c>
    </row>
    <row r="260" spans="8:24" x14ac:dyDescent="0.45">
      <c r="H260" t="s">
        <v>283</v>
      </c>
      <c r="I260" t="s">
        <v>27</v>
      </c>
      <c r="J260">
        <v>5.5571731029676677E-3</v>
      </c>
      <c r="K260" t="s">
        <v>14</v>
      </c>
      <c r="U260" t="s">
        <v>15</v>
      </c>
      <c r="V260" t="s">
        <v>510</v>
      </c>
      <c r="W260" t="s">
        <v>75</v>
      </c>
      <c r="X260" t="s">
        <v>19</v>
      </c>
    </row>
    <row r="261" spans="8:24" x14ac:dyDescent="0.45">
      <c r="H261" t="s">
        <v>283</v>
      </c>
      <c r="I261" t="s">
        <v>36</v>
      </c>
      <c r="J261">
        <v>5.5571731029676677E-3</v>
      </c>
      <c r="K261" t="s">
        <v>14</v>
      </c>
      <c r="U261" t="s">
        <v>15</v>
      </c>
      <c r="V261" t="s">
        <v>510</v>
      </c>
      <c r="W261" t="s">
        <v>399</v>
      </c>
      <c r="X261" t="s">
        <v>19</v>
      </c>
    </row>
    <row r="262" spans="8:24" x14ac:dyDescent="0.45">
      <c r="H262" t="s">
        <v>284</v>
      </c>
      <c r="I262" t="s">
        <v>13</v>
      </c>
      <c r="J262">
        <v>2.9682584700861541E-3</v>
      </c>
      <c r="K262" t="s">
        <v>14</v>
      </c>
      <c r="U262" t="s">
        <v>15</v>
      </c>
      <c r="V262" t="s">
        <v>511</v>
      </c>
      <c r="W262" t="s">
        <v>399</v>
      </c>
      <c r="X262" t="s">
        <v>19</v>
      </c>
    </row>
    <row r="263" spans="8:24" x14ac:dyDescent="0.45">
      <c r="H263" t="s">
        <v>284</v>
      </c>
      <c r="I263" t="s">
        <v>27</v>
      </c>
      <c r="J263">
        <v>2.9682584700861541E-3</v>
      </c>
      <c r="K263" t="s">
        <v>14</v>
      </c>
      <c r="U263" t="s">
        <v>15</v>
      </c>
      <c r="V263" t="s">
        <v>512</v>
      </c>
      <c r="W263" t="s">
        <v>399</v>
      </c>
      <c r="X263" t="s">
        <v>19</v>
      </c>
    </row>
    <row r="264" spans="8:24" x14ac:dyDescent="0.45">
      <c r="H264" t="s">
        <v>284</v>
      </c>
      <c r="I264" t="s">
        <v>36</v>
      </c>
      <c r="J264">
        <v>2.9682584700861541E-3</v>
      </c>
      <c r="K264" t="s">
        <v>14</v>
      </c>
      <c r="U264" t="s">
        <v>15</v>
      </c>
      <c r="V264" t="s">
        <v>513</v>
      </c>
      <c r="W264" t="s">
        <v>399</v>
      </c>
      <c r="X264" t="s">
        <v>19</v>
      </c>
    </row>
    <row r="265" spans="8:24" x14ac:dyDescent="0.45">
      <c r="H265" t="s">
        <v>286</v>
      </c>
      <c r="I265" t="s">
        <v>13</v>
      </c>
      <c r="J265">
        <v>0.24126655237657862</v>
      </c>
      <c r="K265" t="s">
        <v>14</v>
      </c>
      <c r="U265" t="s">
        <v>15</v>
      </c>
      <c r="V265" t="s">
        <v>513</v>
      </c>
      <c r="W265" t="s">
        <v>75</v>
      </c>
      <c r="X265" t="s">
        <v>17</v>
      </c>
    </row>
    <row r="266" spans="8:24" x14ac:dyDescent="0.45">
      <c r="H266" t="s">
        <v>286</v>
      </c>
      <c r="I266" t="s">
        <v>27</v>
      </c>
      <c r="J266">
        <v>0.24126655237657862</v>
      </c>
      <c r="K266" t="s">
        <v>14</v>
      </c>
      <c r="U266" t="s">
        <v>15</v>
      </c>
      <c r="V266" t="s">
        <v>514</v>
      </c>
      <c r="W266" t="s">
        <v>399</v>
      </c>
      <c r="X266" t="s">
        <v>19</v>
      </c>
    </row>
    <row r="267" spans="8:24" x14ac:dyDescent="0.45">
      <c r="H267" t="s">
        <v>286</v>
      </c>
      <c r="I267" t="s">
        <v>36</v>
      </c>
      <c r="J267">
        <v>0.24126655237657862</v>
      </c>
      <c r="K267" t="s">
        <v>14</v>
      </c>
      <c r="U267" t="s">
        <v>15</v>
      </c>
      <c r="V267" t="s">
        <v>514</v>
      </c>
      <c r="W267" t="s">
        <v>75</v>
      </c>
      <c r="X267" t="s">
        <v>17</v>
      </c>
    </row>
    <row r="268" spans="8:24" x14ac:dyDescent="0.45">
      <c r="H268" t="s">
        <v>287</v>
      </c>
      <c r="I268" t="s">
        <v>13</v>
      </c>
      <c r="J268">
        <v>4.7741348240542769E-2</v>
      </c>
      <c r="K268" t="s">
        <v>14</v>
      </c>
      <c r="U268" t="s">
        <v>15</v>
      </c>
      <c r="V268" t="s">
        <v>515</v>
      </c>
      <c r="W268" t="s">
        <v>79</v>
      </c>
      <c r="X268" t="s">
        <v>19</v>
      </c>
    </row>
    <row r="269" spans="8:24" x14ac:dyDescent="0.45">
      <c r="H269" t="s">
        <v>287</v>
      </c>
      <c r="I269" t="s">
        <v>27</v>
      </c>
      <c r="J269">
        <v>4.7741348240542769E-2</v>
      </c>
      <c r="K269" t="s">
        <v>14</v>
      </c>
      <c r="U269" t="s">
        <v>15</v>
      </c>
      <c r="V269" t="s">
        <v>516</v>
      </c>
      <c r="W269" t="s">
        <v>79</v>
      </c>
      <c r="X269" t="s">
        <v>19</v>
      </c>
    </row>
    <row r="270" spans="8:24" x14ac:dyDescent="0.45">
      <c r="H270" t="s">
        <v>287</v>
      </c>
      <c r="I270" t="s">
        <v>36</v>
      </c>
      <c r="J270">
        <v>4.7741348240542769E-2</v>
      </c>
      <c r="K270" t="s">
        <v>14</v>
      </c>
      <c r="U270" t="s">
        <v>15</v>
      </c>
      <c r="V270" t="s">
        <v>517</v>
      </c>
      <c r="W270" t="s">
        <v>79</v>
      </c>
      <c r="X270" t="s">
        <v>19</v>
      </c>
    </row>
    <row r="271" spans="8:24" x14ac:dyDescent="0.45">
      <c r="H271" t="s">
        <v>289</v>
      </c>
      <c r="I271" t="s">
        <v>13</v>
      </c>
      <c r="J271">
        <v>5.0558998273974101E-2</v>
      </c>
      <c r="K271" t="s">
        <v>14</v>
      </c>
      <c r="U271" t="s">
        <v>15</v>
      </c>
      <c r="V271" t="s">
        <v>518</v>
      </c>
      <c r="W271" t="s">
        <v>79</v>
      </c>
      <c r="X271" t="s">
        <v>19</v>
      </c>
    </row>
    <row r="272" spans="8:24" x14ac:dyDescent="0.45">
      <c r="H272" t="s">
        <v>289</v>
      </c>
      <c r="I272" t="s">
        <v>27</v>
      </c>
      <c r="J272">
        <v>5.0558998273974101E-2</v>
      </c>
      <c r="K272" t="s">
        <v>14</v>
      </c>
      <c r="U272" t="s">
        <v>15</v>
      </c>
      <c r="V272" t="s">
        <v>519</v>
      </c>
      <c r="W272" t="s">
        <v>79</v>
      </c>
      <c r="X272" t="s">
        <v>19</v>
      </c>
    </row>
    <row r="273" spans="8:24" x14ac:dyDescent="0.45">
      <c r="H273" t="s">
        <v>289</v>
      </c>
      <c r="I273" t="s">
        <v>36</v>
      </c>
      <c r="J273">
        <v>5.0558998273974101E-2</v>
      </c>
      <c r="K273" t="s">
        <v>14</v>
      </c>
      <c r="U273" t="s">
        <v>15</v>
      </c>
      <c r="V273" t="s">
        <v>520</v>
      </c>
      <c r="W273" t="s">
        <v>79</v>
      </c>
      <c r="X273" t="s">
        <v>19</v>
      </c>
    </row>
    <row r="274" spans="8:24" x14ac:dyDescent="0.45">
      <c r="H274" t="s">
        <v>291</v>
      </c>
      <c r="I274" t="s">
        <v>13</v>
      </c>
      <c r="J274">
        <v>1.0131390521420966E-2</v>
      </c>
      <c r="K274" t="s">
        <v>14</v>
      </c>
      <c r="U274" t="s">
        <v>15</v>
      </c>
      <c r="V274" t="s">
        <v>521</v>
      </c>
      <c r="W274" t="s">
        <v>79</v>
      </c>
      <c r="X274" t="s">
        <v>19</v>
      </c>
    </row>
    <row r="275" spans="8:24" x14ac:dyDescent="0.45">
      <c r="H275" t="s">
        <v>291</v>
      </c>
      <c r="I275" t="s">
        <v>27</v>
      </c>
      <c r="J275">
        <v>1.0131390521420966E-2</v>
      </c>
      <c r="K275" t="s">
        <v>14</v>
      </c>
      <c r="U275" t="s">
        <v>15</v>
      </c>
      <c r="V275" t="s">
        <v>522</v>
      </c>
      <c r="W275" t="s">
        <v>79</v>
      </c>
      <c r="X275" t="s">
        <v>19</v>
      </c>
    </row>
    <row r="276" spans="8:24" x14ac:dyDescent="0.45">
      <c r="H276" t="s">
        <v>291</v>
      </c>
      <c r="I276" t="s">
        <v>36</v>
      </c>
      <c r="J276">
        <v>1.0131390521420966E-2</v>
      </c>
      <c r="K276" t="s">
        <v>14</v>
      </c>
      <c r="U276" t="s">
        <v>15</v>
      </c>
      <c r="V276" t="s">
        <v>523</v>
      </c>
      <c r="W276" t="s">
        <v>79</v>
      </c>
      <c r="X276" t="s">
        <v>19</v>
      </c>
    </row>
    <row r="277" spans="8:24" x14ac:dyDescent="0.45">
      <c r="H277" t="s">
        <v>293</v>
      </c>
      <c r="I277" t="s">
        <v>13</v>
      </c>
      <c r="J277">
        <v>7.9990265077930466E-3</v>
      </c>
      <c r="K277" t="s">
        <v>14</v>
      </c>
      <c r="U277" t="s">
        <v>15</v>
      </c>
      <c r="V277" t="s">
        <v>524</v>
      </c>
      <c r="W277" t="s">
        <v>79</v>
      </c>
      <c r="X277" t="s">
        <v>19</v>
      </c>
    </row>
    <row r="278" spans="8:24" x14ac:dyDescent="0.45">
      <c r="H278" t="s">
        <v>293</v>
      </c>
      <c r="I278" t="s">
        <v>27</v>
      </c>
      <c r="J278">
        <v>7.9990265077930466E-3</v>
      </c>
      <c r="K278" t="s">
        <v>14</v>
      </c>
      <c r="U278" t="s">
        <v>15</v>
      </c>
      <c r="V278" t="s">
        <v>525</v>
      </c>
      <c r="W278" t="s">
        <v>79</v>
      </c>
      <c r="X278" t="s">
        <v>19</v>
      </c>
    </row>
    <row r="279" spans="8:24" x14ac:dyDescent="0.45">
      <c r="H279" t="s">
        <v>293</v>
      </c>
      <c r="I279" t="s">
        <v>36</v>
      </c>
      <c r="J279">
        <v>7.9990265077930466E-3</v>
      </c>
      <c r="K279" t="s">
        <v>14</v>
      </c>
      <c r="U279" t="s">
        <v>15</v>
      </c>
      <c r="V279" t="s">
        <v>525</v>
      </c>
      <c r="W279" t="s">
        <v>526</v>
      </c>
      <c r="X279" t="s">
        <v>19</v>
      </c>
    </row>
    <row r="280" spans="8:24" x14ac:dyDescent="0.45">
      <c r="H280" t="s">
        <v>295</v>
      </c>
      <c r="I280" t="s">
        <v>13</v>
      </c>
      <c r="J280">
        <v>5.9969581717619702E-3</v>
      </c>
      <c r="K280" t="s">
        <v>14</v>
      </c>
      <c r="U280" t="s">
        <v>15</v>
      </c>
      <c r="V280" t="s">
        <v>527</v>
      </c>
      <c r="W280" t="s">
        <v>79</v>
      </c>
      <c r="X280" t="s">
        <v>19</v>
      </c>
    </row>
    <row r="281" spans="8:24" x14ac:dyDescent="0.45">
      <c r="H281" t="s">
        <v>295</v>
      </c>
      <c r="I281" t="s">
        <v>27</v>
      </c>
      <c r="J281">
        <v>5.9969581717619702E-3</v>
      </c>
      <c r="K281" t="s">
        <v>14</v>
      </c>
      <c r="U281" t="s">
        <v>15</v>
      </c>
      <c r="V281" t="s">
        <v>527</v>
      </c>
      <c r="W281" t="s">
        <v>526</v>
      </c>
      <c r="X281" t="s">
        <v>19</v>
      </c>
    </row>
    <row r="282" spans="8:24" x14ac:dyDescent="0.45">
      <c r="H282" t="s">
        <v>295</v>
      </c>
      <c r="I282" t="s">
        <v>36</v>
      </c>
      <c r="J282">
        <v>5.9969581717619702E-3</v>
      </c>
      <c r="K282" t="s">
        <v>14</v>
      </c>
      <c r="U282" t="s">
        <v>15</v>
      </c>
      <c r="V282" t="s">
        <v>528</v>
      </c>
      <c r="W282" t="s">
        <v>79</v>
      </c>
      <c r="X282" t="s">
        <v>19</v>
      </c>
    </row>
    <row r="283" spans="8:24" x14ac:dyDescent="0.45">
      <c r="H283" t="s">
        <v>297</v>
      </c>
      <c r="I283" t="s">
        <v>13</v>
      </c>
      <c r="J283">
        <v>9.4500834159670817E-3</v>
      </c>
      <c r="K283" t="s">
        <v>14</v>
      </c>
      <c r="U283" t="s">
        <v>15</v>
      </c>
      <c r="V283" t="s">
        <v>528</v>
      </c>
      <c r="W283" t="s">
        <v>526</v>
      </c>
      <c r="X283" t="s">
        <v>19</v>
      </c>
    </row>
    <row r="284" spans="8:24" x14ac:dyDescent="0.45">
      <c r="H284" t="s">
        <v>297</v>
      </c>
      <c r="I284" t="s">
        <v>27</v>
      </c>
      <c r="J284">
        <v>9.4500834159670817E-3</v>
      </c>
      <c r="K284" t="s">
        <v>14</v>
      </c>
      <c r="U284" t="s">
        <v>15</v>
      </c>
      <c r="V284" t="s">
        <v>529</v>
      </c>
      <c r="W284" t="s">
        <v>526</v>
      </c>
      <c r="X284" t="s">
        <v>19</v>
      </c>
    </row>
    <row r="285" spans="8:24" x14ac:dyDescent="0.45">
      <c r="H285" t="s">
        <v>297</v>
      </c>
      <c r="I285" t="s">
        <v>36</v>
      </c>
      <c r="J285">
        <v>9.4500834159670817E-3</v>
      </c>
      <c r="K285" t="s">
        <v>14</v>
      </c>
      <c r="U285" t="s">
        <v>15</v>
      </c>
      <c r="V285" t="s">
        <v>530</v>
      </c>
      <c r="W285" t="s">
        <v>526</v>
      </c>
      <c r="X285" t="s">
        <v>19</v>
      </c>
    </row>
    <row r="286" spans="8:24" x14ac:dyDescent="0.45">
      <c r="H286" t="s">
        <v>299</v>
      </c>
      <c r="I286" t="s">
        <v>13</v>
      </c>
      <c r="J286">
        <v>9.0410425206741071E-3</v>
      </c>
      <c r="K286" t="s">
        <v>14</v>
      </c>
      <c r="U286" t="s">
        <v>15</v>
      </c>
      <c r="V286" t="s">
        <v>531</v>
      </c>
      <c r="W286" t="s">
        <v>526</v>
      </c>
      <c r="X286" t="s">
        <v>19</v>
      </c>
    </row>
    <row r="287" spans="8:24" x14ac:dyDescent="0.45">
      <c r="H287" t="s">
        <v>299</v>
      </c>
      <c r="I287" t="s">
        <v>27</v>
      </c>
      <c r="J287">
        <v>9.0410425206741071E-3</v>
      </c>
      <c r="K287" t="s">
        <v>14</v>
      </c>
      <c r="U287" t="s">
        <v>15</v>
      </c>
      <c r="V287" t="s">
        <v>531</v>
      </c>
      <c r="W287" t="s">
        <v>79</v>
      </c>
      <c r="X287" t="s">
        <v>17</v>
      </c>
    </row>
    <row r="288" spans="8:24" x14ac:dyDescent="0.45">
      <c r="H288" t="s">
        <v>299</v>
      </c>
      <c r="I288" t="s">
        <v>36</v>
      </c>
      <c r="J288">
        <v>9.0410425206741071E-3</v>
      </c>
      <c r="K288" t="s">
        <v>14</v>
      </c>
      <c r="U288" t="s">
        <v>15</v>
      </c>
      <c r="V288" t="s">
        <v>532</v>
      </c>
      <c r="W288" t="s">
        <v>526</v>
      </c>
      <c r="X288" t="s">
        <v>19</v>
      </c>
    </row>
    <row r="289" spans="8:24" x14ac:dyDescent="0.45">
      <c r="H289" t="s">
        <v>301</v>
      </c>
      <c r="I289" t="s">
        <v>13</v>
      </c>
      <c r="J289">
        <v>8.7984816269158061E-3</v>
      </c>
      <c r="K289" t="s">
        <v>14</v>
      </c>
      <c r="U289" t="s">
        <v>15</v>
      </c>
      <c r="V289" t="s">
        <v>532</v>
      </c>
      <c r="W289" t="s">
        <v>79</v>
      </c>
      <c r="X289" t="s">
        <v>17</v>
      </c>
    </row>
    <row r="290" spans="8:24" x14ac:dyDescent="0.45">
      <c r="H290" t="s">
        <v>301</v>
      </c>
      <c r="I290" t="s">
        <v>27</v>
      </c>
      <c r="J290">
        <v>8.7984816269158061E-3</v>
      </c>
      <c r="K290" t="s">
        <v>14</v>
      </c>
      <c r="U290" t="s">
        <v>15</v>
      </c>
      <c r="V290" t="s">
        <v>533</v>
      </c>
      <c r="W290" t="s">
        <v>83</v>
      </c>
      <c r="X290" t="s">
        <v>19</v>
      </c>
    </row>
    <row r="291" spans="8:24" x14ac:dyDescent="0.45">
      <c r="H291" t="s">
        <v>301</v>
      </c>
      <c r="I291" t="s">
        <v>36</v>
      </c>
      <c r="J291">
        <v>8.7984816269158061E-3</v>
      </c>
      <c r="K291" t="s">
        <v>14</v>
      </c>
      <c r="U291" t="s">
        <v>15</v>
      </c>
      <c r="V291" t="s">
        <v>534</v>
      </c>
      <c r="W291" t="s">
        <v>83</v>
      </c>
      <c r="X291" t="s">
        <v>19</v>
      </c>
    </row>
    <row r="292" spans="8:24" x14ac:dyDescent="0.45">
      <c r="H292" t="s">
        <v>303</v>
      </c>
      <c r="I292" t="s">
        <v>13</v>
      </c>
      <c r="J292">
        <v>0.26360423996440069</v>
      </c>
      <c r="K292" t="s">
        <v>14</v>
      </c>
      <c r="U292" t="s">
        <v>15</v>
      </c>
      <c r="V292" t="s">
        <v>535</v>
      </c>
      <c r="W292" t="s">
        <v>83</v>
      </c>
      <c r="X292" t="s">
        <v>19</v>
      </c>
    </row>
    <row r="293" spans="8:24" x14ac:dyDescent="0.45">
      <c r="H293" t="s">
        <v>303</v>
      </c>
      <c r="I293" t="s">
        <v>27</v>
      </c>
      <c r="J293">
        <v>0.26360423996440069</v>
      </c>
      <c r="K293" t="s">
        <v>14</v>
      </c>
      <c r="U293" t="s">
        <v>15</v>
      </c>
      <c r="V293" t="s">
        <v>536</v>
      </c>
      <c r="W293" t="s">
        <v>83</v>
      </c>
      <c r="X293" t="s">
        <v>19</v>
      </c>
    </row>
    <row r="294" spans="8:24" x14ac:dyDescent="0.45">
      <c r="H294" t="s">
        <v>303</v>
      </c>
      <c r="I294" t="s">
        <v>36</v>
      </c>
      <c r="J294">
        <v>0.26360423996440069</v>
      </c>
      <c r="K294" t="s">
        <v>14</v>
      </c>
      <c r="U294" t="s">
        <v>15</v>
      </c>
      <c r="V294" t="s">
        <v>537</v>
      </c>
      <c r="W294" t="s">
        <v>83</v>
      </c>
      <c r="X294" t="s">
        <v>19</v>
      </c>
    </row>
    <row r="295" spans="8:24" x14ac:dyDescent="0.45">
      <c r="H295" t="s">
        <v>305</v>
      </c>
      <c r="I295" t="s">
        <v>13</v>
      </c>
      <c r="J295">
        <v>9.4949341631152106E-3</v>
      </c>
      <c r="K295" t="s">
        <v>14</v>
      </c>
      <c r="U295" t="s">
        <v>15</v>
      </c>
      <c r="V295" t="s">
        <v>538</v>
      </c>
      <c r="W295" t="s">
        <v>83</v>
      </c>
      <c r="X295" t="s">
        <v>19</v>
      </c>
    </row>
    <row r="296" spans="8:24" x14ac:dyDescent="0.45">
      <c r="H296" t="s">
        <v>305</v>
      </c>
      <c r="I296" t="s">
        <v>27</v>
      </c>
      <c r="J296">
        <v>9.4949341631152106E-3</v>
      </c>
      <c r="K296" t="s">
        <v>14</v>
      </c>
      <c r="U296" t="s">
        <v>15</v>
      </c>
      <c r="V296" t="s">
        <v>539</v>
      </c>
      <c r="W296" t="s">
        <v>83</v>
      </c>
      <c r="X296" t="s">
        <v>19</v>
      </c>
    </row>
    <row r="297" spans="8:24" x14ac:dyDescent="0.45">
      <c r="H297" t="s">
        <v>305</v>
      </c>
      <c r="I297" t="s">
        <v>36</v>
      </c>
      <c r="J297">
        <v>9.4949341631152106E-3</v>
      </c>
      <c r="K297" t="s">
        <v>14</v>
      </c>
      <c r="U297" t="s">
        <v>15</v>
      </c>
      <c r="V297" t="s">
        <v>540</v>
      </c>
      <c r="W297" t="s">
        <v>83</v>
      </c>
      <c r="X297" t="s">
        <v>19</v>
      </c>
    </row>
    <row r="298" spans="8:24" x14ac:dyDescent="0.45">
      <c r="H298" t="s">
        <v>307</v>
      </c>
      <c r="I298" t="s">
        <v>13</v>
      </c>
      <c r="J298">
        <v>1.0710881285310375E-2</v>
      </c>
      <c r="K298" t="s">
        <v>14</v>
      </c>
      <c r="U298" t="s">
        <v>15</v>
      </c>
      <c r="V298" t="s">
        <v>541</v>
      </c>
      <c r="W298" t="s">
        <v>83</v>
      </c>
      <c r="X298" t="s">
        <v>19</v>
      </c>
    </row>
    <row r="299" spans="8:24" x14ac:dyDescent="0.45">
      <c r="H299" t="s">
        <v>307</v>
      </c>
      <c r="I299" t="s">
        <v>27</v>
      </c>
      <c r="J299">
        <v>1.0710881285310375E-2</v>
      </c>
      <c r="K299" t="s">
        <v>14</v>
      </c>
      <c r="U299" t="s">
        <v>15</v>
      </c>
      <c r="V299" t="s">
        <v>542</v>
      </c>
      <c r="W299" t="s">
        <v>83</v>
      </c>
      <c r="X299" t="s">
        <v>19</v>
      </c>
    </row>
    <row r="300" spans="8:24" x14ac:dyDescent="0.45">
      <c r="H300" t="s">
        <v>307</v>
      </c>
      <c r="I300" t="s">
        <v>36</v>
      </c>
      <c r="J300">
        <v>1.0710881285310375E-2</v>
      </c>
      <c r="K300" t="s">
        <v>14</v>
      </c>
      <c r="U300" t="s">
        <v>15</v>
      </c>
      <c r="V300" t="s">
        <v>543</v>
      </c>
      <c r="W300" t="s">
        <v>83</v>
      </c>
      <c r="X300" t="s">
        <v>19</v>
      </c>
    </row>
    <row r="301" spans="8:24" x14ac:dyDescent="0.45">
      <c r="H301" t="s">
        <v>309</v>
      </c>
      <c r="I301" t="s">
        <v>13</v>
      </c>
      <c r="J301">
        <v>3.801889886402678E-3</v>
      </c>
      <c r="K301" t="s">
        <v>14</v>
      </c>
      <c r="U301" t="s">
        <v>15</v>
      </c>
      <c r="V301" t="s">
        <v>543</v>
      </c>
      <c r="W301" t="s">
        <v>406</v>
      </c>
      <c r="X301" t="s">
        <v>19</v>
      </c>
    </row>
    <row r="302" spans="8:24" x14ac:dyDescent="0.45">
      <c r="H302" t="s">
        <v>309</v>
      </c>
      <c r="I302" t="s">
        <v>27</v>
      </c>
      <c r="J302">
        <v>3.801889886402678E-3</v>
      </c>
      <c r="K302" t="s">
        <v>14</v>
      </c>
      <c r="U302" t="s">
        <v>15</v>
      </c>
      <c r="V302" t="s">
        <v>544</v>
      </c>
      <c r="W302" t="s">
        <v>83</v>
      </c>
      <c r="X302" t="s">
        <v>19</v>
      </c>
    </row>
    <row r="303" spans="8:24" x14ac:dyDescent="0.45">
      <c r="H303" t="s">
        <v>309</v>
      </c>
      <c r="I303" t="s">
        <v>36</v>
      </c>
      <c r="J303">
        <v>3.801889886402678E-3</v>
      </c>
      <c r="K303" t="s">
        <v>14</v>
      </c>
      <c r="U303" t="s">
        <v>15</v>
      </c>
      <c r="V303" t="s">
        <v>544</v>
      </c>
      <c r="W303" t="s">
        <v>406</v>
      </c>
      <c r="X303" t="s">
        <v>19</v>
      </c>
    </row>
    <row r="304" spans="8:24" x14ac:dyDescent="0.45">
      <c r="H304" t="s">
        <v>311</v>
      </c>
      <c r="I304" t="s">
        <v>13</v>
      </c>
      <c r="J304">
        <v>3.8036116911747971E-2</v>
      </c>
      <c r="K304" t="s">
        <v>14</v>
      </c>
      <c r="U304" t="s">
        <v>15</v>
      </c>
      <c r="V304" t="s">
        <v>545</v>
      </c>
      <c r="W304" t="s">
        <v>83</v>
      </c>
      <c r="X304" t="s">
        <v>19</v>
      </c>
    </row>
    <row r="305" spans="8:24" x14ac:dyDescent="0.45">
      <c r="H305" t="s">
        <v>311</v>
      </c>
      <c r="I305" t="s">
        <v>27</v>
      </c>
      <c r="J305">
        <v>3.8036116911747971E-2</v>
      </c>
      <c r="K305" t="s">
        <v>14</v>
      </c>
      <c r="U305" t="s">
        <v>15</v>
      </c>
      <c r="V305" t="s">
        <v>545</v>
      </c>
      <c r="W305" t="s">
        <v>406</v>
      </c>
      <c r="X305" t="s">
        <v>19</v>
      </c>
    </row>
    <row r="306" spans="8:24" x14ac:dyDescent="0.45">
      <c r="H306" t="s">
        <v>311</v>
      </c>
      <c r="I306" t="s">
        <v>36</v>
      </c>
      <c r="J306">
        <v>3.8036116911747971E-2</v>
      </c>
      <c r="K306" t="s">
        <v>14</v>
      </c>
      <c r="U306" t="s">
        <v>15</v>
      </c>
      <c r="V306" t="s">
        <v>546</v>
      </c>
      <c r="W306" t="s">
        <v>406</v>
      </c>
      <c r="X306" t="s">
        <v>19</v>
      </c>
    </row>
    <row r="307" spans="8:24" x14ac:dyDescent="0.45">
      <c r="H307" t="s">
        <v>313</v>
      </c>
      <c r="I307" t="s">
        <v>13</v>
      </c>
      <c r="J307">
        <v>1.514031268696758E-2</v>
      </c>
      <c r="K307" t="s">
        <v>14</v>
      </c>
      <c r="U307" t="s">
        <v>15</v>
      </c>
      <c r="V307" t="s">
        <v>547</v>
      </c>
      <c r="W307" t="s">
        <v>406</v>
      </c>
      <c r="X307" t="s">
        <v>19</v>
      </c>
    </row>
    <row r="308" spans="8:24" x14ac:dyDescent="0.45">
      <c r="H308" t="s">
        <v>313</v>
      </c>
      <c r="I308" t="s">
        <v>27</v>
      </c>
      <c r="J308">
        <v>1.514031268696758E-2</v>
      </c>
      <c r="K308" t="s">
        <v>14</v>
      </c>
      <c r="U308" t="s">
        <v>15</v>
      </c>
      <c r="V308" t="s">
        <v>548</v>
      </c>
      <c r="W308" t="s">
        <v>406</v>
      </c>
      <c r="X308" t="s">
        <v>19</v>
      </c>
    </row>
    <row r="309" spans="8:24" x14ac:dyDescent="0.45">
      <c r="H309" t="s">
        <v>313</v>
      </c>
      <c r="I309" t="s">
        <v>36</v>
      </c>
      <c r="J309">
        <v>1.514031268696758E-2</v>
      </c>
      <c r="K309" t="s">
        <v>14</v>
      </c>
      <c r="U309" t="s">
        <v>15</v>
      </c>
      <c r="V309" t="s">
        <v>548</v>
      </c>
      <c r="W309" t="s">
        <v>83</v>
      </c>
      <c r="X309" t="s">
        <v>17</v>
      </c>
    </row>
    <row r="310" spans="8:24" x14ac:dyDescent="0.45">
      <c r="H310" t="s">
        <v>314</v>
      </c>
      <c r="I310" t="s">
        <v>13</v>
      </c>
      <c r="J310">
        <v>2.8530057070046588E-2</v>
      </c>
      <c r="K310" t="s">
        <v>14</v>
      </c>
      <c r="U310" t="s">
        <v>15</v>
      </c>
      <c r="V310" t="s">
        <v>549</v>
      </c>
      <c r="W310" t="s">
        <v>406</v>
      </c>
      <c r="X310" t="s">
        <v>19</v>
      </c>
    </row>
    <row r="311" spans="8:24" x14ac:dyDescent="0.45">
      <c r="H311" t="s">
        <v>314</v>
      </c>
      <c r="I311" t="s">
        <v>27</v>
      </c>
      <c r="J311">
        <v>2.8530057070046588E-2</v>
      </c>
      <c r="K311" t="s">
        <v>14</v>
      </c>
      <c r="U311" t="s">
        <v>15</v>
      </c>
      <c r="V311" t="s">
        <v>549</v>
      </c>
      <c r="W311" t="s">
        <v>83</v>
      </c>
      <c r="X311" t="s">
        <v>17</v>
      </c>
    </row>
    <row r="312" spans="8:24" x14ac:dyDescent="0.45">
      <c r="H312" t="s">
        <v>314</v>
      </c>
      <c r="I312" t="s">
        <v>36</v>
      </c>
      <c r="J312">
        <v>2.8530057070046588E-2</v>
      </c>
      <c r="K312" t="s">
        <v>14</v>
      </c>
      <c r="U312" t="s">
        <v>15</v>
      </c>
      <c r="V312" t="s">
        <v>550</v>
      </c>
      <c r="W312" t="s">
        <v>86</v>
      </c>
      <c r="X312" t="s">
        <v>19</v>
      </c>
    </row>
    <row r="313" spans="8:24" x14ac:dyDescent="0.45">
      <c r="H313" t="s">
        <v>316</v>
      </c>
      <c r="I313" t="s">
        <v>13</v>
      </c>
      <c r="J313">
        <v>8.0349917235820537E-3</v>
      </c>
      <c r="K313" t="s">
        <v>14</v>
      </c>
      <c r="U313" t="s">
        <v>15</v>
      </c>
      <c r="V313" t="s">
        <v>551</v>
      </c>
      <c r="W313" t="s">
        <v>86</v>
      </c>
      <c r="X313" t="s">
        <v>19</v>
      </c>
    </row>
    <row r="314" spans="8:24" x14ac:dyDescent="0.45">
      <c r="H314" t="s">
        <v>316</v>
      </c>
      <c r="I314" t="s">
        <v>27</v>
      </c>
      <c r="J314">
        <v>8.0349917235820537E-3</v>
      </c>
      <c r="K314" t="s">
        <v>14</v>
      </c>
      <c r="U314" t="s">
        <v>15</v>
      </c>
      <c r="V314" t="s">
        <v>552</v>
      </c>
      <c r="W314" t="s">
        <v>86</v>
      </c>
      <c r="X314" t="s">
        <v>19</v>
      </c>
    </row>
    <row r="315" spans="8:24" x14ac:dyDescent="0.45">
      <c r="H315" t="s">
        <v>316</v>
      </c>
      <c r="I315" t="s">
        <v>36</v>
      </c>
      <c r="J315">
        <v>8.0349917235820537E-3</v>
      </c>
      <c r="K315" t="s">
        <v>14</v>
      </c>
      <c r="U315" t="s">
        <v>15</v>
      </c>
      <c r="V315" t="s">
        <v>553</v>
      </c>
      <c r="W315" t="s">
        <v>86</v>
      </c>
      <c r="X315" t="s">
        <v>19</v>
      </c>
    </row>
    <row r="316" spans="8:24" x14ac:dyDescent="0.45">
      <c r="H316" t="s">
        <v>317</v>
      </c>
      <c r="I316" t="s">
        <v>13</v>
      </c>
      <c r="J316">
        <v>2.9008015777553804E-2</v>
      </c>
      <c r="K316" t="s">
        <v>14</v>
      </c>
      <c r="U316" t="s">
        <v>15</v>
      </c>
      <c r="V316" t="s">
        <v>554</v>
      </c>
      <c r="W316" t="s">
        <v>86</v>
      </c>
      <c r="X316" t="s">
        <v>19</v>
      </c>
    </row>
    <row r="317" spans="8:24" x14ac:dyDescent="0.45">
      <c r="H317" t="s">
        <v>317</v>
      </c>
      <c r="I317" t="s">
        <v>27</v>
      </c>
      <c r="J317">
        <v>2.9008015777553804E-2</v>
      </c>
      <c r="K317" t="s">
        <v>14</v>
      </c>
      <c r="U317" t="s">
        <v>15</v>
      </c>
      <c r="V317" t="s">
        <v>555</v>
      </c>
      <c r="W317" t="s">
        <v>86</v>
      </c>
      <c r="X317" t="s">
        <v>19</v>
      </c>
    </row>
    <row r="318" spans="8:24" x14ac:dyDescent="0.45">
      <c r="H318" t="s">
        <v>317</v>
      </c>
      <c r="I318" t="s">
        <v>36</v>
      </c>
      <c r="J318">
        <v>2.9008015777553804E-2</v>
      </c>
      <c r="K318" t="s">
        <v>14</v>
      </c>
      <c r="U318" t="s">
        <v>15</v>
      </c>
      <c r="V318" t="s">
        <v>556</v>
      </c>
      <c r="W318" t="s">
        <v>86</v>
      </c>
      <c r="X318" t="s">
        <v>19</v>
      </c>
    </row>
    <row r="319" spans="8:24" x14ac:dyDescent="0.45">
      <c r="H319" t="s">
        <v>319</v>
      </c>
      <c r="I319" t="s">
        <v>13</v>
      </c>
      <c r="J319">
        <v>6.8145540410057326E-2</v>
      </c>
      <c r="K319" t="s">
        <v>14</v>
      </c>
      <c r="U319" t="s">
        <v>15</v>
      </c>
      <c r="V319" t="s">
        <v>557</v>
      </c>
      <c r="W319" t="s">
        <v>86</v>
      </c>
      <c r="X319" t="s">
        <v>19</v>
      </c>
    </row>
    <row r="320" spans="8:24" x14ac:dyDescent="0.45">
      <c r="H320" t="s">
        <v>319</v>
      </c>
      <c r="I320" t="s">
        <v>27</v>
      </c>
      <c r="J320">
        <v>6.8145540410057326E-2</v>
      </c>
      <c r="K320" t="s">
        <v>14</v>
      </c>
      <c r="U320" t="s">
        <v>15</v>
      </c>
      <c r="V320" t="s">
        <v>558</v>
      </c>
      <c r="W320" t="s">
        <v>86</v>
      </c>
      <c r="X320" t="s">
        <v>19</v>
      </c>
    </row>
    <row r="321" spans="8:24" x14ac:dyDescent="0.45">
      <c r="H321" t="s">
        <v>319</v>
      </c>
      <c r="I321" t="s">
        <v>36</v>
      </c>
      <c r="J321">
        <v>6.8145540410057326E-2</v>
      </c>
      <c r="K321" t="s">
        <v>14</v>
      </c>
      <c r="U321" t="s">
        <v>15</v>
      </c>
      <c r="V321" t="s">
        <v>559</v>
      </c>
      <c r="W321" t="s">
        <v>86</v>
      </c>
      <c r="X321" t="s">
        <v>19</v>
      </c>
    </row>
    <row r="322" spans="8:24" x14ac:dyDescent="0.45">
      <c r="H322" t="s">
        <v>321</v>
      </c>
      <c r="I322" t="s">
        <v>13</v>
      </c>
      <c r="J322">
        <v>7.4092128656555933E-3</v>
      </c>
      <c r="K322" t="s">
        <v>14</v>
      </c>
      <c r="U322" t="s">
        <v>15</v>
      </c>
      <c r="V322" t="s">
        <v>560</v>
      </c>
      <c r="W322" t="s">
        <v>86</v>
      </c>
      <c r="X322" t="s">
        <v>19</v>
      </c>
    </row>
    <row r="323" spans="8:24" x14ac:dyDescent="0.45">
      <c r="H323" t="s">
        <v>321</v>
      </c>
      <c r="I323" t="s">
        <v>27</v>
      </c>
      <c r="J323">
        <v>7.4092128656555933E-3</v>
      </c>
      <c r="K323" t="s">
        <v>14</v>
      </c>
      <c r="U323" t="s">
        <v>15</v>
      </c>
      <c r="V323" t="s">
        <v>560</v>
      </c>
      <c r="W323" t="s">
        <v>561</v>
      </c>
      <c r="X323" t="s">
        <v>19</v>
      </c>
    </row>
    <row r="324" spans="8:24" x14ac:dyDescent="0.45">
      <c r="H324" t="s">
        <v>321</v>
      </c>
      <c r="I324" t="s">
        <v>36</v>
      </c>
      <c r="J324">
        <v>7.4092128656555933E-3</v>
      </c>
      <c r="K324" t="s">
        <v>14</v>
      </c>
      <c r="U324" t="s">
        <v>15</v>
      </c>
      <c r="V324" t="s">
        <v>562</v>
      </c>
      <c r="W324" t="s">
        <v>86</v>
      </c>
      <c r="X324" t="s">
        <v>19</v>
      </c>
    </row>
    <row r="325" spans="8:24" x14ac:dyDescent="0.45">
      <c r="H325" t="s">
        <v>323</v>
      </c>
      <c r="I325" t="s">
        <v>13</v>
      </c>
      <c r="J325">
        <v>3.6616650379971902E-2</v>
      </c>
      <c r="K325" t="s">
        <v>14</v>
      </c>
      <c r="U325" t="s">
        <v>15</v>
      </c>
      <c r="V325" t="s">
        <v>562</v>
      </c>
      <c r="W325" t="s">
        <v>561</v>
      </c>
      <c r="X325" t="s">
        <v>19</v>
      </c>
    </row>
    <row r="326" spans="8:24" x14ac:dyDescent="0.45">
      <c r="H326" t="s">
        <v>323</v>
      </c>
      <c r="I326" t="s">
        <v>27</v>
      </c>
      <c r="J326">
        <v>3.6616650379971902E-2</v>
      </c>
      <c r="K326" t="s">
        <v>14</v>
      </c>
      <c r="U326" t="s">
        <v>15</v>
      </c>
      <c r="V326" t="s">
        <v>563</v>
      </c>
      <c r="W326" t="s">
        <v>86</v>
      </c>
      <c r="X326" t="s">
        <v>19</v>
      </c>
    </row>
    <row r="327" spans="8:24" x14ac:dyDescent="0.45">
      <c r="H327" t="s">
        <v>323</v>
      </c>
      <c r="I327" t="s">
        <v>36</v>
      </c>
      <c r="J327">
        <v>3.6616650379971902E-2</v>
      </c>
      <c r="K327" t="s">
        <v>14</v>
      </c>
      <c r="U327" t="s">
        <v>15</v>
      </c>
      <c r="V327" t="s">
        <v>563</v>
      </c>
      <c r="W327" t="s">
        <v>561</v>
      </c>
      <c r="X327" t="s">
        <v>19</v>
      </c>
    </row>
    <row r="328" spans="8:24" x14ac:dyDescent="0.45">
      <c r="H328" t="s">
        <v>324</v>
      </c>
      <c r="I328" t="s">
        <v>13</v>
      </c>
      <c r="J328">
        <v>1.1576395628258719E-3</v>
      </c>
      <c r="K328" t="s">
        <v>14</v>
      </c>
      <c r="U328" t="s">
        <v>15</v>
      </c>
      <c r="V328" t="s">
        <v>564</v>
      </c>
      <c r="W328" t="s">
        <v>561</v>
      </c>
      <c r="X328" t="s">
        <v>19</v>
      </c>
    </row>
    <row r="329" spans="8:24" x14ac:dyDescent="0.45">
      <c r="H329" t="s">
        <v>324</v>
      </c>
      <c r="I329" t="s">
        <v>27</v>
      </c>
      <c r="J329">
        <v>1.1576395628258719E-3</v>
      </c>
      <c r="K329" t="s">
        <v>14</v>
      </c>
      <c r="U329" t="s">
        <v>15</v>
      </c>
      <c r="V329" t="s">
        <v>565</v>
      </c>
      <c r="W329" t="s">
        <v>561</v>
      </c>
      <c r="X329" t="s">
        <v>19</v>
      </c>
    </row>
    <row r="330" spans="8:24" x14ac:dyDescent="0.45">
      <c r="H330" t="s">
        <v>324</v>
      </c>
      <c r="I330" t="s">
        <v>36</v>
      </c>
      <c r="J330">
        <v>1.1576395628258719E-3</v>
      </c>
      <c r="K330" t="s">
        <v>14</v>
      </c>
      <c r="U330" t="s">
        <v>15</v>
      </c>
      <c r="V330" t="s">
        <v>566</v>
      </c>
      <c r="W330" t="s">
        <v>561</v>
      </c>
      <c r="X330" t="s">
        <v>19</v>
      </c>
    </row>
    <row r="331" spans="8:24" x14ac:dyDescent="0.45">
      <c r="H331" t="s">
        <v>326</v>
      </c>
      <c r="I331" t="s">
        <v>13</v>
      </c>
      <c r="J331">
        <v>5.3675624714884336E-3</v>
      </c>
      <c r="K331" t="s">
        <v>14</v>
      </c>
      <c r="U331" t="s">
        <v>15</v>
      </c>
      <c r="V331" t="s">
        <v>566</v>
      </c>
      <c r="W331" t="s">
        <v>86</v>
      </c>
      <c r="X331" t="s">
        <v>17</v>
      </c>
    </row>
    <row r="332" spans="8:24" x14ac:dyDescent="0.45">
      <c r="H332" t="s">
        <v>326</v>
      </c>
      <c r="I332" t="s">
        <v>27</v>
      </c>
      <c r="J332">
        <v>5.3675624714884336E-3</v>
      </c>
      <c r="K332" t="s">
        <v>14</v>
      </c>
      <c r="U332" t="s">
        <v>15</v>
      </c>
      <c r="V332" t="s">
        <v>567</v>
      </c>
      <c r="W332" t="s">
        <v>561</v>
      </c>
      <c r="X332" t="s">
        <v>19</v>
      </c>
    </row>
    <row r="333" spans="8:24" x14ac:dyDescent="0.45">
      <c r="H333" t="s">
        <v>326</v>
      </c>
      <c r="I333" t="s">
        <v>36</v>
      </c>
      <c r="J333">
        <v>5.3675624714884336E-3</v>
      </c>
      <c r="K333" t="s">
        <v>14</v>
      </c>
      <c r="U333" t="s">
        <v>15</v>
      </c>
      <c r="V333" t="s">
        <v>567</v>
      </c>
      <c r="W333" t="s">
        <v>86</v>
      </c>
      <c r="X333" t="s">
        <v>17</v>
      </c>
    </row>
    <row r="334" spans="8:24" x14ac:dyDescent="0.45">
      <c r="H334" t="s">
        <v>327</v>
      </c>
      <c r="I334" t="s">
        <v>13</v>
      </c>
      <c r="J334">
        <v>5.0867550511116914E-3</v>
      </c>
      <c r="K334" t="s">
        <v>14</v>
      </c>
      <c r="U334" t="s">
        <v>15</v>
      </c>
      <c r="V334" t="s">
        <v>568</v>
      </c>
      <c r="W334" t="s">
        <v>90</v>
      </c>
      <c r="X334" t="s">
        <v>19</v>
      </c>
    </row>
    <row r="335" spans="8:24" x14ac:dyDescent="0.45">
      <c r="H335" t="s">
        <v>327</v>
      </c>
      <c r="I335" t="s">
        <v>27</v>
      </c>
      <c r="J335">
        <v>5.0867550511116914E-3</v>
      </c>
      <c r="K335" t="s">
        <v>14</v>
      </c>
      <c r="U335" t="s">
        <v>15</v>
      </c>
      <c r="V335" t="s">
        <v>569</v>
      </c>
      <c r="W335" t="s">
        <v>90</v>
      </c>
      <c r="X335" t="s">
        <v>19</v>
      </c>
    </row>
    <row r="336" spans="8:24" x14ac:dyDescent="0.45">
      <c r="H336" t="s">
        <v>327</v>
      </c>
      <c r="I336" t="s">
        <v>36</v>
      </c>
      <c r="J336">
        <v>5.0867550511116914E-3</v>
      </c>
      <c r="K336" t="s">
        <v>14</v>
      </c>
      <c r="U336" t="s">
        <v>15</v>
      </c>
      <c r="V336" t="s">
        <v>570</v>
      </c>
      <c r="W336" t="s">
        <v>90</v>
      </c>
      <c r="X336" t="s">
        <v>19</v>
      </c>
    </row>
    <row r="337" spans="8:24" x14ac:dyDescent="0.45">
      <c r="H337" t="s">
        <v>329</v>
      </c>
      <c r="I337" t="s">
        <v>13</v>
      </c>
      <c r="J337">
        <v>2.5522936781708799E-3</v>
      </c>
      <c r="K337" t="s">
        <v>14</v>
      </c>
      <c r="U337" t="s">
        <v>15</v>
      </c>
      <c r="V337" t="s">
        <v>571</v>
      </c>
      <c r="W337" t="s">
        <v>90</v>
      </c>
      <c r="X337" t="s">
        <v>19</v>
      </c>
    </row>
    <row r="338" spans="8:24" x14ac:dyDescent="0.45">
      <c r="H338" t="s">
        <v>329</v>
      </c>
      <c r="I338" t="s">
        <v>27</v>
      </c>
      <c r="J338">
        <v>2.5522936781708799E-3</v>
      </c>
      <c r="K338" t="s">
        <v>14</v>
      </c>
      <c r="U338" t="s">
        <v>15</v>
      </c>
      <c r="V338" t="s">
        <v>572</v>
      </c>
      <c r="W338" t="s">
        <v>90</v>
      </c>
      <c r="X338" t="s">
        <v>19</v>
      </c>
    </row>
    <row r="339" spans="8:24" x14ac:dyDescent="0.45">
      <c r="H339" t="s">
        <v>329</v>
      </c>
      <c r="I339" t="s">
        <v>36</v>
      </c>
      <c r="J339">
        <v>2.5522936781708799E-3</v>
      </c>
      <c r="K339" t="s">
        <v>14</v>
      </c>
      <c r="U339" t="s">
        <v>15</v>
      </c>
      <c r="V339" t="s">
        <v>573</v>
      </c>
      <c r="W339" t="s">
        <v>90</v>
      </c>
      <c r="X339" t="s">
        <v>19</v>
      </c>
    </row>
    <row r="340" spans="8:24" x14ac:dyDescent="0.45">
      <c r="H340" t="s">
        <v>331</v>
      </c>
      <c r="I340" t="s">
        <v>13</v>
      </c>
      <c r="J340">
        <v>3.3434873282738062E-3</v>
      </c>
      <c r="K340" t="s">
        <v>14</v>
      </c>
      <c r="U340" t="s">
        <v>15</v>
      </c>
      <c r="V340" t="s">
        <v>574</v>
      </c>
      <c r="W340" t="s">
        <v>90</v>
      </c>
      <c r="X340" t="s">
        <v>19</v>
      </c>
    </row>
    <row r="341" spans="8:24" x14ac:dyDescent="0.45">
      <c r="H341" t="s">
        <v>331</v>
      </c>
      <c r="I341" t="s">
        <v>27</v>
      </c>
      <c r="J341">
        <v>3.3434873282738062E-3</v>
      </c>
      <c r="K341" t="s">
        <v>14</v>
      </c>
      <c r="U341" t="s">
        <v>15</v>
      </c>
      <c r="V341" t="s">
        <v>575</v>
      </c>
      <c r="W341" t="s">
        <v>90</v>
      </c>
      <c r="X341" t="s">
        <v>19</v>
      </c>
    </row>
    <row r="342" spans="8:24" x14ac:dyDescent="0.45">
      <c r="H342" t="s">
        <v>331</v>
      </c>
      <c r="I342" t="s">
        <v>36</v>
      </c>
      <c r="J342">
        <v>3.3434873282738062E-3</v>
      </c>
      <c r="K342" t="s">
        <v>14</v>
      </c>
      <c r="U342" t="s">
        <v>15</v>
      </c>
      <c r="V342" t="s">
        <v>576</v>
      </c>
      <c r="W342" t="s">
        <v>90</v>
      </c>
      <c r="X342" t="s">
        <v>19</v>
      </c>
    </row>
    <row r="343" spans="8:24" x14ac:dyDescent="0.45">
      <c r="H343" t="s">
        <v>333</v>
      </c>
      <c r="I343" t="s">
        <v>13</v>
      </c>
      <c r="J343">
        <v>9.2829288495468263E-3</v>
      </c>
      <c r="K343" t="s">
        <v>14</v>
      </c>
      <c r="U343" t="s">
        <v>15</v>
      </c>
      <c r="V343" t="s">
        <v>577</v>
      </c>
      <c r="W343" t="s">
        <v>90</v>
      </c>
      <c r="X343" t="s">
        <v>19</v>
      </c>
    </row>
    <row r="344" spans="8:24" x14ac:dyDescent="0.45">
      <c r="H344" t="s">
        <v>333</v>
      </c>
      <c r="I344" t="s">
        <v>27</v>
      </c>
      <c r="J344">
        <v>9.2829288495468263E-3</v>
      </c>
      <c r="K344" t="s">
        <v>14</v>
      </c>
      <c r="U344" t="s">
        <v>15</v>
      </c>
      <c r="V344" t="s">
        <v>578</v>
      </c>
      <c r="W344" t="s">
        <v>90</v>
      </c>
      <c r="X344" t="s">
        <v>19</v>
      </c>
    </row>
    <row r="345" spans="8:24" x14ac:dyDescent="0.45">
      <c r="H345" t="s">
        <v>333</v>
      </c>
      <c r="I345" t="s">
        <v>36</v>
      </c>
      <c r="J345">
        <v>9.2829288495468263E-3</v>
      </c>
      <c r="K345" t="s">
        <v>14</v>
      </c>
      <c r="U345" t="s">
        <v>15</v>
      </c>
      <c r="V345" t="s">
        <v>578</v>
      </c>
      <c r="W345" t="s">
        <v>428</v>
      </c>
      <c r="X345" t="s">
        <v>19</v>
      </c>
    </row>
    <row r="346" spans="8:24" x14ac:dyDescent="0.45">
      <c r="H346" t="s">
        <v>335</v>
      </c>
      <c r="I346" t="s">
        <v>13</v>
      </c>
      <c r="J346">
        <v>4.0721481264519585E-3</v>
      </c>
      <c r="K346" t="s">
        <v>14</v>
      </c>
      <c r="U346" t="s">
        <v>15</v>
      </c>
      <c r="V346" t="s">
        <v>579</v>
      </c>
      <c r="W346" t="s">
        <v>90</v>
      </c>
      <c r="X346" t="s">
        <v>19</v>
      </c>
    </row>
    <row r="347" spans="8:24" x14ac:dyDescent="0.45">
      <c r="H347" t="s">
        <v>335</v>
      </c>
      <c r="I347" t="s">
        <v>27</v>
      </c>
      <c r="J347">
        <v>4.0721481264519585E-3</v>
      </c>
      <c r="K347" t="s">
        <v>14</v>
      </c>
      <c r="U347" t="s">
        <v>15</v>
      </c>
      <c r="V347" t="s">
        <v>579</v>
      </c>
      <c r="W347" t="s">
        <v>428</v>
      </c>
      <c r="X347" t="s">
        <v>19</v>
      </c>
    </row>
    <row r="348" spans="8:24" x14ac:dyDescent="0.45">
      <c r="H348" t="s">
        <v>335</v>
      </c>
      <c r="I348" t="s">
        <v>36</v>
      </c>
      <c r="J348">
        <v>4.0721481264519585E-3</v>
      </c>
      <c r="K348" t="s">
        <v>14</v>
      </c>
      <c r="U348" t="s">
        <v>15</v>
      </c>
      <c r="V348" t="s">
        <v>580</v>
      </c>
      <c r="W348" t="s">
        <v>90</v>
      </c>
      <c r="X348" t="s">
        <v>19</v>
      </c>
    </row>
    <row r="349" spans="8:24" x14ac:dyDescent="0.45">
      <c r="H349" t="s">
        <v>337</v>
      </c>
      <c r="I349" t="s">
        <v>13</v>
      </c>
      <c r="J349">
        <v>1.2515662450557463E-2</v>
      </c>
      <c r="K349" t="s">
        <v>14</v>
      </c>
      <c r="U349" t="s">
        <v>15</v>
      </c>
      <c r="V349" t="s">
        <v>580</v>
      </c>
      <c r="W349" t="s">
        <v>428</v>
      </c>
      <c r="X349" t="s">
        <v>19</v>
      </c>
    </row>
    <row r="350" spans="8:24" x14ac:dyDescent="0.45">
      <c r="H350" t="s">
        <v>337</v>
      </c>
      <c r="I350" t="s">
        <v>27</v>
      </c>
      <c r="J350">
        <v>1.2515662450557463E-2</v>
      </c>
      <c r="K350" t="s">
        <v>14</v>
      </c>
      <c r="U350" t="s">
        <v>15</v>
      </c>
      <c r="V350" t="s">
        <v>581</v>
      </c>
      <c r="W350" t="s">
        <v>428</v>
      </c>
      <c r="X350" t="s">
        <v>19</v>
      </c>
    </row>
    <row r="351" spans="8:24" x14ac:dyDescent="0.45">
      <c r="H351" t="s">
        <v>337</v>
      </c>
      <c r="I351" t="s">
        <v>36</v>
      </c>
      <c r="J351">
        <v>1.2515662450557463E-2</v>
      </c>
      <c r="K351" t="s">
        <v>14</v>
      </c>
      <c r="U351" t="s">
        <v>15</v>
      </c>
      <c r="V351" t="s">
        <v>582</v>
      </c>
      <c r="W351" t="s">
        <v>428</v>
      </c>
      <c r="X351" t="s">
        <v>19</v>
      </c>
    </row>
    <row r="352" spans="8:24" x14ac:dyDescent="0.45">
      <c r="H352" t="s">
        <v>339</v>
      </c>
      <c r="I352" t="s">
        <v>13</v>
      </c>
      <c r="J352">
        <v>5.1163821716811303E-3</v>
      </c>
      <c r="K352" t="s">
        <v>14</v>
      </c>
      <c r="U352" t="s">
        <v>15</v>
      </c>
      <c r="V352" t="s">
        <v>583</v>
      </c>
      <c r="W352" t="s">
        <v>428</v>
      </c>
      <c r="X352" t="s">
        <v>19</v>
      </c>
    </row>
    <row r="353" spans="8:24" x14ac:dyDescent="0.45">
      <c r="H353" t="s">
        <v>339</v>
      </c>
      <c r="I353" t="s">
        <v>27</v>
      </c>
      <c r="J353">
        <v>5.1163821716811303E-3</v>
      </c>
      <c r="K353" t="s">
        <v>14</v>
      </c>
      <c r="U353" t="s">
        <v>15</v>
      </c>
      <c r="V353" t="s">
        <v>583</v>
      </c>
      <c r="W353" t="s">
        <v>90</v>
      </c>
      <c r="X353" t="s">
        <v>17</v>
      </c>
    </row>
    <row r="354" spans="8:24" x14ac:dyDescent="0.45">
      <c r="H354" t="s">
        <v>339</v>
      </c>
      <c r="I354" t="s">
        <v>36</v>
      </c>
      <c r="J354">
        <v>5.1163821716811303E-3</v>
      </c>
      <c r="K354" t="s">
        <v>14</v>
      </c>
      <c r="U354" t="s">
        <v>15</v>
      </c>
      <c r="V354" t="s">
        <v>584</v>
      </c>
      <c r="W354" t="s">
        <v>428</v>
      </c>
      <c r="X354" t="s">
        <v>19</v>
      </c>
    </row>
    <row r="355" spans="8:24" x14ac:dyDescent="0.45">
      <c r="H355" t="s">
        <v>341</v>
      </c>
      <c r="I355" t="s">
        <v>13</v>
      </c>
      <c r="J355">
        <v>9.8369424079460237E-3</v>
      </c>
      <c r="K355" t="s">
        <v>14</v>
      </c>
      <c r="U355" t="s">
        <v>15</v>
      </c>
      <c r="V355" t="s">
        <v>584</v>
      </c>
      <c r="W355" t="s">
        <v>90</v>
      </c>
      <c r="X355" t="s">
        <v>17</v>
      </c>
    </row>
    <row r="356" spans="8:24" x14ac:dyDescent="0.45">
      <c r="H356" t="s">
        <v>341</v>
      </c>
      <c r="I356" t="s">
        <v>27</v>
      </c>
      <c r="J356">
        <v>9.8369424079460237E-3</v>
      </c>
      <c r="K356" t="s">
        <v>14</v>
      </c>
      <c r="U356" t="s">
        <v>15</v>
      </c>
      <c r="V356" t="s">
        <v>585</v>
      </c>
      <c r="W356" t="s">
        <v>93</v>
      </c>
      <c r="X356" t="s">
        <v>19</v>
      </c>
    </row>
    <row r="357" spans="8:24" x14ac:dyDescent="0.45">
      <c r="H357" t="s">
        <v>341</v>
      </c>
      <c r="I357" t="s">
        <v>36</v>
      </c>
      <c r="J357">
        <v>9.8369424079460237E-3</v>
      </c>
      <c r="K357" t="s">
        <v>14</v>
      </c>
      <c r="U357" t="s">
        <v>15</v>
      </c>
      <c r="V357" t="s">
        <v>586</v>
      </c>
      <c r="W357" t="s">
        <v>93</v>
      </c>
      <c r="X357" t="s">
        <v>19</v>
      </c>
    </row>
    <row r="358" spans="8:24" x14ac:dyDescent="0.45">
      <c r="H358" t="s">
        <v>343</v>
      </c>
      <c r="I358" t="s">
        <v>13</v>
      </c>
      <c r="J358">
        <v>3.626041548450244E-3</v>
      </c>
      <c r="K358" t="s">
        <v>14</v>
      </c>
      <c r="U358" t="s">
        <v>15</v>
      </c>
      <c r="V358" t="s">
        <v>587</v>
      </c>
      <c r="W358" t="s">
        <v>93</v>
      </c>
      <c r="X358" t="s">
        <v>19</v>
      </c>
    </row>
    <row r="359" spans="8:24" x14ac:dyDescent="0.45">
      <c r="H359" t="s">
        <v>343</v>
      </c>
      <c r="I359" t="s">
        <v>27</v>
      </c>
      <c r="J359">
        <v>3.626041548450244E-3</v>
      </c>
      <c r="K359" t="s">
        <v>14</v>
      </c>
      <c r="U359" t="s">
        <v>15</v>
      </c>
      <c r="V359" t="s">
        <v>588</v>
      </c>
      <c r="W359" t="s">
        <v>93</v>
      </c>
      <c r="X359" t="s">
        <v>19</v>
      </c>
    </row>
    <row r="360" spans="8:24" x14ac:dyDescent="0.45">
      <c r="H360" t="s">
        <v>343</v>
      </c>
      <c r="I360" t="s">
        <v>36</v>
      </c>
      <c r="J360">
        <v>3.626041548450244E-3</v>
      </c>
      <c r="K360" t="s">
        <v>14</v>
      </c>
      <c r="U360" t="s">
        <v>15</v>
      </c>
      <c r="V360" t="s">
        <v>589</v>
      </c>
      <c r="W360" t="s">
        <v>93</v>
      </c>
      <c r="X360" t="s">
        <v>19</v>
      </c>
    </row>
    <row r="361" spans="8:24" x14ac:dyDescent="0.45">
      <c r="H361" t="s">
        <v>345</v>
      </c>
      <c r="I361" t="s">
        <v>13</v>
      </c>
      <c r="J361">
        <v>5.5571731029676677E-3</v>
      </c>
      <c r="K361" t="s">
        <v>14</v>
      </c>
      <c r="U361" t="s">
        <v>15</v>
      </c>
      <c r="V361" t="s">
        <v>590</v>
      </c>
      <c r="W361" t="s">
        <v>93</v>
      </c>
      <c r="X361" t="s">
        <v>19</v>
      </c>
    </row>
    <row r="362" spans="8:24" x14ac:dyDescent="0.45">
      <c r="H362" t="s">
        <v>345</v>
      </c>
      <c r="I362" t="s">
        <v>27</v>
      </c>
      <c r="J362">
        <v>5.5571731029676677E-3</v>
      </c>
      <c r="K362" t="s">
        <v>14</v>
      </c>
      <c r="U362" t="s">
        <v>15</v>
      </c>
      <c r="V362" t="s">
        <v>591</v>
      </c>
      <c r="W362" t="s">
        <v>93</v>
      </c>
      <c r="X362" t="s">
        <v>19</v>
      </c>
    </row>
    <row r="363" spans="8:24" x14ac:dyDescent="0.45">
      <c r="H363" t="s">
        <v>345</v>
      </c>
      <c r="I363" t="s">
        <v>36</v>
      </c>
      <c r="J363">
        <v>5.5571731029676677E-3</v>
      </c>
      <c r="K363" t="s">
        <v>14</v>
      </c>
      <c r="U363" t="s">
        <v>15</v>
      </c>
      <c r="V363" t="s">
        <v>592</v>
      </c>
      <c r="W363" t="s">
        <v>93</v>
      </c>
      <c r="X363" t="s">
        <v>19</v>
      </c>
    </row>
    <row r="364" spans="8:24" x14ac:dyDescent="0.45">
      <c r="H364" t="s">
        <v>347</v>
      </c>
      <c r="I364" t="s">
        <v>13</v>
      </c>
      <c r="J364">
        <v>2.9682584700861541E-3</v>
      </c>
      <c r="K364" t="s">
        <v>14</v>
      </c>
      <c r="U364" t="s">
        <v>15</v>
      </c>
      <c r="V364" t="s">
        <v>593</v>
      </c>
      <c r="W364" t="s">
        <v>93</v>
      </c>
      <c r="X364" t="s">
        <v>19</v>
      </c>
    </row>
    <row r="365" spans="8:24" x14ac:dyDescent="0.45">
      <c r="H365" t="s">
        <v>347</v>
      </c>
      <c r="I365" t="s">
        <v>27</v>
      </c>
      <c r="J365">
        <v>2.9682584700861541E-3</v>
      </c>
      <c r="K365" t="s">
        <v>14</v>
      </c>
      <c r="U365" t="s">
        <v>15</v>
      </c>
      <c r="V365" t="s">
        <v>594</v>
      </c>
      <c r="W365" t="s">
        <v>93</v>
      </c>
      <c r="X365" t="s">
        <v>19</v>
      </c>
    </row>
    <row r="366" spans="8:24" x14ac:dyDescent="0.45">
      <c r="H366" t="s">
        <v>347</v>
      </c>
      <c r="I366" t="s">
        <v>36</v>
      </c>
      <c r="J366">
        <v>2.9682584700861541E-3</v>
      </c>
      <c r="K366" t="s">
        <v>14</v>
      </c>
      <c r="U366" t="s">
        <v>15</v>
      </c>
      <c r="V366" t="s">
        <v>595</v>
      </c>
      <c r="W366" t="s">
        <v>93</v>
      </c>
      <c r="X366" t="s">
        <v>19</v>
      </c>
    </row>
    <row r="367" spans="8:24" x14ac:dyDescent="0.45">
      <c r="H367" t="s">
        <v>349</v>
      </c>
      <c r="I367" t="s">
        <v>13</v>
      </c>
      <c r="J367">
        <v>0.24126655237657862</v>
      </c>
      <c r="K367" t="s">
        <v>14</v>
      </c>
      <c r="U367" t="s">
        <v>15</v>
      </c>
      <c r="V367" t="s">
        <v>595</v>
      </c>
      <c r="W367" t="s">
        <v>421</v>
      </c>
      <c r="X367" t="s">
        <v>19</v>
      </c>
    </row>
    <row r="368" spans="8:24" x14ac:dyDescent="0.45">
      <c r="H368" t="s">
        <v>349</v>
      </c>
      <c r="I368" t="s">
        <v>27</v>
      </c>
      <c r="J368">
        <v>0.24126655237657862</v>
      </c>
      <c r="K368" t="s">
        <v>14</v>
      </c>
      <c r="U368" t="s">
        <v>15</v>
      </c>
      <c r="V368" t="s">
        <v>596</v>
      </c>
      <c r="W368" t="s">
        <v>93</v>
      </c>
      <c r="X368" t="s">
        <v>19</v>
      </c>
    </row>
    <row r="369" spans="8:24" x14ac:dyDescent="0.45">
      <c r="H369" t="s">
        <v>349</v>
      </c>
      <c r="I369" t="s">
        <v>36</v>
      </c>
      <c r="J369">
        <v>0.24126655237657862</v>
      </c>
      <c r="K369" t="s">
        <v>14</v>
      </c>
      <c r="U369" t="s">
        <v>15</v>
      </c>
      <c r="V369" t="s">
        <v>596</v>
      </c>
      <c r="W369" t="s">
        <v>421</v>
      </c>
      <c r="X369" t="s">
        <v>19</v>
      </c>
    </row>
    <row r="370" spans="8:24" x14ac:dyDescent="0.45">
      <c r="H370" t="s">
        <v>351</v>
      </c>
      <c r="I370" t="s">
        <v>13</v>
      </c>
      <c r="J370">
        <v>4.7741348240542769E-2</v>
      </c>
      <c r="K370" t="s">
        <v>14</v>
      </c>
      <c r="U370" t="s">
        <v>15</v>
      </c>
      <c r="V370" t="s">
        <v>597</v>
      </c>
      <c r="W370" t="s">
        <v>93</v>
      </c>
      <c r="X370" t="s">
        <v>19</v>
      </c>
    </row>
    <row r="371" spans="8:24" x14ac:dyDescent="0.45">
      <c r="H371" t="s">
        <v>351</v>
      </c>
      <c r="I371" t="s">
        <v>27</v>
      </c>
      <c r="J371">
        <v>4.7741348240542769E-2</v>
      </c>
      <c r="K371" t="s">
        <v>14</v>
      </c>
      <c r="U371" t="s">
        <v>15</v>
      </c>
      <c r="V371" t="s">
        <v>597</v>
      </c>
      <c r="W371" t="s">
        <v>421</v>
      </c>
      <c r="X371" t="s">
        <v>19</v>
      </c>
    </row>
    <row r="372" spans="8:24" x14ac:dyDescent="0.45">
      <c r="H372" t="s">
        <v>351</v>
      </c>
      <c r="I372" t="s">
        <v>36</v>
      </c>
      <c r="J372">
        <v>4.7741348240542769E-2</v>
      </c>
      <c r="K372" t="s">
        <v>14</v>
      </c>
      <c r="U372" t="s">
        <v>15</v>
      </c>
      <c r="V372" t="s">
        <v>598</v>
      </c>
      <c r="W372" t="s">
        <v>421</v>
      </c>
      <c r="X372" t="s">
        <v>19</v>
      </c>
    </row>
    <row r="373" spans="8:24" x14ac:dyDescent="0.45">
      <c r="H373" t="s">
        <v>353</v>
      </c>
      <c r="I373" t="s">
        <v>13</v>
      </c>
      <c r="J373">
        <v>5.0558998273974101E-2</v>
      </c>
      <c r="K373" t="s">
        <v>14</v>
      </c>
      <c r="U373" t="s">
        <v>15</v>
      </c>
      <c r="V373" t="s">
        <v>599</v>
      </c>
      <c r="W373" t="s">
        <v>421</v>
      </c>
      <c r="X373" t="s">
        <v>19</v>
      </c>
    </row>
    <row r="374" spans="8:24" x14ac:dyDescent="0.45">
      <c r="H374" t="s">
        <v>353</v>
      </c>
      <c r="I374" t="s">
        <v>27</v>
      </c>
      <c r="J374">
        <v>5.0558998273974101E-2</v>
      </c>
      <c r="K374" t="s">
        <v>14</v>
      </c>
      <c r="U374" t="s">
        <v>15</v>
      </c>
      <c r="V374" t="s">
        <v>600</v>
      </c>
      <c r="W374" t="s">
        <v>421</v>
      </c>
      <c r="X374" t="s">
        <v>19</v>
      </c>
    </row>
    <row r="375" spans="8:24" x14ac:dyDescent="0.45">
      <c r="H375" t="s">
        <v>353</v>
      </c>
      <c r="I375" t="s">
        <v>36</v>
      </c>
      <c r="J375">
        <v>5.0558998273974101E-2</v>
      </c>
      <c r="K375" t="s">
        <v>14</v>
      </c>
      <c r="U375" t="s">
        <v>15</v>
      </c>
      <c r="V375" t="s">
        <v>600</v>
      </c>
      <c r="W375" t="s">
        <v>93</v>
      </c>
      <c r="X375" t="s">
        <v>17</v>
      </c>
    </row>
    <row r="376" spans="8:24" x14ac:dyDescent="0.45">
      <c r="H376" t="s">
        <v>354</v>
      </c>
      <c r="I376" t="s">
        <v>13</v>
      </c>
      <c r="J376">
        <v>1.0131390521420966E-2</v>
      </c>
      <c r="K376" t="s">
        <v>14</v>
      </c>
      <c r="U376" t="s">
        <v>15</v>
      </c>
      <c r="V376" t="s">
        <v>601</v>
      </c>
      <c r="W376" t="s">
        <v>421</v>
      </c>
      <c r="X376" t="s">
        <v>19</v>
      </c>
    </row>
    <row r="377" spans="8:24" x14ac:dyDescent="0.45">
      <c r="H377" t="s">
        <v>354</v>
      </c>
      <c r="I377" t="s">
        <v>27</v>
      </c>
      <c r="J377">
        <v>1.0131390521420966E-2</v>
      </c>
      <c r="K377" t="s">
        <v>14</v>
      </c>
      <c r="U377" t="s">
        <v>15</v>
      </c>
      <c r="V377" t="s">
        <v>601</v>
      </c>
      <c r="W377" t="s">
        <v>93</v>
      </c>
      <c r="X377" t="s">
        <v>17</v>
      </c>
    </row>
    <row r="378" spans="8:24" x14ac:dyDescent="0.45">
      <c r="H378" t="s">
        <v>354</v>
      </c>
      <c r="I378" t="s">
        <v>36</v>
      </c>
      <c r="J378">
        <v>1.0131390521420966E-2</v>
      </c>
      <c r="K378" t="s">
        <v>14</v>
      </c>
      <c r="U378" t="s">
        <v>15</v>
      </c>
      <c r="V378" t="s">
        <v>602</v>
      </c>
      <c r="W378" t="s">
        <v>97</v>
      </c>
      <c r="X378" t="s">
        <v>19</v>
      </c>
    </row>
    <row r="379" spans="8:24" x14ac:dyDescent="0.45">
      <c r="H379" t="s">
        <v>356</v>
      </c>
      <c r="I379" t="s">
        <v>13</v>
      </c>
      <c r="J379">
        <v>7.9990265077930466E-3</v>
      </c>
      <c r="K379" t="s">
        <v>14</v>
      </c>
      <c r="U379" t="s">
        <v>15</v>
      </c>
      <c r="V379" t="s">
        <v>603</v>
      </c>
      <c r="W379" t="s">
        <v>97</v>
      </c>
      <c r="X379" t="s">
        <v>19</v>
      </c>
    </row>
    <row r="380" spans="8:24" x14ac:dyDescent="0.45">
      <c r="H380" t="s">
        <v>356</v>
      </c>
      <c r="I380" t="s">
        <v>27</v>
      </c>
      <c r="J380">
        <v>7.9990265077930466E-3</v>
      </c>
      <c r="K380" t="s">
        <v>14</v>
      </c>
      <c r="U380" t="s">
        <v>15</v>
      </c>
      <c r="V380" t="s">
        <v>604</v>
      </c>
      <c r="W380" t="s">
        <v>97</v>
      </c>
      <c r="X380" t="s">
        <v>19</v>
      </c>
    </row>
    <row r="381" spans="8:24" x14ac:dyDescent="0.45">
      <c r="H381" t="s">
        <v>356</v>
      </c>
      <c r="I381" t="s">
        <v>36</v>
      </c>
      <c r="J381">
        <v>7.9990265077930466E-3</v>
      </c>
      <c r="K381" t="s">
        <v>14</v>
      </c>
      <c r="U381" t="s">
        <v>15</v>
      </c>
      <c r="V381" t="s">
        <v>605</v>
      </c>
      <c r="W381" t="s">
        <v>97</v>
      </c>
      <c r="X381" t="s">
        <v>19</v>
      </c>
    </row>
    <row r="382" spans="8:24" x14ac:dyDescent="0.45">
      <c r="H382" t="s">
        <v>357</v>
      </c>
      <c r="I382" t="s">
        <v>13</v>
      </c>
      <c r="J382">
        <v>5.9969581717619702E-3</v>
      </c>
      <c r="K382" t="s">
        <v>14</v>
      </c>
      <c r="U382" t="s">
        <v>15</v>
      </c>
      <c r="V382" t="s">
        <v>606</v>
      </c>
      <c r="W382" t="s">
        <v>97</v>
      </c>
      <c r="X382" t="s">
        <v>19</v>
      </c>
    </row>
    <row r="383" spans="8:24" x14ac:dyDescent="0.45">
      <c r="H383" t="s">
        <v>357</v>
      </c>
      <c r="I383" t="s">
        <v>27</v>
      </c>
      <c r="J383">
        <v>5.9969581717619702E-3</v>
      </c>
      <c r="K383" t="s">
        <v>14</v>
      </c>
      <c r="U383" t="s">
        <v>15</v>
      </c>
      <c r="V383" t="s">
        <v>607</v>
      </c>
      <c r="W383" t="s">
        <v>97</v>
      </c>
      <c r="X383" t="s">
        <v>19</v>
      </c>
    </row>
    <row r="384" spans="8:24" x14ac:dyDescent="0.45">
      <c r="H384" t="s">
        <v>357</v>
      </c>
      <c r="I384" t="s">
        <v>36</v>
      </c>
      <c r="J384">
        <v>5.9969581717619702E-3</v>
      </c>
      <c r="K384" t="s">
        <v>14</v>
      </c>
      <c r="U384" t="s">
        <v>15</v>
      </c>
      <c r="V384" t="s">
        <v>608</v>
      </c>
      <c r="W384" t="s">
        <v>97</v>
      </c>
      <c r="X384" t="s">
        <v>19</v>
      </c>
    </row>
    <row r="385" spans="8:24" x14ac:dyDescent="0.45">
      <c r="H385" t="s">
        <v>359</v>
      </c>
      <c r="I385" t="s">
        <v>13</v>
      </c>
      <c r="J385">
        <v>9.4500834159670817E-3</v>
      </c>
      <c r="K385" t="s">
        <v>14</v>
      </c>
      <c r="U385" t="s">
        <v>15</v>
      </c>
      <c r="V385" t="s">
        <v>609</v>
      </c>
      <c r="W385" t="s">
        <v>97</v>
      </c>
      <c r="X385" t="s">
        <v>19</v>
      </c>
    </row>
    <row r="386" spans="8:24" x14ac:dyDescent="0.45">
      <c r="H386" t="s">
        <v>359</v>
      </c>
      <c r="I386" t="s">
        <v>27</v>
      </c>
      <c r="J386">
        <v>9.4500834159670817E-3</v>
      </c>
      <c r="K386" t="s">
        <v>14</v>
      </c>
      <c r="U386" t="s">
        <v>15</v>
      </c>
      <c r="V386" t="s">
        <v>610</v>
      </c>
      <c r="W386" t="s">
        <v>97</v>
      </c>
      <c r="X386" t="s">
        <v>19</v>
      </c>
    </row>
    <row r="387" spans="8:24" x14ac:dyDescent="0.45">
      <c r="H387" t="s">
        <v>359</v>
      </c>
      <c r="I387" t="s">
        <v>36</v>
      </c>
      <c r="J387">
        <v>9.4500834159670817E-3</v>
      </c>
      <c r="K387" t="s">
        <v>14</v>
      </c>
      <c r="U387" t="s">
        <v>15</v>
      </c>
      <c r="V387" t="s">
        <v>611</v>
      </c>
      <c r="W387" t="s">
        <v>97</v>
      </c>
      <c r="X387" t="s">
        <v>19</v>
      </c>
    </row>
    <row r="388" spans="8:24" x14ac:dyDescent="0.45">
      <c r="H388" t="s">
        <v>361</v>
      </c>
      <c r="I388" t="s">
        <v>13</v>
      </c>
      <c r="J388">
        <v>9.0410425206741071E-3</v>
      </c>
      <c r="K388" t="s">
        <v>14</v>
      </c>
      <c r="U388" t="s">
        <v>15</v>
      </c>
      <c r="V388" t="s">
        <v>612</v>
      </c>
      <c r="W388" t="s">
        <v>97</v>
      </c>
      <c r="X388" t="s">
        <v>19</v>
      </c>
    </row>
    <row r="389" spans="8:24" x14ac:dyDescent="0.45">
      <c r="H389" t="s">
        <v>361</v>
      </c>
      <c r="I389" t="s">
        <v>27</v>
      </c>
      <c r="J389">
        <v>9.0410425206741071E-3</v>
      </c>
      <c r="K389" t="s">
        <v>14</v>
      </c>
      <c r="U389" t="s">
        <v>15</v>
      </c>
      <c r="V389" t="s">
        <v>612</v>
      </c>
      <c r="W389" t="s">
        <v>613</v>
      </c>
      <c r="X389" t="s">
        <v>19</v>
      </c>
    </row>
    <row r="390" spans="8:24" x14ac:dyDescent="0.45">
      <c r="H390" t="s">
        <v>361</v>
      </c>
      <c r="I390" t="s">
        <v>36</v>
      </c>
      <c r="J390">
        <v>9.0410425206741071E-3</v>
      </c>
      <c r="K390" t="s">
        <v>14</v>
      </c>
      <c r="U390" t="s">
        <v>15</v>
      </c>
      <c r="V390" t="s">
        <v>614</v>
      </c>
      <c r="W390" t="s">
        <v>97</v>
      </c>
      <c r="X390" t="s">
        <v>19</v>
      </c>
    </row>
    <row r="391" spans="8:24" x14ac:dyDescent="0.45">
      <c r="H391" t="s">
        <v>363</v>
      </c>
      <c r="I391" t="s">
        <v>13</v>
      </c>
      <c r="J391">
        <v>8.7984816269158061E-3</v>
      </c>
      <c r="K391" t="s">
        <v>14</v>
      </c>
      <c r="U391" t="s">
        <v>15</v>
      </c>
      <c r="V391" t="s">
        <v>614</v>
      </c>
      <c r="W391" t="s">
        <v>613</v>
      </c>
      <c r="X391" t="s">
        <v>19</v>
      </c>
    </row>
    <row r="392" spans="8:24" x14ac:dyDescent="0.45">
      <c r="H392" t="s">
        <v>363</v>
      </c>
      <c r="I392" t="s">
        <v>27</v>
      </c>
      <c r="J392">
        <v>8.7984816269158061E-3</v>
      </c>
      <c r="K392" t="s">
        <v>14</v>
      </c>
      <c r="U392" t="s">
        <v>15</v>
      </c>
      <c r="V392" t="s">
        <v>615</v>
      </c>
      <c r="W392" t="s">
        <v>97</v>
      </c>
      <c r="X392" t="s">
        <v>19</v>
      </c>
    </row>
    <row r="393" spans="8:24" x14ac:dyDescent="0.45">
      <c r="H393" t="s">
        <v>363</v>
      </c>
      <c r="I393" t="s">
        <v>36</v>
      </c>
      <c r="J393">
        <v>8.7984816269158061E-3</v>
      </c>
      <c r="K393" t="s">
        <v>14</v>
      </c>
      <c r="U393" t="s">
        <v>15</v>
      </c>
      <c r="V393" t="s">
        <v>615</v>
      </c>
      <c r="W393" t="s">
        <v>613</v>
      </c>
      <c r="X393" t="s">
        <v>19</v>
      </c>
    </row>
    <row r="394" spans="8:24" x14ac:dyDescent="0.45">
      <c r="H394" t="s">
        <v>364</v>
      </c>
      <c r="I394" t="s">
        <v>13</v>
      </c>
      <c r="J394">
        <v>0.26360423996440069</v>
      </c>
      <c r="K394" t="s">
        <v>14</v>
      </c>
      <c r="U394" t="s">
        <v>15</v>
      </c>
      <c r="V394" t="s">
        <v>616</v>
      </c>
      <c r="W394" t="s">
        <v>613</v>
      </c>
      <c r="X394" t="s">
        <v>19</v>
      </c>
    </row>
    <row r="395" spans="8:24" x14ac:dyDescent="0.45">
      <c r="H395" t="s">
        <v>364</v>
      </c>
      <c r="I395" t="s">
        <v>27</v>
      </c>
      <c r="J395">
        <v>0.26360423996440069</v>
      </c>
      <c r="K395" t="s">
        <v>14</v>
      </c>
      <c r="U395" t="s">
        <v>15</v>
      </c>
      <c r="V395" t="s">
        <v>617</v>
      </c>
      <c r="W395" t="s">
        <v>613</v>
      </c>
      <c r="X395" t="s">
        <v>19</v>
      </c>
    </row>
    <row r="396" spans="8:24" x14ac:dyDescent="0.45">
      <c r="H396" t="s">
        <v>364</v>
      </c>
      <c r="I396" t="s">
        <v>36</v>
      </c>
      <c r="J396">
        <v>0.26360423996440069</v>
      </c>
      <c r="K396" t="s">
        <v>14</v>
      </c>
      <c r="U396" t="s">
        <v>15</v>
      </c>
      <c r="V396" t="s">
        <v>618</v>
      </c>
      <c r="W396" t="s">
        <v>613</v>
      </c>
      <c r="X396" t="s">
        <v>19</v>
      </c>
    </row>
    <row r="397" spans="8:24" x14ac:dyDescent="0.45">
      <c r="H397" t="s">
        <v>366</v>
      </c>
      <c r="I397" t="s">
        <v>13</v>
      </c>
      <c r="J397">
        <v>9.4949341631152106E-3</v>
      </c>
      <c r="K397" t="s">
        <v>14</v>
      </c>
      <c r="U397" t="s">
        <v>15</v>
      </c>
      <c r="V397" t="s">
        <v>618</v>
      </c>
      <c r="W397" t="s">
        <v>97</v>
      </c>
      <c r="X397" t="s">
        <v>17</v>
      </c>
    </row>
    <row r="398" spans="8:24" x14ac:dyDescent="0.45">
      <c r="H398" t="s">
        <v>366</v>
      </c>
      <c r="I398" t="s">
        <v>27</v>
      </c>
      <c r="J398">
        <v>9.4949341631152106E-3</v>
      </c>
      <c r="K398" t="s">
        <v>14</v>
      </c>
      <c r="U398" t="s">
        <v>15</v>
      </c>
      <c r="V398" t="s">
        <v>619</v>
      </c>
      <c r="W398" t="s">
        <v>613</v>
      </c>
      <c r="X398" t="s">
        <v>19</v>
      </c>
    </row>
    <row r="399" spans="8:24" x14ac:dyDescent="0.45">
      <c r="H399" t="s">
        <v>366</v>
      </c>
      <c r="I399" t="s">
        <v>36</v>
      </c>
      <c r="J399">
        <v>9.4949341631152106E-3</v>
      </c>
      <c r="K399" t="s">
        <v>14</v>
      </c>
      <c r="U399" t="s">
        <v>15</v>
      </c>
      <c r="V399" t="s">
        <v>619</v>
      </c>
      <c r="W399" t="s">
        <v>97</v>
      </c>
      <c r="X399" t="s">
        <v>17</v>
      </c>
    </row>
    <row r="400" spans="8:24" x14ac:dyDescent="0.45">
      <c r="H400" t="s">
        <v>367</v>
      </c>
      <c r="I400" t="s">
        <v>13</v>
      </c>
      <c r="J400">
        <v>1.0710881285310375E-2</v>
      </c>
      <c r="K400" t="s">
        <v>14</v>
      </c>
      <c r="U400" t="s">
        <v>15</v>
      </c>
      <c r="V400" t="s">
        <v>620</v>
      </c>
      <c r="W400" t="s">
        <v>101</v>
      </c>
      <c r="X400" t="s">
        <v>19</v>
      </c>
    </row>
    <row r="401" spans="8:24" x14ac:dyDescent="0.45">
      <c r="H401" t="s">
        <v>367</v>
      </c>
      <c r="I401" t="s">
        <v>27</v>
      </c>
      <c r="J401">
        <v>1.0710881285310375E-2</v>
      </c>
      <c r="K401" t="s">
        <v>14</v>
      </c>
      <c r="U401" t="s">
        <v>15</v>
      </c>
      <c r="V401" t="s">
        <v>621</v>
      </c>
      <c r="W401" t="s">
        <v>101</v>
      </c>
      <c r="X401" t="s">
        <v>19</v>
      </c>
    </row>
    <row r="402" spans="8:24" x14ac:dyDescent="0.45">
      <c r="H402" t="s">
        <v>367</v>
      </c>
      <c r="I402" t="s">
        <v>36</v>
      </c>
      <c r="J402">
        <v>1.0710881285310375E-2</v>
      </c>
      <c r="K402" t="s">
        <v>14</v>
      </c>
      <c r="U402" t="s">
        <v>15</v>
      </c>
      <c r="V402" t="s">
        <v>622</v>
      </c>
      <c r="W402" t="s">
        <v>101</v>
      </c>
      <c r="X402" t="s">
        <v>19</v>
      </c>
    </row>
    <row r="403" spans="8:24" x14ac:dyDescent="0.45">
      <c r="H403" t="s">
        <v>369</v>
      </c>
      <c r="I403" t="s">
        <v>13</v>
      </c>
      <c r="J403">
        <v>3.801889886402678E-3</v>
      </c>
      <c r="K403" t="s">
        <v>14</v>
      </c>
      <c r="U403" t="s">
        <v>15</v>
      </c>
      <c r="V403" t="s">
        <v>623</v>
      </c>
      <c r="W403" t="s">
        <v>101</v>
      </c>
      <c r="X403" t="s">
        <v>19</v>
      </c>
    </row>
    <row r="404" spans="8:24" x14ac:dyDescent="0.45">
      <c r="H404" t="s">
        <v>369</v>
      </c>
      <c r="I404" t="s">
        <v>27</v>
      </c>
      <c r="J404">
        <v>3.801889886402678E-3</v>
      </c>
      <c r="K404" t="s">
        <v>14</v>
      </c>
      <c r="U404" t="s">
        <v>15</v>
      </c>
      <c r="V404" t="s">
        <v>624</v>
      </c>
      <c r="W404" t="s">
        <v>101</v>
      </c>
      <c r="X404" t="s">
        <v>19</v>
      </c>
    </row>
    <row r="405" spans="8:24" x14ac:dyDescent="0.45">
      <c r="H405" t="s">
        <v>369</v>
      </c>
      <c r="I405" t="s">
        <v>36</v>
      </c>
      <c r="J405">
        <v>3.801889886402678E-3</v>
      </c>
      <c r="K405" t="s">
        <v>14</v>
      </c>
      <c r="U405" t="s">
        <v>15</v>
      </c>
      <c r="V405" t="s">
        <v>625</v>
      </c>
      <c r="W405" t="s">
        <v>101</v>
      </c>
      <c r="X405" t="s">
        <v>19</v>
      </c>
    </row>
    <row r="406" spans="8:24" x14ac:dyDescent="0.45">
      <c r="H406" t="s">
        <v>371</v>
      </c>
      <c r="I406" t="s">
        <v>13</v>
      </c>
      <c r="J406">
        <v>3.8036116911747971E-2</v>
      </c>
      <c r="K406" t="s">
        <v>14</v>
      </c>
      <c r="U406" t="s">
        <v>15</v>
      </c>
      <c r="V406" t="s">
        <v>626</v>
      </c>
      <c r="W406" t="s">
        <v>101</v>
      </c>
      <c r="X406" t="s">
        <v>19</v>
      </c>
    </row>
    <row r="407" spans="8:24" x14ac:dyDescent="0.45">
      <c r="H407" t="s">
        <v>371</v>
      </c>
      <c r="I407" t="s">
        <v>27</v>
      </c>
      <c r="J407">
        <v>3.8036116911747971E-2</v>
      </c>
      <c r="K407" t="s">
        <v>14</v>
      </c>
      <c r="U407" t="s">
        <v>15</v>
      </c>
      <c r="V407" t="s">
        <v>627</v>
      </c>
      <c r="W407" t="s">
        <v>101</v>
      </c>
      <c r="X407" t="s">
        <v>19</v>
      </c>
    </row>
    <row r="408" spans="8:24" x14ac:dyDescent="0.45">
      <c r="H408" t="s">
        <v>371</v>
      </c>
      <c r="I408" t="s">
        <v>36</v>
      </c>
      <c r="J408">
        <v>3.8036116911747971E-2</v>
      </c>
      <c r="K408" t="s">
        <v>14</v>
      </c>
      <c r="U408" t="s">
        <v>15</v>
      </c>
      <c r="V408" t="s">
        <v>628</v>
      </c>
      <c r="W408" t="s">
        <v>101</v>
      </c>
      <c r="X408" t="s">
        <v>19</v>
      </c>
    </row>
    <row r="409" spans="8:24" x14ac:dyDescent="0.45">
      <c r="H409" t="s">
        <v>373</v>
      </c>
      <c r="I409" t="s">
        <v>13</v>
      </c>
      <c r="J409">
        <v>1.514031268696758E-2</v>
      </c>
      <c r="K409" t="s">
        <v>14</v>
      </c>
      <c r="U409" t="s">
        <v>15</v>
      </c>
      <c r="V409" t="s">
        <v>629</v>
      </c>
      <c r="W409" t="s">
        <v>101</v>
      </c>
      <c r="X409" t="s">
        <v>19</v>
      </c>
    </row>
    <row r="410" spans="8:24" x14ac:dyDescent="0.45">
      <c r="H410" t="s">
        <v>373</v>
      </c>
      <c r="I410" t="s">
        <v>27</v>
      </c>
      <c r="J410">
        <v>1.514031268696758E-2</v>
      </c>
      <c r="K410" t="s">
        <v>14</v>
      </c>
      <c r="U410" t="s">
        <v>15</v>
      </c>
      <c r="V410" t="s">
        <v>630</v>
      </c>
      <c r="W410" t="s">
        <v>101</v>
      </c>
      <c r="X410" t="s">
        <v>19</v>
      </c>
    </row>
    <row r="411" spans="8:24" x14ac:dyDescent="0.45">
      <c r="H411" t="s">
        <v>373</v>
      </c>
      <c r="I411" t="s">
        <v>36</v>
      </c>
      <c r="J411">
        <v>1.514031268696758E-2</v>
      </c>
      <c r="K411" t="s">
        <v>14</v>
      </c>
      <c r="U411" t="s">
        <v>15</v>
      </c>
      <c r="V411" t="s">
        <v>630</v>
      </c>
      <c r="W411" t="s">
        <v>631</v>
      </c>
      <c r="X411" t="s">
        <v>19</v>
      </c>
    </row>
    <row r="412" spans="8:24" x14ac:dyDescent="0.45">
      <c r="H412" t="s">
        <v>12</v>
      </c>
      <c r="I412" t="s">
        <v>632</v>
      </c>
      <c r="J412">
        <v>1.0887408533395282E-2</v>
      </c>
      <c r="K412" t="s">
        <v>14</v>
      </c>
      <c r="U412" t="s">
        <v>15</v>
      </c>
      <c r="V412" t="s">
        <v>633</v>
      </c>
      <c r="W412" t="s">
        <v>101</v>
      </c>
      <c r="X412" t="s">
        <v>19</v>
      </c>
    </row>
    <row r="413" spans="8:24" x14ac:dyDescent="0.45">
      <c r="H413" t="s">
        <v>28</v>
      </c>
      <c r="I413" t="s">
        <v>632</v>
      </c>
      <c r="J413">
        <v>7.0749829733983166E-2</v>
      </c>
      <c r="K413" t="s">
        <v>14</v>
      </c>
      <c r="U413" t="s">
        <v>15</v>
      </c>
      <c r="V413" t="s">
        <v>633</v>
      </c>
      <c r="W413" t="s">
        <v>631</v>
      </c>
      <c r="X413" t="s">
        <v>19</v>
      </c>
    </row>
    <row r="414" spans="8:24" x14ac:dyDescent="0.45">
      <c r="H414" t="s">
        <v>37</v>
      </c>
      <c r="I414" t="s">
        <v>632</v>
      </c>
      <c r="J414">
        <v>9.975444820557608E-3</v>
      </c>
      <c r="K414" t="s">
        <v>14</v>
      </c>
      <c r="U414" t="s">
        <v>15</v>
      </c>
      <c r="V414" t="s">
        <v>634</v>
      </c>
      <c r="W414" t="s">
        <v>101</v>
      </c>
      <c r="X414" t="s">
        <v>19</v>
      </c>
    </row>
    <row r="415" spans="8:24" x14ac:dyDescent="0.45">
      <c r="H415" t="s">
        <v>42</v>
      </c>
      <c r="I415" t="s">
        <v>632</v>
      </c>
      <c r="J415">
        <v>0.34915800582554868</v>
      </c>
      <c r="K415" t="s">
        <v>14</v>
      </c>
      <c r="U415" t="s">
        <v>15</v>
      </c>
      <c r="V415" t="s">
        <v>634</v>
      </c>
      <c r="W415" t="s">
        <v>631</v>
      </c>
      <c r="X415" t="s">
        <v>19</v>
      </c>
    </row>
    <row r="416" spans="8:24" x14ac:dyDescent="0.45">
      <c r="H416" t="s">
        <v>46</v>
      </c>
      <c r="I416" t="s">
        <v>632</v>
      </c>
      <c r="J416">
        <v>4.4217874262359978E-3</v>
      </c>
      <c r="K416" t="s">
        <v>14</v>
      </c>
      <c r="U416" t="s">
        <v>15</v>
      </c>
      <c r="V416" t="s">
        <v>635</v>
      </c>
      <c r="W416" t="s">
        <v>631</v>
      </c>
      <c r="X416" t="s">
        <v>19</v>
      </c>
    </row>
    <row r="417" spans="8:24" x14ac:dyDescent="0.45">
      <c r="H417" t="s">
        <v>50</v>
      </c>
      <c r="I417" t="s">
        <v>632</v>
      </c>
      <c r="J417">
        <v>4.7991074007065711E-2</v>
      </c>
      <c r="K417" t="s">
        <v>14</v>
      </c>
      <c r="U417" t="s">
        <v>15</v>
      </c>
      <c r="V417" t="s">
        <v>636</v>
      </c>
      <c r="W417" t="s">
        <v>631</v>
      </c>
      <c r="X417" t="s">
        <v>19</v>
      </c>
    </row>
    <row r="418" spans="8:24" x14ac:dyDescent="0.45">
      <c r="H418" t="s">
        <v>54</v>
      </c>
      <c r="I418" t="s">
        <v>632</v>
      </c>
      <c r="J418">
        <v>2.4926290202326516E-3</v>
      </c>
      <c r="K418" t="s">
        <v>14</v>
      </c>
      <c r="U418" t="s">
        <v>15</v>
      </c>
      <c r="V418" t="s">
        <v>637</v>
      </c>
      <c r="W418" t="s">
        <v>631</v>
      </c>
      <c r="X418" t="s">
        <v>19</v>
      </c>
    </row>
    <row r="419" spans="8:24" x14ac:dyDescent="0.45">
      <c r="H419" t="s">
        <v>58</v>
      </c>
      <c r="I419" t="s">
        <v>632</v>
      </c>
      <c r="J419">
        <v>2.6241094271269933E-2</v>
      </c>
      <c r="K419" t="s">
        <v>14</v>
      </c>
      <c r="U419" t="s">
        <v>15</v>
      </c>
      <c r="V419" t="s">
        <v>637</v>
      </c>
      <c r="W419" t="s">
        <v>101</v>
      </c>
      <c r="X419" t="s">
        <v>17</v>
      </c>
    </row>
    <row r="420" spans="8:24" x14ac:dyDescent="0.45">
      <c r="H420" t="s">
        <v>62</v>
      </c>
      <c r="I420" t="s">
        <v>632</v>
      </c>
      <c r="J420">
        <v>1.429636689582822E-2</v>
      </c>
      <c r="K420" t="s">
        <v>14</v>
      </c>
      <c r="U420" t="s">
        <v>15</v>
      </c>
      <c r="V420" t="s">
        <v>638</v>
      </c>
      <c r="W420" t="s">
        <v>631</v>
      </c>
      <c r="X420" t="s">
        <v>19</v>
      </c>
    </row>
    <row r="421" spans="8:24" x14ac:dyDescent="0.45">
      <c r="H421" t="s">
        <v>66</v>
      </c>
      <c r="I421" t="s">
        <v>632</v>
      </c>
      <c r="J421">
        <v>4.0461811773702199E-4</v>
      </c>
      <c r="K421" t="s">
        <v>14</v>
      </c>
      <c r="U421" t="s">
        <v>15</v>
      </c>
      <c r="V421" t="s">
        <v>638</v>
      </c>
      <c r="W421" t="s">
        <v>101</v>
      </c>
      <c r="X421" t="s">
        <v>17</v>
      </c>
    </row>
    <row r="422" spans="8:24" x14ac:dyDescent="0.45">
      <c r="H422" t="s">
        <v>70</v>
      </c>
      <c r="I422" t="s">
        <v>632</v>
      </c>
      <c r="J422">
        <v>1.0164445570825075E-14</v>
      </c>
      <c r="K422" t="s">
        <v>14</v>
      </c>
      <c r="U422" t="s">
        <v>15</v>
      </c>
      <c r="V422" t="s">
        <v>639</v>
      </c>
      <c r="W422" t="s">
        <v>105</v>
      </c>
      <c r="X422" t="s">
        <v>19</v>
      </c>
    </row>
    <row r="423" spans="8:24" x14ac:dyDescent="0.45">
      <c r="H423" t="s">
        <v>74</v>
      </c>
      <c r="I423" t="s">
        <v>632</v>
      </c>
      <c r="J423">
        <v>3.1283276764558139E-3</v>
      </c>
      <c r="K423" t="s">
        <v>14</v>
      </c>
      <c r="U423" t="s">
        <v>15</v>
      </c>
      <c r="V423" t="s">
        <v>640</v>
      </c>
      <c r="W423" t="s">
        <v>105</v>
      </c>
      <c r="X423" t="s">
        <v>19</v>
      </c>
    </row>
    <row r="424" spans="8:24" x14ac:dyDescent="0.45">
      <c r="H424" t="s">
        <v>78</v>
      </c>
      <c r="I424" t="s">
        <v>632</v>
      </c>
      <c r="J424">
        <v>2.6566643675123666E-2</v>
      </c>
      <c r="K424" t="s">
        <v>14</v>
      </c>
      <c r="U424" t="s">
        <v>15</v>
      </c>
      <c r="V424" t="s">
        <v>641</v>
      </c>
      <c r="W424" t="s">
        <v>105</v>
      </c>
      <c r="X424" t="s">
        <v>19</v>
      </c>
    </row>
    <row r="425" spans="8:24" x14ac:dyDescent="0.45">
      <c r="H425" t="s">
        <v>82</v>
      </c>
      <c r="I425" t="s">
        <v>632</v>
      </c>
      <c r="J425">
        <v>1.561850410421042E-3</v>
      </c>
      <c r="K425" t="s">
        <v>14</v>
      </c>
      <c r="U425" t="s">
        <v>15</v>
      </c>
      <c r="V425" t="s">
        <v>642</v>
      </c>
      <c r="W425" t="s">
        <v>105</v>
      </c>
      <c r="X425" t="s">
        <v>19</v>
      </c>
    </row>
    <row r="426" spans="8:24" x14ac:dyDescent="0.45">
      <c r="H426" t="s">
        <v>85</v>
      </c>
      <c r="I426" t="s">
        <v>632</v>
      </c>
      <c r="J426">
        <v>1.1878679326509171E-5</v>
      </c>
      <c r="K426" t="s">
        <v>14</v>
      </c>
      <c r="U426" t="s">
        <v>15</v>
      </c>
      <c r="V426" t="s">
        <v>643</v>
      </c>
      <c r="W426" t="s">
        <v>105</v>
      </c>
      <c r="X426" t="s">
        <v>19</v>
      </c>
    </row>
    <row r="427" spans="8:24" x14ac:dyDescent="0.45">
      <c r="H427" t="s">
        <v>89</v>
      </c>
      <c r="I427" t="s">
        <v>632</v>
      </c>
      <c r="J427">
        <v>2.284029185996303E-2</v>
      </c>
      <c r="K427" t="s">
        <v>14</v>
      </c>
      <c r="U427" t="s">
        <v>15</v>
      </c>
      <c r="V427" t="s">
        <v>644</v>
      </c>
      <c r="W427" t="s">
        <v>105</v>
      </c>
      <c r="X427" t="s">
        <v>19</v>
      </c>
    </row>
    <row r="428" spans="8:24" x14ac:dyDescent="0.45">
      <c r="H428" t="s">
        <v>92</v>
      </c>
      <c r="I428" t="s">
        <v>632</v>
      </c>
      <c r="J428">
        <v>1.767409550755814E-3</v>
      </c>
      <c r="K428" t="s">
        <v>14</v>
      </c>
      <c r="U428" t="s">
        <v>15</v>
      </c>
      <c r="V428" t="s">
        <v>645</v>
      </c>
      <c r="W428" t="s">
        <v>105</v>
      </c>
      <c r="X428" t="s">
        <v>19</v>
      </c>
    </row>
    <row r="429" spans="8:24" x14ac:dyDescent="0.45">
      <c r="H429" t="s">
        <v>96</v>
      </c>
      <c r="I429" t="s">
        <v>632</v>
      </c>
      <c r="J429">
        <v>5.1799539305924649E-5</v>
      </c>
      <c r="K429" t="s">
        <v>14</v>
      </c>
      <c r="U429" t="s">
        <v>15</v>
      </c>
      <c r="V429" t="s">
        <v>646</v>
      </c>
      <c r="W429" t="s">
        <v>105</v>
      </c>
      <c r="X429" t="s">
        <v>19</v>
      </c>
    </row>
    <row r="430" spans="8:24" x14ac:dyDescent="0.45">
      <c r="H430" t="s">
        <v>100</v>
      </c>
      <c r="I430" t="s">
        <v>632</v>
      </c>
      <c r="J430">
        <v>2.312768901736675E-2</v>
      </c>
      <c r="K430" t="s">
        <v>14</v>
      </c>
      <c r="U430" t="s">
        <v>15</v>
      </c>
      <c r="V430" t="s">
        <v>647</v>
      </c>
      <c r="W430" t="s">
        <v>105</v>
      </c>
      <c r="X430" t="s">
        <v>19</v>
      </c>
    </row>
    <row r="431" spans="8:24" x14ac:dyDescent="0.45">
      <c r="H431" t="s">
        <v>104</v>
      </c>
      <c r="I431" t="s">
        <v>632</v>
      </c>
      <c r="J431">
        <v>3.4217331900940437E-2</v>
      </c>
      <c r="K431" t="s">
        <v>14</v>
      </c>
      <c r="U431" t="s">
        <v>15</v>
      </c>
      <c r="V431" t="s">
        <v>648</v>
      </c>
      <c r="W431" t="s">
        <v>105</v>
      </c>
      <c r="X431" t="s">
        <v>19</v>
      </c>
    </row>
    <row r="432" spans="8:24" x14ac:dyDescent="0.45">
      <c r="H432" t="s">
        <v>107</v>
      </c>
      <c r="I432" t="s">
        <v>632</v>
      </c>
      <c r="J432">
        <v>3.1542253115610708E-2</v>
      </c>
      <c r="K432" t="s">
        <v>14</v>
      </c>
      <c r="U432" t="s">
        <v>15</v>
      </c>
      <c r="V432" t="s">
        <v>649</v>
      </c>
      <c r="W432" t="s">
        <v>105</v>
      </c>
      <c r="X432" t="s">
        <v>19</v>
      </c>
    </row>
    <row r="433" spans="8:24" x14ac:dyDescent="0.45">
      <c r="H433" t="s">
        <v>111</v>
      </c>
      <c r="I433" t="s">
        <v>632</v>
      </c>
      <c r="J433">
        <v>5.8575363526860567E-2</v>
      </c>
      <c r="K433" t="s">
        <v>14</v>
      </c>
      <c r="U433" t="s">
        <v>15</v>
      </c>
      <c r="V433" t="s">
        <v>649</v>
      </c>
      <c r="W433" t="s">
        <v>376</v>
      </c>
      <c r="X433" t="s">
        <v>19</v>
      </c>
    </row>
    <row r="434" spans="8:24" x14ac:dyDescent="0.45">
      <c r="H434" t="s">
        <v>114</v>
      </c>
      <c r="I434" t="s">
        <v>632</v>
      </c>
      <c r="J434">
        <v>7.7528856273741042E-3</v>
      </c>
      <c r="K434" t="s">
        <v>14</v>
      </c>
      <c r="U434" t="s">
        <v>15</v>
      </c>
      <c r="V434" t="s">
        <v>650</v>
      </c>
      <c r="W434" t="s">
        <v>105</v>
      </c>
      <c r="X434" t="s">
        <v>19</v>
      </c>
    </row>
    <row r="435" spans="8:24" x14ac:dyDescent="0.45">
      <c r="H435" t="s">
        <v>118</v>
      </c>
      <c r="I435" t="s">
        <v>632</v>
      </c>
      <c r="J435">
        <v>9.8572760257757794E-4</v>
      </c>
      <c r="K435" t="s">
        <v>14</v>
      </c>
      <c r="U435" t="s">
        <v>15</v>
      </c>
      <c r="V435" t="s">
        <v>650</v>
      </c>
      <c r="W435" t="s">
        <v>376</v>
      </c>
      <c r="X435" t="s">
        <v>19</v>
      </c>
    </row>
    <row r="436" spans="8:24" x14ac:dyDescent="0.45">
      <c r="H436" t="s">
        <v>122</v>
      </c>
      <c r="I436" t="s">
        <v>632</v>
      </c>
      <c r="J436">
        <v>1.1959137509937547E-2</v>
      </c>
      <c r="K436" t="s">
        <v>14</v>
      </c>
      <c r="U436" t="s">
        <v>15</v>
      </c>
      <c r="V436" t="s">
        <v>651</v>
      </c>
      <c r="W436" t="s">
        <v>105</v>
      </c>
      <c r="X436" t="s">
        <v>19</v>
      </c>
    </row>
    <row r="437" spans="8:24" x14ac:dyDescent="0.45">
      <c r="H437" t="s">
        <v>126</v>
      </c>
      <c r="I437" t="s">
        <v>632</v>
      </c>
      <c r="J437">
        <v>5.2135666838129646E-2</v>
      </c>
      <c r="K437" t="s">
        <v>14</v>
      </c>
      <c r="U437" t="s">
        <v>15</v>
      </c>
      <c r="V437" t="s">
        <v>651</v>
      </c>
      <c r="W437" t="s">
        <v>376</v>
      </c>
      <c r="X437" t="s">
        <v>19</v>
      </c>
    </row>
    <row r="438" spans="8:24" x14ac:dyDescent="0.45">
      <c r="H438" t="s">
        <v>130</v>
      </c>
      <c r="I438" t="s">
        <v>632</v>
      </c>
      <c r="J438">
        <v>2.9586133009508485E-2</v>
      </c>
      <c r="K438" t="s">
        <v>14</v>
      </c>
      <c r="U438" t="s">
        <v>15</v>
      </c>
      <c r="V438" t="s">
        <v>652</v>
      </c>
      <c r="W438" t="s">
        <v>376</v>
      </c>
      <c r="X438" t="s">
        <v>19</v>
      </c>
    </row>
    <row r="439" spans="8:24" x14ac:dyDescent="0.45">
      <c r="H439" t="s">
        <v>134</v>
      </c>
      <c r="I439" t="s">
        <v>632</v>
      </c>
      <c r="J439">
        <v>4.882703155348081E-2</v>
      </c>
      <c r="K439" t="s">
        <v>14</v>
      </c>
      <c r="U439" t="s">
        <v>15</v>
      </c>
      <c r="V439" t="s">
        <v>653</v>
      </c>
      <c r="W439" t="s">
        <v>376</v>
      </c>
      <c r="X439" t="s">
        <v>19</v>
      </c>
    </row>
    <row r="440" spans="8:24" x14ac:dyDescent="0.45">
      <c r="H440" t="s">
        <v>138</v>
      </c>
      <c r="I440" t="s">
        <v>632</v>
      </c>
      <c r="J440">
        <v>1.7192426826535042E-2</v>
      </c>
      <c r="K440" t="s">
        <v>14</v>
      </c>
      <c r="U440" t="s">
        <v>15</v>
      </c>
      <c r="V440" t="s">
        <v>654</v>
      </c>
      <c r="W440" t="s">
        <v>376</v>
      </c>
      <c r="X440" t="s">
        <v>19</v>
      </c>
    </row>
    <row r="441" spans="8:24" x14ac:dyDescent="0.45">
      <c r="H441" t="s">
        <v>142</v>
      </c>
      <c r="I441" t="s">
        <v>632</v>
      </c>
      <c r="J441">
        <v>1.2388411015154018E-3</v>
      </c>
      <c r="K441" t="s">
        <v>14</v>
      </c>
      <c r="U441" t="s">
        <v>15</v>
      </c>
      <c r="V441" t="s">
        <v>654</v>
      </c>
      <c r="W441" t="s">
        <v>105</v>
      </c>
      <c r="X441" t="s">
        <v>17</v>
      </c>
    </row>
    <row r="442" spans="8:24" x14ac:dyDescent="0.45">
      <c r="H442" t="s">
        <v>146</v>
      </c>
      <c r="I442" t="s">
        <v>632</v>
      </c>
      <c r="J442">
        <v>7.4487079867775535E-3</v>
      </c>
      <c r="K442" t="s">
        <v>14</v>
      </c>
      <c r="U442" t="s">
        <v>15</v>
      </c>
      <c r="V442" t="s">
        <v>655</v>
      </c>
      <c r="W442" t="s">
        <v>376</v>
      </c>
      <c r="X442" t="s">
        <v>19</v>
      </c>
    </row>
    <row r="443" spans="8:24" x14ac:dyDescent="0.45">
      <c r="H443" t="s">
        <v>150</v>
      </c>
      <c r="I443" t="s">
        <v>632</v>
      </c>
      <c r="J443">
        <v>2.93175644711712E-3</v>
      </c>
      <c r="K443" t="s">
        <v>14</v>
      </c>
      <c r="U443" t="s">
        <v>15</v>
      </c>
      <c r="V443" t="s">
        <v>655</v>
      </c>
      <c r="W443" t="s">
        <v>105</v>
      </c>
      <c r="X443" t="s">
        <v>17</v>
      </c>
    </row>
    <row r="444" spans="8:24" x14ac:dyDescent="0.45">
      <c r="H444" t="s">
        <v>154</v>
      </c>
      <c r="I444" t="s">
        <v>632</v>
      </c>
      <c r="J444">
        <v>1.3337439886897392E-2</v>
      </c>
      <c r="K444" t="s">
        <v>14</v>
      </c>
      <c r="U444" t="s">
        <v>15</v>
      </c>
      <c r="V444" t="s">
        <v>656</v>
      </c>
      <c r="W444" t="s">
        <v>108</v>
      </c>
      <c r="X444" t="s">
        <v>19</v>
      </c>
    </row>
    <row r="445" spans="8:24" x14ac:dyDescent="0.45">
      <c r="H445" t="s">
        <v>158</v>
      </c>
      <c r="I445" t="s">
        <v>632</v>
      </c>
      <c r="J445">
        <v>4.6595148006152928E-2</v>
      </c>
      <c r="K445" t="s">
        <v>14</v>
      </c>
      <c r="U445" t="s">
        <v>15</v>
      </c>
      <c r="V445" t="s">
        <v>657</v>
      </c>
      <c r="W445" t="s">
        <v>108</v>
      </c>
      <c r="X445" t="s">
        <v>19</v>
      </c>
    </row>
    <row r="446" spans="8:24" x14ac:dyDescent="0.45">
      <c r="H446" t="s">
        <v>162</v>
      </c>
      <c r="I446" t="s">
        <v>632</v>
      </c>
      <c r="J446">
        <v>1.0887408533395282E-2</v>
      </c>
      <c r="K446" t="s">
        <v>14</v>
      </c>
      <c r="U446" t="s">
        <v>15</v>
      </c>
      <c r="V446" t="s">
        <v>658</v>
      </c>
      <c r="W446" t="s">
        <v>108</v>
      </c>
      <c r="X446" t="s">
        <v>19</v>
      </c>
    </row>
    <row r="447" spans="8:24" x14ac:dyDescent="0.45">
      <c r="H447" t="s">
        <v>165</v>
      </c>
      <c r="I447" t="s">
        <v>632</v>
      </c>
      <c r="J447">
        <v>7.0749829733983166E-2</v>
      </c>
      <c r="K447" t="s">
        <v>14</v>
      </c>
      <c r="U447" t="s">
        <v>15</v>
      </c>
      <c r="V447" t="s">
        <v>659</v>
      </c>
      <c r="W447" t="s">
        <v>108</v>
      </c>
      <c r="X447" t="s">
        <v>19</v>
      </c>
    </row>
    <row r="448" spans="8:24" x14ac:dyDescent="0.45">
      <c r="H448" t="s">
        <v>167</v>
      </c>
      <c r="I448" t="s">
        <v>632</v>
      </c>
      <c r="J448">
        <v>9.975444820557608E-3</v>
      </c>
      <c r="K448" t="s">
        <v>14</v>
      </c>
      <c r="U448" t="s">
        <v>15</v>
      </c>
      <c r="V448" t="s">
        <v>660</v>
      </c>
      <c r="W448" t="s">
        <v>108</v>
      </c>
      <c r="X448" t="s">
        <v>19</v>
      </c>
    </row>
    <row r="449" spans="8:24" x14ac:dyDescent="0.45">
      <c r="H449" t="s">
        <v>170</v>
      </c>
      <c r="I449" t="s">
        <v>632</v>
      </c>
      <c r="J449">
        <v>0.34915800582554868</v>
      </c>
      <c r="K449" t="s">
        <v>14</v>
      </c>
      <c r="U449" t="s">
        <v>15</v>
      </c>
      <c r="V449" t="s">
        <v>661</v>
      </c>
      <c r="W449" t="s">
        <v>108</v>
      </c>
      <c r="X449" t="s">
        <v>19</v>
      </c>
    </row>
    <row r="450" spans="8:24" x14ac:dyDescent="0.45">
      <c r="H450" t="s">
        <v>172</v>
      </c>
      <c r="I450" t="s">
        <v>632</v>
      </c>
      <c r="J450">
        <v>4.4217874262359978E-3</v>
      </c>
      <c r="K450" t="s">
        <v>14</v>
      </c>
      <c r="U450" t="s">
        <v>15</v>
      </c>
      <c r="V450" t="s">
        <v>662</v>
      </c>
      <c r="W450" t="s">
        <v>108</v>
      </c>
      <c r="X450" t="s">
        <v>19</v>
      </c>
    </row>
    <row r="451" spans="8:24" x14ac:dyDescent="0.45">
      <c r="H451" t="s">
        <v>175</v>
      </c>
      <c r="I451" t="s">
        <v>632</v>
      </c>
      <c r="J451">
        <v>4.7991074007065711E-2</v>
      </c>
      <c r="K451" t="s">
        <v>14</v>
      </c>
      <c r="U451" t="s">
        <v>15</v>
      </c>
      <c r="V451" t="s">
        <v>663</v>
      </c>
      <c r="W451" t="s">
        <v>108</v>
      </c>
      <c r="X451" t="s">
        <v>19</v>
      </c>
    </row>
    <row r="452" spans="8:24" x14ac:dyDescent="0.45">
      <c r="H452" t="s">
        <v>178</v>
      </c>
      <c r="I452" t="s">
        <v>632</v>
      </c>
      <c r="J452">
        <v>2.4926290202326516E-3</v>
      </c>
      <c r="K452" t="s">
        <v>14</v>
      </c>
      <c r="U452" t="s">
        <v>15</v>
      </c>
      <c r="V452" t="s">
        <v>664</v>
      </c>
      <c r="W452" t="s">
        <v>108</v>
      </c>
      <c r="X452" t="s">
        <v>19</v>
      </c>
    </row>
    <row r="453" spans="8:24" x14ac:dyDescent="0.45">
      <c r="H453" t="s">
        <v>181</v>
      </c>
      <c r="I453" t="s">
        <v>632</v>
      </c>
      <c r="J453">
        <v>2.6241094271269933E-2</v>
      </c>
      <c r="K453" t="s">
        <v>14</v>
      </c>
      <c r="U453" t="s">
        <v>15</v>
      </c>
      <c r="V453" t="s">
        <v>665</v>
      </c>
      <c r="W453" t="s">
        <v>108</v>
      </c>
      <c r="X453" t="s">
        <v>19</v>
      </c>
    </row>
    <row r="454" spans="8:24" x14ac:dyDescent="0.45">
      <c r="H454" t="s">
        <v>183</v>
      </c>
      <c r="I454" t="s">
        <v>632</v>
      </c>
      <c r="J454">
        <v>1.429636689582822E-2</v>
      </c>
      <c r="K454" t="s">
        <v>14</v>
      </c>
      <c r="U454" t="s">
        <v>15</v>
      </c>
      <c r="V454" t="s">
        <v>666</v>
      </c>
      <c r="W454" t="s">
        <v>108</v>
      </c>
      <c r="X454" t="s">
        <v>19</v>
      </c>
    </row>
    <row r="455" spans="8:24" x14ac:dyDescent="0.45">
      <c r="H455" t="s">
        <v>186</v>
      </c>
      <c r="I455" t="s">
        <v>632</v>
      </c>
      <c r="J455">
        <v>4.0461811773702199E-4</v>
      </c>
      <c r="K455" t="s">
        <v>14</v>
      </c>
      <c r="U455" t="s">
        <v>15</v>
      </c>
      <c r="V455" t="s">
        <v>666</v>
      </c>
      <c r="W455" t="s">
        <v>382</v>
      </c>
      <c r="X455" t="s">
        <v>19</v>
      </c>
    </row>
    <row r="456" spans="8:24" x14ac:dyDescent="0.45">
      <c r="H456" t="s">
        <v>188</v>
      </c>
      <c r="I456" t="s">
        <v>632</v>
      </c>
      <c r="J456">
        <v>1.0164445570825075E-14</v>
      </c>
      <c r="K456" t="s">
        <v>14</v>
      </c>
      <c r="U456" t="s">
        <v>15</v>
      </c>
      <c r="V456" t="s">
        <v>667</v>
      </c>
      <c r="W456" t="s">
        <v>108</v>
      </c>
      <c r="X456" t="s">
        <v>19</v>
      </c>
    </row>
    <row r="457" spans="8:24" x14ac:dyDescent="0.45">
      <c r="H457" t="s">
        <v>191</v>
      </c>
      <c r="I457" t="s">
        <v>632</v>
      </c>
      <c r="J457">
        <v>3.1283276764558139E-3</v>
      </c>
      <c r="K457" t="s">
        <v>14</v>
      </c>
      <c r="U457" t="s">
        <v>15</v>
      </c>
      <c r="V457" t="s">
        <v>667</v>
      </c>
      <c r="W457" t="s">
        <v>382</v>
      </c>
      <c r="X457" t="s">
        <v>19</v>
      </c>
    </row>
    <row r="458" spans="8:24" x14ac:dyDescent="0.45">
      <c r="H458" t="s">
        <v>194</v>
      </c>
      <c r="I458" t="s">
        <v>632</v>
      </c>
      <c r="J458">
        <v>2.6566643675123666E-2</v>
      </c>
      <c r="K458" t="s">
        <v>14</v>
      </c>
      <c r="U458" t="s">
        <v>15</v>
      </c>
      <c r="V458" t="s">
        <v>668</v>
      </c>
      <c r="W458" t="s">
        <v>108</v>
      </c>
      <c r="X458" t="s">
        <v>19</v>
      </c>
    </row>
    <row r="459" spans="8:24" x14ac:dyDescent="0.45">
      <c r="H459" t="s">
        <v>197</v>
      </c>
      <c r="I459" t="s">
        <v>632</v>
      </c>
      <c r="J459">
        <v>1.561850410421042E-3</v>
      </c>
      <c r="K459" t="s">
        <v>14</v>
      </c>
      <c r="U459" t="s">
        <v>15</v>
      </c>
      <c r="V459" t="s">
        <v>668</v>
      </c>
      <c r="W459" t="s">
        <v>382</v>
      </c>
      <c r="X459" t="s">
        <v>19</v>
      </c>
    </row>
    <row r="460" spans="8:24" x14ac:dyDescent="0.45">
      <c r="H460" t="s">
        <v>200</v>
      </c>
      <c r="I460" t="s">
        <v>632</v>
      </c>
      <c r="J460">
        <v>1.1878679326509171E-5</v>
      </c>
      <c r="K460" t="s">
        <v>14</v>
      </c>
      <c r="U460" t="s">
        <v>15</v>
      </c>
      <c r="V460" t="s">
        <v>669</v>
      </c>
      <c r="W460" t="s">
        <v>382</v>
      </c>
      <c r="X460" t="s">
        <v>19</v>
      </c>
    </row>
    <row r="461" spans="8:24" x14ac:dyDescent="0.45">
      <c r="H461" t="s">
        <v>203</v>
      </c>
      <c r="I461" t="s">
        <v>632</v>
      </c>
      <c r="J461">
        <v>2.284029185996303E-2</v>
      </c>
      <c r="K461" t="s">
        <v>14</v>
      </c>
      <c r="U461" t="s">
        <v>15</v>
      </c>
      <c r="V461" t="s">
        <v>670</v>
      </c>
      <c r="W461" t="s">
        <v>382</v>
      </c>
      <c r="X461" t="s">
        <v>19</v>
      </c>
    </row>
    <row r="462" spans="8:24" x14ac:dyDescent="0.45">
      <c r="H462" t="s">
        <v>206</v>
      </c>
      <c r="I462" t="s">
        <v>632</v>
      </c>
      <c r="J462">
        <v>1.767409550755814E-3</v>
      </c>
      <c r="K462" t="s">
        <v>14</v>
      </c>
      <c r="U462" t="s">
        <v>15</v>
      </c>
      <c r="V462" t="s">
        <v>671</v>
      </c>
      <c r="W462" t="s">
        <v>382</v>
      </c>
      <c r="X462" t="s">
        <v>19</v>
      </c>
    </row>
    <row r="463" spans="8:24" x14ac:dyDescent="0.45">
      <c r="H463" t="s">
        <v>209</v>
      </c>
      <c r="I463" t="s">
        <v>632</v>
      </c>
      <c r="J463">
        <v>5.1799539305924649E-5</v>
      </c>
      <c r="K463" t="s">
        <v>14</v>
      </c>
      <c r="U463" t="s">
        <v>15</v>
      </c>
      <c r="V463" t="s">
        <v>671</v>
      </c>
      <c r="W463" t="s">
        <v>108</v>
      </c>
      <c r="X463" t="s">
        <v>17</v>
      </c>
    </row>
    <row r="464" spans="8:24" x14ac:dyDescent="0.45">
      <c r="H464" t="s">
        <v>212</v>
      </c>
      <c r="I464" t="s">
        <v>632</v>
      </c>
      <c r="J464">
        <v>2.312768901736675E-2</v>
      </c>
      <c r="K464" t="s">
        <v>14</v>
      </c>
      <c r="U464" t="s">
        <v>15</v>
      </c>
      <c r="V464" t="s">
        <v>672</v>
      </c>
      <c r="W464" t="s">
        <v>382</v>
      </c>
      <c r="X464" t="s">
        <v>19</v>
      </c>
    </row>
    <row r="465" spans="8:24" x14ac:dyDescent="0.45">
      <c r="H465" t="s">
        <v>215</v>
      </c>
      <c r="I465" t="s">
        <v>632</v>
      </c>
      <c r="J465">
        <v>3.4217331900940437E-2</v>
      </c>
      <c r="K465" t="s">
        <v>14</v>
      </c>
      <c r="U465" t="s">
        <v>15</v>
      </c>
      <c r="V465" t="s">
        <v>672</v>
      </c>
      <c r="W465" t="s">
        <v>108</v>
      </c>
      <c r="X465" t="s">
        <v>17</v>
      </c>
    </row>
    <row r="466" spans="8:24" x14ac:dyDescent="0.45">
      <c r="H466" t="s">
        <v>218</v>
      </c>
      <c r="I466" t="s">
        <v>632</v>
      </c>
      <c r="J466">
        <v>3.1542253115610708E-2</v>
      </c>
      <c r="K466" t="s">
        <v>14</v>
      </c>
      <c r="U466" t="s">
        <v>15</v>
      </c>
      <c r="V466" t="s">
        <v>673</v>
      </c>
      <c r="W466" t="s">
        <v>112</v>
      </c>
      <c r="X466" t="s">
        <v>19</v>
      </c>
    </row>
    <row r="467" spans="8:24" x14ac:dyDescent="0.45">
      <c r="H467" t="s">
        <v>221</v>
      </c>
      <c r="I467" t="s">
        <v>632</v>
      </c>
      <c r="J467">
        <v>5.8575363526860567E-2</v>
      </c>
      <c r="K467" t="s">
        <v>14</v>
      </c>
      <c r="U467" t="s">
        <v>15</v>
      </c>
      <c r="V467" t="s">
        <v>674</v>
      </c>
      <c r="W467" t="s">
        <v>112</v>
      </c>
      <c r="X467" t="s">
        <v>19</v>
      </c>
    </row>
    <row r="468" spans="8:24" x14ac:dyDescent="0.45">
      <c r="H468" t="s">
        <v>224</v>
      </c>
      <c r="I468" t="s">
        <v>632</v>
      </c>
      <c r="J468">
        <v>7.7528856273741042E-3</v>
      </c>
      <c r="K468" t="s">
        <v>14</v>
      </c>
      <c r="U468" t="s">
        <v>15</v>
      </c>
      <c r="V468" t="s">
        <v>675</v>
      </c>
      <c r="W468" t="s">
        <v>112</v>
      </c>
      <c r="X468" t="s">
        <v>19</v>
      </c>
    </row>
    <row r="469" spans="8:24" x14ac:dyDescent="0.45">
      <c r="H469" t="s">
        <v>227</v>
      </c>
      <c r="I469" t="s">
        <v>632</v>
      </c>
      <c r="J469">
        <v>9.8572760257757794E-4</v>
      </c>
      <c r="K469" t="s">
        <v>14</v>
      </c>
      <c r="U469" t="s">
        <v>15</v>
      </c>
      <c r="V469" t="s">
        <v>676</v>
      </c>
      <c r="W469" t="s">
        <v>112</v>
      </c>
      <c r="X469" t="s">
        <v>19</v>
      </c>
    </row>
    <row r="470" spans="8:24" x14ac:dyDescent="0.45">
      <c r="H470" t="s">
        <v>229</v>
      </c>
      <c r="I470" t="s">
        <v>632</v>
      </c>
      <c r="J470">
        <v>1.1959137509937547E-2</v>
      </c>
      <c r="K470" t="s">
        <v>14</v>
      </c>
      <c r="U470" t="s">
        <v>15</v>
      </c>
      <c r="V470" t="s">
        <v>677</v>
      </c>
      <c r="W470" t="s">
        <v>112</v>
      </c>
      <c r="X470" t="s">
        <v>19</v>
      </c>
    </row>
    <row r="471" spans="8:24" x14ac:dyDescent="0.45">
      <c r="H471" t="s">
        <v>232</v>
      </c>
      <c r="I471" t="s">
        <v>632</v>
      </c>
      <c r="J471">
        <v>5.2135666838129646E-2</v>
      </c>
      <c r="K471" t="s">
        <v>14</v>
      </c>
      <c r="U471" t="s">
        <v>15</v>
      </c>
      <c r="V471" t="s">
        <v>678</v>
      </c>
      <c r="W471" t="s">
        <v>112</v>
      </c>
      <c r="X471" t="s">
        <v>19</v>
      </c>
    </row>
    <row r="472" spans="8:24" x14ac:dyDescent="0.45">
      <c r="H472" t="s">
        <v>234</v>
      </c>
      <c r="I472" t="s">
        <v>632</v>
      </c>
      <c r="J472">
        <v>2.9586133009508485E-2</v>
      </c>
      <c r="K472" t="s">
        <v>14</v>
      </c>
      <c r="U472" t="s">
        <v>15</v>
      </c>
      <c r="V472" t="s">
        <v>679</v>
      </c>
      <c r="W472" t="s">
        <v>112</v>
      </c>
      <c r="X472" t="s">
        <v>19</v>
      </c>
    </row>
    <row r="473" spans="8:24" x14ac:dyDescent="0.45">
      <c r="H473" t="s">
        <v>237</v>
      </c>
      <c r="I473" t="s">
        <v>632</v>
      </c>
      <c r="J473">
        <v>4.882703155348081E-2</v>
      </c>
      <c r="K473" t="s">
        <v>14</v>
      </c>
      <c r="U473" t="s">
        <v>15</v>
      </c>
      <c r="V473" t="s">
        <v>680</v>
      </c>
      <c r="W473" t="s">
        <v>112</v>
      </c>
      <c r="X473" t="s">
        <v>19</v>
      </c>
    </row>
    <row r="474" spans="8:24" x14ac:dyDescent="0.45">
      <c r="H474" t="s">
        <v>240</v>
      </c>
      <c r="I474" t="s">
        <v>632</v>
      </c>
      <c r="J474">
        <v>1.7192426826535042E-2</v>
      </c>
      <c r="K474" t="s">
        <v>14</v>
      </c>
      <c r="U474" t="s">
        <v>15</v>
      </c>
      <c r="V474" t="s">
        <v>681</v>
      </c>
      <c r="W474" t="s">
        <v>112</v>
      </c>
      <c r="X474" t="s">
        <v>19</v>
      </c>
    </row>
    <row r="475" spans="8:24" x14ac:dyDescent="0.45">
      <c r="H475" t="s">
        <v>243</v>
      </c>
      <c r="I475" t="s">
        <v>632</v>
      </c>
      <c r="J475">
        <v>1.2388411015154018E-3</v>
      </c>
      <c r="K475" t="s">
        <v>14</v>
      </c>
      <c r="U475" t="s">
        <v>15</v>
      </c>
      <c r="V475" t="s">
        <v>682</v>
      </c>
      <c r="W475" t="s">
        <v>112</v>
      </c>
      <c r="X475" t="s">
        <v>19</v>
      </c>
    </row>
    <row r="476" spans="8:24" x14ac:dyDescent="0.45">
      <c r="H476" t="s">
        <v>244</v>
      </c>
      <c r="I476" t="s">
        <v>632</v>
      </c>
      <c r="J476">
        <v>7.4487079867775535E-3</v>
      </c>
      <c r="K476" t="s">
        <v>14</v>
      </c>
      <c r="U476" t="s">
        <v>15</v>
      </c>
      <c r="V476" t="s">
        <v>683</v>
      </c>
      <c r="W476" t="s">
        <v>112</v>
      </c>
      <c r="X476" t="s">
        <v>19</v>
      </c>
    </row>
    <row r="477" spans="8:24" x14ac:dyDescent="0.45">
      <c r="H477" t="s">
        <v>246</v>
      </c>
      <c r="I477" t="s">
        <v>632</v>
      </c>
      <c r="J477">
        <v>2.93175644711712E-3</v>
      </c>
      <c r="K477" t="s">
        <v>14</v>
      </c>
      <c r="U477" t="s">
        <v>15</v>
      </c>
      <c r="V477" t="s">
        <v>683</v>
      </c>
      <c r="W477" t="s">
        <v>411</v>
      </c>
      <c r="X477" t="s">
        <v>19</v>
      </c>
    </row>
    <row r="478" spans="8:24" x14ac:dyDescent="0.45">
      <c r="H478" t="s">
        <v>247</v>
      </c>
      <c r="I478" t="s">
        <v>632</v>
      </c>
      <c r="J478">
        <v>1.3337439886897392E-2</v>
      </c>
      <c r="K478" t="s">
        <v>14</v>
      </c>
      <c r="U478" t="s">
        <v>15</v>
      </c>
      <c r="V478" t="s">
        <v>684</v>
      </c>
      <c r="W478" t="s">
        <v>112</v>
      </c>
      <c r="X478" t="s">
        <v>19</v>
      </c>
    </row>
    <row r="479" spans="8:24" x14ac:dyDescent="0.45">
      <c r="H479" t="s">
        <v>249</v>
      </c>
      <c r="I479" t="s">
        <v>632</v>
      </c>
      <c r="J479">
        <v>4.6595148006152928E-2</v>
      </c>
      <c r="K479" t="s">
        <v>14</v>
      </c>
      <c r="U479" t="s">
        <v>15</v>
      </c>
      <c r="V479" t="s">
        <v>684</v>
      </c>
      <c r="W479" t="s">
        <v>411</v>
      </c>
      <c r="X479" t="s">
        <v>19</v>
      </c>
    </row>
    <row r="480" spans="8:24" x14ac:dyDescent="0.45">
      <c r="H480" t="s">
        <v>251</v>
      </c>
      <c r="I480" t="s">
        <v>632</v>
      </c>
      <c r="J480">
        <v>1.0887408533395282E-2</v>
      </c>
      <c r="K480" t="s">
        <v>14</v>
      </c>
      <c r="U480" t="s">
        <v>15</v>
      </c>
      <c r="V480" t="s">
        <v>685</v>
      </c>
      <c r="W480" t="s">
        <v>112</v>
      </c>
      <c r="X480" t="s">
        <v>19</v>
      </c>
    </row>
    <row r="481" spans="8:24" x14ac:dyDescent="0.45">
      <c r="H481" t="s">
        <v>253</v>
      </c>
      <c r="I481" t="s">
        <v>632</v>
      </c>
      <c r="J481">
        <v>7.0749829733983166E-2</v>
      </c>
      <c r="K481" t="s">
        <v>14</v>
      </c>
      <c r="U481" t="s">
        <v>15</v>
      </c>
      <c r="V481" t="s">
        <v>685</v>
      </c>
      <c r="W481" t="s">
        <v>411</v>
      </c>
      <c r="X481" t="s">
        <v>19</v>
      </c>
    </row>
    <row r="482" spans="8:24" x14ac:dyDescent="0.45">
      <c r="H482" t="s">
        <v>255</v>
      </c>
      <c r="I482" t="s">
        <v>632</v>
      </c>
      <c r="J482">
        <v>9.975444820557608E-3</v>
      </c>
      <c r="K482" t="s">
        <v>14</v>
      </c>
      <c r="U482" t="s">
        <v>15</v>
      </c>
      <c r="V482" t="s">
        <v>686</v>
      </c>
      <c r="W482" t="s">
        <v>411</v>
      </c>
      <c r="X482" t="s">
        <v>19</v>
      </c>
    </row>
    <row r="483" spans="8:24" x14ac:dyDescent="0.45">
      <c r="H483" t="s">
        <v>257</v>
      </c>
      <c r="I483" t="s">
        <v>632</v>
      </c>
      <c r="J483">
        <v>0.34915800582554868</v>
      </c>
      <c r="K483" t="s">
        <v>14</v>
      </c>
      <c r="U483" t="s">
        <v>15</v>
      </c>
      <c r="V483" t="s">
        <v>687</v>
      </c>
      <c r="W483" t="s">
        <v>411</v>
      </c>
      <c r="X483" t="s">
        <v>19</v>
      </c>
    </row>
    <row r="484" spans="8:24" x14ac:dyDescent="0.45">
      <c r="H484" t="s">
        <v>259</v>
      </c>
      <c r="I484" t="s">
        <v>632</v>
      </c>
      <c r="J484">
        <v>4.4217874262359978E-3</v>
      </c>
      <c r="K484" t="s">
        <v>14</v>
      </c>
      <c r="U484" t="s">
        <v>15</v>
      </c>
      <c r="V484" t="s">
        <v>688</v>
      </c>
      <c r="W484" t="s">
        <v>411</v>
      </c>
      <c r="X484" t="s">
        <v>19</v>
      </c>
    </row>
    <row r="485" spans="8:24" x14ac:dyDescent="0.45">
      <c r="H485" t="s">
        <v>261</v>
      </c>
      <c r="I485" t="s">
        <v>632</v>
      </c>
      <c r="J485">
        <v>4.7991074007065711E-2</v>
      </c>
      <c r="K485" t="s">
        <v>14</v>
      </c>
      <c r="U485" t="s">
        <v>15</v>
      </c>
      <c r="V485" t="s">
        <v>688</v>
      </c>
      <c r="W485" t="s">
        <v>112</v>
      </c>
      <c r="X485" t="s">
        <v>17</v>
      </c>
    </row>
    <row r="486" spans="8:24" x14ac:dyDescent="0.45">
      <c r="H486" t="s">
        <v>263</v>
      </c>
      <c r="I486" t="s">
        <v>632</v>
      </c>
      <c r="J486">
        <v>2.4926290202326516E-3</v>
      </c>
      <c r="K486" t="s">
        <v>14</v>
      </c>
      <c r="U486" t="s">
        <v>15</v>
      </c>
      <c r="V486" t="s">
        <v>689</v>
      </c>
      <c r="W486" t="s">
        <v>411</v>
      </c>
      <c r="X486" t="s">
        <v>19</v>
      </c>
    </row>
    <row r="487" spans="8:24" x14ac:dyDescent="0.45">
      <c r="H487" t="s">
        <v>265</v>
      </c>
      <c r="I487" t="s">
        <v>632</v>
      </c>
      <c r="J487">
        <v>2.6241094271269933E-2</v>
      </c>
      <c r="K487" t="s">
        <v>14</v>
      </c>
      <c r="U487" t="s">
        <v>15</v>
      </c>
      <c r="V487" t="s">
        <v>689</v>
      </c>
      <c r="W487" t="s">
        <v>112</v>
      </c>
      <c r="X487" t="s">
        <v>17</v>
      </c>
    </row>
    <row r="488" spans="8:24" x14ac:dyDescent="0.45">
      <c r="H488" t="s">
        <v>267</v>
      </c>
      <c r="I488" t="s">
        <v>632</v>
      </c>
      <c r="J488">
        <v>1.429636689582822E-2</v>
      </c>
      <c r="K488" t="s">
        <v>14</v>
      </c>
      <c r="U488" t="s">
        <v>15</v>
      </c>
      <c r="V488" t="s">
        <v>690</v>
      </c>
      <c r="W488" t="s">
        <v>115</v>
      </c>
      <c r="X488" t="s">
        <v>19</v>
      </c>
    </row>
    <row r="489" spans="8:24" x14ac:dyDescent="0.45">
      <c r="H489" t="s">
        <v>269</v>
      </c>
      <c r="I489" t="s">
        <v>632</v>
      </c>
      <c r="J489">
        <v>4.0461811773702199E-4</v>
      </c>
      <c r="K489" t="s">
        <v>14</v>
      </c>
      <c r="U489" t="s">
        <v>15</v>
      </c>
      <c r="V489" t="s">
        <v>691</v>
      </c>
      <c r="W489" t="s">
        <v>115</v>
      </c>
      <c r="X489" t="s">
        <v>19</v>
      </c>
    </row>
    <row r="490" spans="8:24" x14ac:dyDescent="0.45">
      <c r="H490" t="s">
        <v>271</v>
      </c>
      <c r="I490" t="s">
        <v>632</v>
      </c>
      <c r="J490">
        <v>1.0164445570825075E-14</v>
      </c>
      <c r="K490" t="s">
        <v>14</v>
      </c>
      <c r="U490" t="s">
        <v>15</v>
      </c>
      <c r="V490" t="s">
        <v>692</v>
      </c>
      <c r="W490" t="s">
        <v>115</v>
      </c>
      <c r="X490" t="s">
        <v>19</v>
      </c>
    </row>
    <row r="491" spans="8:24" x14ac:dyDescent="0.45">
      <c r="H491" t="s">
        <v>273</v>
      </c>
      <c r="I491" t="s">
        <v>632</v>
      </c>
      <c r="J491">
        <v>3.1283276764558139E-3</v>
      </c>
      <c r="K491" t="s">
        <v>14</v>
      </c>
      <c r="U491" t="s">
        <v>15</v>
      </c>
      <c r="V491" t="s">
        <v>693</v>
      </c>
      <c r="W491" t="s">
        <v>115</v>
      </c>
      <c r="X491" t="s">
        <v>19</v>
      </c>
    </row>
    <row r="492" spans="8:24" x14ac:dyDescent="0.45">
      <c r="H492" t="s">
        <v>274</v>
      </c>
      <c r="I492" t="s">
        <v>632</v>
      </c>
      <c r="J492">
        <v>2.6566643675123666E-2</v>
      </c>
      <c r="K492" t="s">
        <v>14</v>
      </c>
      <c r="U492" t="s">
        <v>15</v>
      </c>
      <c r="V492" t="s">
        <v>694</v>
      </c>
      <c r="W492" t="s">
        <v>115</v>
      </c>
      <c r="X492" t="s">
        <v>19</v>
      </c>
    </row>
    <row r="493" spans="8:24" x14ac:dyDescent="0.45">
      <c r="H493" t="s">
        <v>276</v>
      </c>
      <c r="I493" t="s">
        <v>632</v>
      </c>
      <c r="J493">
        <v>1.561850410421042E-3</v>
      </c>
      <c r="K493" t="s">
        <v>14</v>
      </c>
      <c r="U493" t="s">
        <v>15</v>
      </c>
      <c r="V493" t="s">
        <v>695</v>
      </c>
      <c r="W493" t="s">
        <v>115</v>
      </c>
      <c r="X493" t="s">
        <v>19</v>
      </c>
    </row>
    <row r="494" spans="8:24" x14ac:dyDescent="0.45">
      <c r="H494" t="s">
        <v>277</v>
      </c>
      <c r="I494" t="s">
        <v>632</v>
      </c>
      <c r="J494">
        <v>1.1878679326509171E-5</v>
      </c>
      <c r="K494" t="s">
        <v>14</v>
      </c>
      <c r="U494" t="s">
        <v>15</v>
      </c>
      <c r="V494" t="s">
        <v>696</v>
      </c>
      <c r="W494" t="s">
        <v>115</v>
      </c>
      <c r="X494" t="s">
        <v>19</v>
      </c>
    </row>
    <row r="495" spans="8:24" x14ac:dyDescent="0.45">
      <c r="H495" t="s">
        <v>279</v>
      </c>
      <c r="I495" t="s">
        <v>632</v>
      </c>
      <c r="J495">
        <v>2.284029185996303E-2</v>
      </c>
      <c r="K495" t="s">
        <v>14</v>
      </c>
      <c r="U495" t="s">
        <v>15</v>
      </c>
      <c r="V495" t="s">
        <v>697</v>
      </c>
      <c r="W495" t="s">
        <v>115</v>
      </c>
      <c r="X495" t="s">
        <v>19</v>
      </c>
    </row>
    <row r="496" spans="8:24" x14ac:dyDescent="0.45">
      <c r="H496" t="s">
        <v>281</v>
      </c>
      <c r="I496" t="s">
        <v>632</v>
      </c>
      <c r="J496">
        <v>1.767409550755814E-3</v>
      </c>
      <c r="K496" t="s">
        <v>14</v>
      </c>
      <c r="U496" t="s">
        <v>15</v>
      </c>
      <c r="V496" t="s">
        <v>698</v>
      </c>
      <c r="W496" t="s">
        <v>115</v>
      </c>
      <c r="X496" t="s">
        <v>19</v>
      </c>
    </row>
    <row r="497" spans="8:24" x14ac:dyDescent="0.45">
      <c r="H497" t="s">
        <v>283</v>
      </c>
      <c r="I497" t="s">
        <v>632</v>
      </c>
      <c r="J497">
        <v>5.1799539305924649E-5</v>
      </c>
      <c r="K497" t="s">
        <v>14</v>
      </c>
      <c r="U497" t="s">
        <v>15</v>
      </c>
      <c r="V497" t="s">
        <v>699</v>
      </c>
      <c r="W497" t="s">
        <v>115</v>
      </c>
      <c r="X497" t="s">
        <v>19</v>
      </c>
    </row>
    <row r="498" spans="8:24" x14ac:dyDescent="0.45">
      <c r="H498" t="s">
        <v>284</v>
      </c>
      <c r="I498" t="s">
        <v>632</v>
      </c>
      <c r="J498">
        <v>2.312768901736675E-2</v>
      </c>
      <c r="K498" t="s">
        <v>14</v>
      </c>
      <c r="U498" t="s">
        <v>15</v>
      </c>
      <c r="V498" t="s">
        <v>700</v>
      </c>
      <c r="W498" t="s">
        <v>115</v>
      </c>
      <c r="X498" t="s">
        <v>19</v>
      </c>
    </row>
    <row r="499" spans="8:24" x14ac:dyDescent="0.45">
      <c r="H499" t="s">
        <v>286</v>
      </c>
      <c r="I499" t="s">
        <v>632</v>
      </c>
      <c r="J499">
        <v>3.4217331900940437E-2</v>
      </c>
      <c r="K499" t="s">
        <v>14</v>
      </c>
      <c r="U499" t="s">
        <v>15</v>
      </c>
      <c r="V499" t="s">
        <v>700</v>
      </c>
      <c r="W499" t="s">
        <v>396</v>
      </c>
      <c r="X499" t="s">
        <v>19</v>
      </c>
    </row>
    <row r="500" spans="8:24" x14ac:dyDescent="0.45">
      <c r="H500" t="s">
        <v>287</v>
      </c>
      <c r="I500" t="s">
        <v>632</v>
      </c>
      <c r="J500">
        <v>3.1542253115610708E-2</v>
      </c>
      <c r="K500" t="s">
        <v>14</v>
      </c>
      <c r="U500" t="s">
        <v>15</v>
      </c>
      <c r="V500" t="s">
        <v>701</v>
      </c>
      <c r="W500" t="s">
        <v>115</v>
      </c>
      <c r="X500" t="s">
        <v>19</v>
      </c>
    </row>
    <row r="501" spans="8:24" x14ac:dyDescent="0.45">
      <c r="H501" t="s">
        <v>289</v>
      </c>
      <c r="I501" t="s">
        <v>632</v>
      </c>
      <c r="J501">
        <v>5.8575363526860567E-2</v>
      </c>
      <c r="K501" t="s">
        <v>14</v>
      </c>
      <c r="U501" t="s">
        <v>15</v>
      </c>
      <c r="V501" t="s">
        <v>701</v>
      </c>
      <c r="W501" t="s">
        <v>396</v>
      </c>
      <c r="X501" t="s">
        <v>19</v>
      </c>
    </row>
    <row r="502" spans="8:24" x14ac:dyDescent="0.45">
      <c r="H502" t="s">
        <v>291</v>
      </c>
      <c r="I502" t="s">
        <v>632</v>
      </c>
      <c r="J502">
        <v>7.7528856273741042E-3</v>
      </c>
      <c r="K502" t="s">
        <v>14</v>
      </c>
      <c r="U502" t="s">
        <v>15</v>
      </c>
      <c r="V502" t="s">
        <v>702</v>
      </c>
      <c r="W502" t="s">
        <v>115</v>
      </c>
      <c r="X502" t="s">
        <v>19</v>
      </c>
    </row>
    <row r="503" spans="8:24" x14ac:dyDescent="0.45">
      <c r="H503" t="s">
        <v>293</v>
      </c>
      <c r="I503" t="s">
        <v>632</v>
      </c>
      <c r="J503">
        <v>9.8572760257757794E-4</v>
      </c>
      <c r="K503" t="s">
        <v>14</v>
      </c>
      <c r="U503" t="s">
        <v>15</v>
      </c>
      <c r="V503" t="s">
        <v>702</v>
      </c>
      <c r="W503" t="s">
        <v>396</v>
      </c>
      <c r="X503" t="s">
        <v>19</v>
      </c>
    </row>
    <row r="504" spans="8:24" x14ac:dyDescent="0.45">
      <c r="H504" t="s">
        <v>295</v>
      </c>
      <c r="I504" t="s">
        <v>632</v>
      </c>
      <c r="J504">
        <v>1.1959137509937547E-2</v>
      </c>
      <c r="K504" t="s">
        <v>14</v>
      </c>
      <c r="U504" t="s">
        <v>15</v>
      </c>
      <c r="V504" t="s">
        <v>703</v>
      </c>
      <c r="W504" t="s">
        <v>396</v>
      </c>
      <c r="X504" t="s">
        <v>19</v>
      </c>
    </row>
    <row r="505" spans="8:24" x14ac:dyDescent="0.45">
      <c r="H505" t="s">
        <v>297</v>
      </c>
      <c r="I505" t="s">
        <v>632</v>
      </c>
      <c r="J505">
        <v>5.2135666838129646E-2</v>
      </c>
      <c r="K505" t="s">
        <v>14</v>
      </c>
      <c r="U505" t="s">
        <v>15</v>
      </c>
      <c r="V505" t="s">
        <v>704</v>
      </c>
      <c r="W505" t="s">
        <v>396</v>
      </c>
      <c r="X505" t="s">
        <v>19</v>
      </c>
    </row>
    <row r="506" spans="8:24" x14ac:dyDescent="0.45">
      <c r="H506" t="s">
        <v>299</v>
      </c>
      <c r="I506" t="s">
        <v>632</v>
      </c>
      <c r="J506">
        <v>2.9586133009508485E-2</v>
      </c>
      <c r="K506" t="s">
        <v>14</v>
      </c>
      <c r="U506" t="s">
        <v>15</v>
      </c>
      <c r="V506" t="s">
        <v>705</v>
      </c>
      <c r="W506" t="s">
        <v>396</v>
      </c>
      <c r="X506" t="s">
        <v>19</v>
      </c>
    </row>
    <row r="507" spans="8:24" x14ac:dyDescent="0.45">
      <c r="H507" t="s">
        <v>301</v>
      </c>
      <c r="I507" t="s">
        <v>632</v>
      </c>
      <c r="J507">
        <v>4.882703155348081E-2</v>
      </c>
      <c r="K507" t="s">
        <v>14</v>
      </c>
      <c r="U507" t="s">
        <v>15</v>
      </c>
      <c r="V507" t="s">
        <v>705</v>
      </c>
      <c r="W507" t="s">
        <v>115</v>
      </c>
      <c r="X507" t="s">
        <v>17</v>
      </c>
    </row>
    <row r="508" spans="8:24" x14ac:dyDescent="0.45">
      <c r="H508" t="s">
        <v>303</v>
      </c>
      <c r="I508" t="s">
        <v>632</v>
      </c>
      <c r="J508">
        <v>1.7192426826535042E-2</v>
      </c>
      <c r="K508" t="s">
        <v>14</v>
      </c>
      <c r="U508" t="s">
        <v>15</v>
      </c>
      <c r="V508" t="s">
        <v>706</v>
      </c>
      <c r="W508" t="s">
        <v>396</v>
      </c>
      <c r="X508" t="s">
        <v>19</v>
      </c>
    </row>
    <row r="509" spans="8:24" x14ac:dyDescent="0.45">
      <c r="H509" t="s">
        <v>305</v>
      </c>
      <c r="I509" t="s">
        <v>632</v>
      </c>
      <c r="J509">
        <v>1.2388411015154018E-3</v>
      </c>
      <c r="K509" t="s">
        <v>14</v>
      </c>
      <c r="U509" t="s">
        <v>15</v>
      </c>
      <c r="V509" t="s">
        <v>706</v>
      </c>
      <c r="W509" t="s">
        <v>115</v>
      </c>
      <c r="X509" t="s">
        <v>17</v>
      </c>
    </row>
    <row r="510" spans="8:24" x14ac:dyDescent="0.45">
      <c r="H510" t="s">
        <v>307</v>
      </c>
      <c r="I510" t="s">
        <v>632</v>
      </c>
      <c r="J510">
        <v>7.4487079867775535E-3</v>
      </c>
      <c r="K510" t="s">
        <v>14</v>
      </c>
      <c r="U510" t="s">
        <v>15</v>
      </c>
      <c r="V510" t="s">
        <v>707</v>
      </c>
      <c r="W510" t="s">
        <v>119</v>
      </c>
      <c r="X510" t="s">
        <v>19</v>
      </c>
    </row>
    <row r="511" spans="8:24" x14ac:dyDescent="0.45">
      <c r="H511" t="s">
        <v>309</v>
      </c>
      <c r="I511" t="s">
        <v>632</v>
      </c>
      <c r="J511">
        <v>2.93175644711712E-3</v>
      </c>
      <c r="K511" t="s">
        <v>14</v>
      </c>
      <c r="U511" t="s">
        <v>15</v>
      </c>
      <c r="V511" t="s">
        <v>708</v>
      </c>
      <c r="W511" t="s">
        <v>119</v>
      </c>
      <c r="X511" t="s">
        <v>19</v>
      </c>
    </row>
    <row r="512" spans="8:24" x14ac:dyDescent="0.45">
      <c r="H512" t="s">
        <v>311</v>
      </c>
      <c r="I512" t="s">
        <v>632</v>
      </c>
      <c r="J512">
        <v>1.3337439886897392E-2</v>
      </c>
      <c r="K512" t="s">
        <v>14</v>
      </c>
      <c r="U512" t="s">
        <v>15</v>
      </c>
      <c r="V512" t="s">
        <v>709</v>
      </c>
      <c r="W512" t="s">
        <v>119</v>
      </c>
      <c r="X512" t="s">
        <v>19</v>
      </c>
    </row>
    <row r="513" spans="8:24" x14ac:dyDescent="0.45">
      <c r="H513" t="s">
        <v>313</v>
      </c>
      <c r="I513" t="s">
        <v>632</v>
      </c>
      <c r="J513">
        <v>4.6595148006152928E-2</v>
      </c>
      <c r="K513" t="s">
        <v>14</v>
      </c>
      <c r="U513" t="s">
        <v>15</v>
      </c>
      <c r="V513" t="s">
        <v>710</v>
      </c>
      <c r="W513" t="s">
        <v>119</v>
      </c>
      <c r="X513" t="s">
        <v>19</v>
      </c>
    </row>
    <row r="514" spans="8:24" x14ac:dyDescent="0.45">
      <c r="H514" t="s">
        <v>314</v>
      </c>
      <c r="I514" t="s">
        <v>632</v>
      </c>
      <c r="J514">
        <v>1.0887408533395282E-2</v>
      </c>
      <c r="K514" t="s">
        <v>14</v>
      </c>
      <c r="U514" t="s">
        <v>15</v>
      </c>
      <c r="V514" t="s">
        <v>711</v>
      </c>
      <c r="W514" t="s">
        <v>119</v>
      </c>
      <c r="X514" t="s">
        <v>19</v>
      </c>
    </row>
    <row r="515" spans="8:24" x14ac:dyDescent="0.45">
      <c r="H515" t="s">
        <v>316</v>
      </c>
      <c r="I515" t="s">
        <v>632</v>
      </c>
      <c r="J515">
        <v>7.0749829733983166E-2</v>
      </c>
      <c r="K515" t="s">
        <v>14</v>
      </c>
      <c r="U515" t="s">
        <v>15</v>
      </c>
      <c r="V515" t="s">
        <v>712</v>
      </c>
      <c r="W515" t="s">
        <v>119</v>
      </c>
      <c r="X515" t="s">
        <v>19</v>
      </c>
    </row>
    <row r="516" spans="8:24" x14ac:dyDescent="0.45">
      <c r="H516" t="s">
        <v>317</v>
      </c>
      <c r="I516" t="s">
        <v>632</v>
      </c>
      <c r="J516">
        <v>9.975444820557608E-3</v>
      </c>
      <c r="K516" t="s">
        <v>14</v>
      </c>
      <c r="U516" t="s">
        <v>15</v>
      </c>
      <c r="V516" t="s">
        <v>713</v>
      </c>
      <c r="W516" t="s">
        <v>119</v>
      </c>
      <c r="X516" t="s">
        <v>19</v>
      </c>
    </row>
    <row r="517" spans="8:24" x14ac:dyDescent="0.45">
      <c r="H517" t="s">
        <v>319</v>
      </c>
      <c r="I517" t="s">
        <v>632</v>
      </c>
      <c r="J517">
        <v>0.34915800582554868</v>
      </c>
      <c r="K517" t="s">
        <v>14</v>
      </c>
      <c r="U517" t="s">
        <v>15</v>
      </c>
      <c r="V517" t="s">
        <v>714</v>
      </c>
      <c r="W517" t="s">
        <v>119</v>
      </c>
      <c r="X517" t="s">
        <v>19</v>
      </c>
    </row>
    <row r="518" spans="8:24" x14ac:dyDescent="0.45">
      <c r="H518" t="s">
        <v>321</v>
      </c>
      <c r="I518" t="s">
        <v>632</v>
      </c>
      <c r="J518">
        <v>4.4217874262359978E-3</v>
      </c>
      <c r="K518" t="s">
        <v>14</v>
      </c>
      <c r="U518" t="s">
        <v>15</v>
      </c>
      <c r="V518" t="s">
        <v>715</v>
      </c>
      <c r="W518" t="s">
        <v>119</v>
      </c>
      <c r="X518" t="s">
        <v>19</v>
      </c>
    </row>
    <row r="519" spans="8:24" x14ac:dyDescent="0.45">
      <c r="H519" t="s">
        <v>323</v>
      </c>
      <c r="I519" t="s">
        <v>632</v>
      </c>
      <c r="J519">
        <v>4.7991074007065711E-2</v>
      </c>
      <c r="K519" t="s">
        <v>14</v>
      </c>
      <c r="U519" t="s">
        <v>15</v>
      </c>
      <c r="V519" t="s">
        <v>716</v>
      </c>
      <c r="W519" t="s">
        <v>119</v>
      </c>
      <c r="X519" t="s">
        <v>19</v>
      </c>
    </row>
    <row r="520" spans="8:24" x14ac:dyDescent="0.45">
      <c r="H520" t="s">
        <v>324</v>
      </c>
      <c r="I520" t="s">
        <v>632</v>
      </c>
      <c r="J520">
        <v>2.4926290202326516E-3</v>
      </c>
      <c r="K520" t="s">
        <v>14</v>
      </c>
      <c r="U520" t="s">
        <v>15</v>
      </c>
      <c r="V520" t="s">
        <v>717</v>
      </c>
      <c r="W520" t="s">
        <v>119</v>
      </c>
      <c r="X520" t="s">
        <v>19</v>
      </c>
    </row>
    <row r="521" spans="8:24" x14ac:dyDescent="0.45">
      <c r="H521" t="s">
        <v>326</v>
      </c>
      <c r="I521" t="s">
        <v>632</v>
      </c>
      <c r="J521">
        <v>2.6241094271269933E-2</v>
      </c>
      <c r="K521" t="s">
        <v>14</v>
      </c>
      <c r="U521" t="s">
        <v>15</v>
      </c>
      <c r="V521" t="s">
        <v>717</v>
      </c>
      <c r="W521" t="s">
        <v>393</v>
      </c>
      <c r="X521" t="s">
        <v>19</v>
      </c>
    </row>
    <row r="522" spans="8:24" x14ac:dyDescent="0.45">
      <c r="H522" t="s">
        <v>327</v>
      </c>
      <c r="I522" t="s">
        <v>632</v>
      </c>
      <c r="J522">
        <v>1.429636689582822E-2</v>
      </c>
      <c r="K522" t="s">
        <v>14</v>
      </c>
      <c r="U522" t="s">
        <v>15</v>
      </c>
      <c r="V522" t="s">
        <v>718</v>
      </c>
      <c r="W522" t="s">
        <v>119</v>
      </c>
      <c r="X522" t="s">
        <v>19</v>
      </c>
    </row>
    <row r="523" spans="8:24" x14ac:dyDescent="0.45">
      <c r="H523" t="s">
        <v>329</v>
      </c>
      <c r="I523" t="s">
        <v>632</v>
      </c>
      <c r="J523">
        <v>4.0461811773702199E-4</v>
      </c>
      <c r="K523" t="s">
        <v>14</v>
      </c>
      <c r="U523" t="s">
        <v>15</v>
      </c>
      <c r="V523" t="s">
        <v>718</v>
      </c>
      <c r="W523" t="s">
        <v>393</v>
      </c>
      <c r="X523" t="s">
        <v>19</v>
      </c>
    </row>
    <row r="524" spans="8:24" x14ac:dyDescent="0.45">
      <c r="H524" t="s">
        <v>331</v>
      </c>
      <c r="I524" t="s">
        <v>632</v>
      </c>
      <c r="J524">
        <v>1.0164445570825075E-14</v>
      </c>
      <c r="K524" t="s">
        <v>14</v>
      </c>
      <c r="U524" t="s">
        <v>15</v>
      </c>
      <c r="V524" t="s">
        <v>719</v>
      </c>
      <c r="W524" t="s">
        <v>119</v>
      </c>
      <c r="X524" t="s">
        <v>19</v>
      </c>
    </row>
    <row r="525" spans="8:24" x14ac:dyDescent="0.45">
      <c r="H525" t="s">
        <v>333</v>
      </c>
      <c r="I525" t="s">
        <v>632</v>
      </c>
      <c r="J525">
        <v>3.1283276764558139E-3</v>
      </c>
      <c r="K525" t="s">
        <v>14</v>
      </c>
      <c r="U525" t="s">
        <v>15</v>
      </c>
      <c r="V525" t="s">
        <v>719</v>
      </c>
      <c r="W525" t="s">
        <v>393</v>
      </c>
      <c r="X525" t="s">
        <v>19</v>
      </c>
    </row>
    <row r="526" spans="8:24" x14ac:dyDescent="0.45">
      <c r="H526" t="s">
        <v>335</v>
      </c>
      <c r="I526" t="s">
        <v>632</v>
      </c>
      <c r="J526">
        <v>2.6566643675123666E-2</v>
      </c>
      <c r="K526" t="s">
        <v>14</v>
      </c>
      <c r="U526" t="s">
        <v>15</v>
      </c>
      <c r="V526" t="s">
        <v>720</v>
      </c>
      <c r="W526" t="s">
        <v>393</v>
      </c>
      <c r="X526" t="s">
        <v>19</v>
      </c>
    </row>
    <row r="527" spans="8:24" x14ac:dyDescent="0.45">
      <c r="H527" t="s">
        <v>337</v>
      </c>
      <c r="I527" t="s">
        <v>632</v>
      </c>
      <c r="J527">
        <v>1.561850410421042E-3</v>
      </c>
      <c r="K527" t="s">
        <v>14</v>
      </c>
      <c r="U527" t="s">
        <v>15</v>
      </c>
      <c r="V527" t="s">
        <v>721</v>
      </c>
      <c r="W527" t="s">
        <v>393</v>
      </c>
      <c r="X527" t="s">
        <v>19</v>
      </c>
    </row>
    <row r="528" spans="8:24" x14ac:dyDescent="0.45">
      <c r="H528" t="s">
        <v>339</v>
      </c>
      <c r="I528" t="s">
        <v>632</v>
      </c>
      <c r="J528">
        <v>1.1878679326509171E-5</v>
      </c>
      <c r="K528" t="s">
        <v>14</v>
      </c>
      <c r="U528" t="s">
        <v>15</v>
      </c>
      <c r="V528" t="s">
        <v>722</v>
      </c>
      <c r="W528" t="s">
        <v>393</v>
      </c>
      <c r="X528" t="s">
        <v>19</v>
      </c>
    </row>
    <row r="529" spans="8:24" x14ac:dyDescent="0.45">
      <c r="H529" t="s">
        <v>341</v>
      </c>
      <c r="I529" t="s">
        <v>632</v>
      </c>
      <c r="J529">
        <v>2.284029185996303E-2</v>
      </c>
      <c r="K529" t="s">
        <v>14</v>
      </c>
      <c r="U529" t="s">
        <v>15</v>
      </c>
      <c r="V529" t="s">
        <v>722</v>
      </c>
      <c r="W529" t="s">
        <v>119</v>
      </c>
      <c r="X529" t="s">
        <v>17</v>
      </c>
    </row>
    <row r="530" spans="8:24" x14ac:dyDescent="0.45">
      <c r="H530" t="s">
        <v>343</v>
      </c>
      <c r="I530" t="s">
        <v>632</v>
      </c>
      <c r="J530">
        <v>1.767409550755814E-3</v>
      </c>
      <c r="K530" t="s">
        <v>14</v>
      </c>
      <c r="U530" t="s">
        <v>15</v>
      </c>
      <c r="V530" t="s">
        <v>723</v>
      </c>
      <c r="W530" t="s">
        <v>393</v>
      </c>
      <c r="X530" t="s">
        <v>19</v>
      </c>
    </row>
    <row r="531" spans="8:24" x14ac:dyDescent="0.45">
      <c r="H531" t="s">
        <v>345</v>
      </c>
      <c r="I531" t="s">
        <v>632</v>
      </c>
      <c r="J531">
        <v>5.1799539305924649E-5</v>
      </c>
      <c r="K531" t="s">
        <v>14</v>
      </c>
      <c r="U531" t="s">
        <v>15</v>
      </c>
      <c r="V531" t="s">
        <v>723</v>
      </c>
      <c r="W531" t="s">
        <v>119</v>
      </c>
      <c r="X531" t="s">
        <v>17</v>
      </c>
    </row>
    <row r="532" spans="8:24" x14ac:dyDescent="0.45">
      <c r="H532" t="s">
        <v>347</v>
      </c>
      <c r="I532" t="s">
        <v>632</v>
      </c>
      <c r="J532">
        <v>2.312768901736675E-2</v>
      </c>
      <c r="K532" t="s">
        <v>14</v>
      </c>
      <c r="U532" t="s">
        <v>15</v>
      </c>
      <c r="V532" t="s">
        <v>724</v>
      </c>
      <c r="W532" t="s">
        <v>123</v>
      </c>
      <c r="X532" t="s">
        <v>19</v>
      </c>
    </row>
    <row r="533" spans="8:24" x14ac:dyDescent="0.45">
      <c r="H533" t="s">
        <v>349</v>
      </c>
      <c r="I533" t="s">
        <v>632</v>
      </c>
      <c r="J533">
        <v>3.4217331900940437E-2</v>
      </c>
      <c r="K533" t="s">
        <v>14</v>
      </c>
      <c r="U533" t="s">
        <v>15</v>
      </c>
      <c r="V533" t="s">
        <v>725</v>
      </c>
      <c r="W533" t="s">
        <v>123</v>
      </c>
      <c r="X533" t="s">
        <v>19</v>
      </c>
    </row>
    <row r="534" spans="8:24" x14ac:dyDescent="0.45">
      <c r="H534" t="s">
        <v>351</v>
      </c>
      <c r="I534" t="s">
        <v>632</v>
      </c>
      <c r="J534">
        <v>3.1542253115610708E-2</v>
      </c>
      <c r="K534" t="s">
        <v>14</v>
      </c>
      <c r="U534" t="s">
        <v>15</v>
      </c>
      <c r="V534" t="s">
        <v>726</v>
      </c>
      <c r="W534" t="s">
        <v>123</v>
      </c>
      <c r="X534" t="s">
        <v>19</v>
      </c>
    </row>
    <row r="535" spans="8:24" x14ac:dyDescent="0.45">
      <c r="H535" t="s">
        <v>353</v>
      </c>
      <c r="I535" t="s">
        <v>632</v>
      </c>
      <c r="J535">
        <v>5.8575363526860567E-2</v>
      </c>
      <c r="K535" t="s">
        <v>14</v>
      </c>
      <c r="U535" t="s">
        <v>15</v>
      </c>
      <c r="V535" t="s">
        <v>727</v>
      </c>
      <c r="W535" t="s">
        <v>123</v>
      </c>
      <c r="X535" t="s">
        <v>19</v>
      </c>
    </row>
    <row r="536" spans="8:24" x14ac:dyDescent="0.45">
      <c r="H536" t="s">
        <v>354</v>
      </c>
      <c r="I536" t="s">
        <v>632</v>
      </c>
      <c r="J536">
        <v>7.7528856273741042E-3</v>
      </c>
      <c r="K536" t="s">
        <v>14</v>
      </c>
      <c r="U536" t="s">
        <v>15</v>
      </c>
      <c r="V536" t="s">
        <v>728</v>
      </c>
      <c r="W536" t="s">
        <v>123</v>
      </c>
      <c r="X536" t="s">
        <v>19</v>
      </c>
    </row>
    <row r="537" spans="8:24" x14ac:dyDescent="0.45">
      <c r="H537" t="s">
        <v>356</v>
      </c>
      <c r="I537" t="s">
        <v>632</v>
      </c>
      <c r="J537">
        <v>9.8572760257757794E-4</v>
      </c>
      <c r="K537" t="s">
        <v>14</v>
      </c>
      <c r="U537" t="s">
        <v>15</v>
      </c>
      <c r="V537" t="s">
        <v>729</v>
      </c>
      <c r="W537" t="s">
        <v>123</v>
      </c>
      <c r="X537" t="s">
        <v>19</v>
      </c>
    </row>
    <row r="538" spans="8:24" x14ac:dyDescent="0.45">
      <c r="H538" t="s">
        <v>357</v>
      </c>
      <c r="I538" t="s">
        <v>632</v>
      </c>
      <c r="J538">
        <v>1.1959137509937547E-2</v>
      </c>
      <c r="K538" t="s">
        <v>14</v>
      </c>
      <c r="U538" t="s">
        <v>15</v>
      </c>
      <c r="V538" t="s">
        <v>730</v>
      </c>
      <c r="W538" t="s">
        <v>123</v>
      </c>
      <c r="X538" t="s">
        <v>19</v>
      </c>
    </row>
    <row r="539" spans="8:24" x14ac:dyDescent="0.45">
      <c r="H539" t="s">
        <v>359</v>
      </c>
      <c r="I539" t="s">
        <v>632</v>
      </c>
      <c r="J539">
        <v>5.2135666838129646E-2</v>
      </c>
      <c r="K539" t="s">
        <v>14</v>
      </c>
      <c r="U539" t="s">
        <v>15</v>
      </c>
      <c r="V539" t="s">
        <v>731</v>
      </c>
      <c r="W539" t="s">
        <v>123</v>
      </c>
      <c r="X539" t="s">
        <v>19</v>
      </c>
    </row>
    <row r="540" spans="8:24" x14ac:dyDescent="0.45">
      <c r="H540" t="s">
        <v>361</v>
      </c>
      <c r="I540" t="s">
        <v>632</v>
      </c>
      <c r="J540">
        <v>2.9586133009508485E-2</v>
      </c>
      <c r="K540" t="s">
        <v>14</v>
      </c>
      <c r="U540" t="s">
        <v>15</v>
      </c>
      <c r="V540" t="s">
        <v>732</v>
      </c>
      <c r="W540" t="s">
        <v>123</v>
      </c>
      <c r="X540" t="s">
        <v>19</v>
      </c>
    </row>
    <row r="541" spans="8:24" x14ac:dyDescent="0.45">
      <c r="H541" t="s">
        <v>363</v>
      </c>
      <c r="I541" t="s">
        <v>632</v>
      </c>
      <c r="J541">
        <v>4.882703155348081E-2</v>
      </c>
      <c r="K541" t="s">
        <v>14</v>
      </c>
      <c r="U541" t="s">
        <v>15</v>
      </c>
      <c r="V541" t="s">
        <v>733</v>
      </c>
      <c r="W541" t="s">
        <v>123</v>
      </c>
      <c r="X541" t="s">
        <v>19</v>
      </c>
    </row>
    <row r="542" spans="8:24" x14ac:dyDescent="0.45">
      <c r="H542" t="s">
        <v>364</v>
      </c>
      <c r="I542" t="s">
        <v>632</v>
      </c>
      <c r="J542">
        <v>1.7192426826535042E-2</v>
      </c>
      <c r="K542" t="s">
        <v>14</v>
      </c>
      <c r="U542" t="s">
        <v>15</v>
      </c>
      <c r="V542" t="s">
        <v>734</v>
      </c>
      <c r="W542" t="s">
        <v>123</v>
      </c>
      <c r="X542" t="s">
        <v>19</v>
      </c>
    </row>
    <row r="543" spans="8:24" x14ac:dyDescent="0.45">
      <c r="H543" t="s">
        <v>366</v>
      </c>
      <c r="I543" t="s">
        <v>632</v>
      </c>
      <c r="J543">
        <v>1.2388411015154018E-3</v>
      </c>
      <c r="K543" t="s">
        <v>14</v>
      </c>
      <c r="U543" t="s">
        <v>15</v>
      </c>
      <c r="V543" t="s">
        <v>734</v>
      </c>
      <c r="W543" t="s">
        <v>735</v>
      </c>
      <c r="X543" t="s">
        <v>19</v>
      </c>
    </row>
    <row r="544" spans="8:24" x14ac:dyDescent="0.45">
      <c r="H544" t="s">
        <v>367</v>
      </c>
      <c r="I544" t="s">
        <v>632</v>
      </c>
      <c r="J544">
        <v>7.4487079867775535E-3</v>
      </c>
      <c r="K544" t="s">
        <v>14</v>
      </c>
      <c r="U544" t="s">
        <v>15</v>
      </c>
      <c r="V544" t="s">
        <v>736</v>
      </c>
      <c r="W544" t="s">
        <v>123</v>
      </c>
      <c r="X544" t="s">
        <v>19</v>
      </c>
    </row>
    <row r="545" spans="8:24" x14ac:dyDescent="0.45">
      <c r="H545" t="s">
        <v>369</v>
      </c>
      <c r="I545" t="s">
        <v>632</v>
      </c>
      <c r="J545">
        <v>2.93175644711712E-3</v>
      </c>
      <c r="K545" t="s">
        <v>14</v>
      </c>
      <c r="U545" t="s">
        <v>15</v>
      </c>
      <c r="V545" t="s">
        <v>736</v>
      </c>
      <c r="W545" t="s">
        <v>735</v>
      </c>
      <c r="X545" t="s">
        <v>19</v>
      </c>
    </row>
    <row r="546" spans="8:24" x14ac:dyDescent="0.45">
      <c r="H546" t="s">
        <v>371</v>
      </c>
      <c r="I546" t="s">
        <v>632</v>
      </c>
      <c r="J546">
        <v>1.3337439886897392E-2</v>
      </c>
      <c r="K546" t="s">
        <v>14</v>
      </c>
      <c r="U546" t="s">
        <v>15</v>
      </c>
      <c r="V546" t="s">
        <v>737</v>
      </c>
      <c r="W546" t="s">
        <v>123</v>
      </c>
      <c r="X546" t="s">
        <v>19</v>
      </c>
    </row>
    <row r="547" spans="8:24" x14ac:dyDescent="0.45">
      <c r="H547" t="s">
        <v>373</v>
      </c>
      <c r="I547" t="s">
        <v>632</v>
      </c>
      <c r="J547">
        <v>4.6595148006152928E-2</v>
      </c>
      <c r="K547" t="s">
        <v>14</v>
      </c>
      <c r="U547" t="s">
        <v>15</v>
      </c>
      <c r="V547" t="s">
        <v>737</v>
      </c>
      <c r="W547" t="s">
        <v>735</v>
      </c>
      <c r="X547" t="s">
        <v>19</v>
      </c>
    </row>
    <row r="548" spans="8:24" x14ac:dyDescent="0.45">
      <c r="H548" t="s">
        <v>375</v>
      </c>
      <c r="I548" t="s">
        <v>738</v>
      </c>
      <c r="J548">
        <v>0.34251881586841992</v>
      </c>
      <c r="K548" t="s">
        <v>14</v>
      </c>
      <c r="U548" t="s">
        <v>15</v>
      </c>
      <c r="V548" t="s">
        <v>739</v>
      </c>
      <c r="W548" t="s">
        <v>735</v>
      </c>
      <c r="X548" t="s">
        <v>19</v>
      </c>
    </row>
    <row r="549" spans="8:24" x14ac:dyDescent="0.45">
      <c r="H549" t="s">
        <v>375</v>
      </c>
      <c r="I549" t="s">
        <v>740</v>
      </c>
      <c r="J549">
        <v>5.0300708639109001E-2</v>
      </c>
      <c r="K549" t="s">
        <v>14</v>
      </c>
      <c r="U549" t="s">
        <v>15</v>
      </c>
      <c r="V549" t="s">
        <v>741</v>
      </c>
      <c r="W549" t="s">
        <v>735</v>
      </c>
      <c r="X549" t="s">
        <v>19</v>
      </c>
    </row>
    <row r="550" spans="8:24" x14ac:dyDescent="0.45">
      <c r="H550" t="s">
        <v>378</v>
      </c>
      <c r="I550" t="s">
        <v>738</v>
      </c>
      <c r="J550">
        <v>0.39252956865527883</v>
      </c>
      <c r="K550" t="s">
        <v>14</v>
      </c>
      <c r="U550" t="s">
        <v>15</v>
      </c>
      <c r="V550" t="s">
        <v>742</v>
      </c>
      <c r="W550" t="s">
        <v>735</v>
      </c>
      <c r="X550" t="s">
        <v>19</v>
      </c>
    </row>
    <row r="551" spans="8:24" x14ac:dyDescent="0.45">
      <c r="H551" t="s">
        <v>378</v>
      </c>
      <c r="I551" t="s">
        <v>740</v>
      </c>
      <c r="J551">
        <v>2.6509272880990701E-2</v>
      </c>
      <c r="K551" t="s">
        <v>14</v>
      </c>
      <c r="U551" t="s">
        <v>15</v>
      </c>
      <c r="V551" t="s">
        <v>742</v>
      </c>
      <c r="W551" t="s">
        <v>123</v>
      </c>
      <c r="X551" t="s">
        <v>17</v>
      </c>
    </row>
    <row r="552" spans="8:24" x14ac:dyDescent="0.45">
      <c r="H552" t="s">
        <v>381</v>
      </c>
      <c r="I552" t="s">
        <v>738</v>
      </c>
      <c r="J552">
        <v>2.4386209655474601E-2</v>
      </c>
      <c r="K552" t="s">
        <v>14</v>
      </c>
      <c r="U552" t="s">
        <v>15</v>
      </c>
      <c r="V552" t="s">
        <v>743</v>
      </c>
      <c r="W552" t="s">
        <v>735</v>
      </c>
      <c r="X552" t="s">
        <v>19</v>
      </c>
    </row>
    <row r="553" spans="8:24" x14ac:dyDescent="0.45">
      <c r="H553" t="s">
        <v>381</v>
      </c>
      <c r="I553" t="s">
        <v>740</v>
      </c>
      <c r="J553">
        <v>1.66833392700407E-2</v>
      </c>
      <c r="K553" t="s">
        <v>14</v>
      </c>
      <c r="U553" t="s">
        <v>15</v>
      </c>
      <c r="V553" t="s">
        <v>743</v>
      </c>
      <c r="W553" t="s">
        <v>123</v>
      </c>
      <c r="X553" t="s">
        <v>17</v>
      </c>
    </row>
    <row r="554" spans="8:24" x14ac:dyDescent="0.45">
      <c r="H554" t="s">
        <v>384</v>
      </c>
      <c r="I554" t="s">
        <v>738</v>
      </c>
      <c r="J554">
        <v>5.0293378300609003E-3</v>
      </c>
      <c r="K554" t="s">
        <v>14</v>
      </c>
      <c r="U554" t="s">
        <v>15</v>
      </c>
      <c r="V554" t="s">
        <v>744</v>
      </c>
      <c r="W554" t="s">
        <v>127</v>
      </c>
      <c r="X554" t="s">
        <v>19</v>
      </c>
    </row>
    <row r="555" spans="8:24" x14ac:dyDescent="0.45">
      <c r="H555" t="s">
        <v>384</v>
      </c>
      <c r="I555" t="s">
        <v>740</v>
      </c>
      <c r="J555">
        <v>1.5831988563902664E-14</v>
      </c>
      <c r="K555" t="s">
        <v>14</v>
      </c>
      <c r="U555" t="s">
        <v>15</v>
      </c>
      <c r="V555" t="s">
        <v>745</v>
      </c>
      <c r="W555" t="s">
        <v>127</v>
      </c>
      <c r="X555" t="s">
        <v>19</v>
      </c>
    </row>
    <row r="556" spans="8:24" x14ac:dyDescent="0.45">
      <c r="H556" t="s">
        <v>387</v>
      </c>
      <c r="I556" t="s">
        <v>738</v>
      </c>
      <c r="J556">
        <v>6.9446278608611004E-3</v>
      </c>
      <c r="K556" t="s">
        <v>14</v>
      </c>
      <c r="U556" t="s">
        <v>15</v>
      </c>
      <c r="V556" t="s">
        <v>746</v>
      </c>
      <c r="W556" t="s">
        <v>127</v>
      </c>
      <c r="X556" t="s">
        <v>19</v>
      </c>
    </row>
    <row r="557" spans="8:24" x14ac:dyDescent="0.45">
      <c r="H557" t="s">
        <v>387</v>
      </c>
      <c r="I557" t="s">
        <v>740</v>
      </c>
      <c r="J557">
        <v>2.2130716500136299E-2</v>
      </c>
      <c r="K557" t="s">
        <v>14</v>
      </c>
      <c r="U557" t="s">
        <v>15</v>
      </c>
      <c r="V557" t="s">
        <v>747</v>
      </c>
      <c r="W557" t="s">
        <v>127</v>
      </c>
      <c r="X557" t="s">
        <v>19</v>
      </c>
    </row>
    <row r="558" spans="8:24" x14ac:dyDescent="0.45">
      <c r="H558" t="s">
        <v>390</v>
      </c>
      <c r="I558" t="s">
        <v>738</v>
      </c>
      <c r="J558">
        <v>2.8620432692619E-3</v>
      </c>
      <c r="K558" t="s">
        <v>14</v>
      </c>
      <c r="U558" t="s">
        <v>15</v>
      </c>
      <c r="V558" t="s">
        <v>748</v>
      </c>
      <c r="W558" t="s">
        <v>127</v>
      </c>
      <c r="X558" t="s">
        <v>19</v>
      </c>
    </row>
    <row r="559" spans="8:24" x14ac:dyDescent="0.45">
      <c r="H559" t="s">
        <v>390</v>
      </c>
      <c r="I559" t="s">
        <v>740</v>
      </c>
      <c r="J559">
        <v>1.1309377995116999E-3</v>
      </c>
      <c r="K559" t="s">
        <v>14</v>
      </c>
      <c r="U559" t="s">
        <v>15</v>
      </c>
      <c r="V559" t="s">
        <v>749</v>
      </c>
      <c r="W559" t="s">
        <v>127</v>
      </c>
      <c r="X559" t="s">
        <v>19</v>
      </c>
    </row>
    <row r="560" spans="8:24" x14ac:dyDescent="0.45">
      <c r="H560" t="s">
        <v>392</v>
      </c>
      <c r="I560" t="s">
        <v>738</v>
      </c>
      <c r="J560">
        <v>1.6952884422761999E-3</v>
      </c>
      <c r="K560" t="s">
        <v>14</v>
      </c>
      <c r="U560" t="s">
        <v>15</v>
      </c>
      <c r="V560" t="s">
        <v>750</v>
      </c>
      <c r="W560" t="s">
        <v>127</v>
      </c>
      <c r="X560" t="s">
        <v>19</v>
      </c>
    </row>
    <row r="561" spans="8:24" x14ac:dyDescent="0.45">
      <c r="H561" t="s">
        <v>392</v>
      </c>
      <c r="I561" t="s">
        <v>740</v>
      </c>
      <c r="J561">
        <v>2.1632366320119999E-4</v>
      </c>
      <c r="K561" t="s">
        <v>14</v>
      </c>
      <c r="U561" t="s">
        <v>15</v>
      </c>
      <c r="V561" t="s">
        <v>751</v>
      </c>
      <c r="W561" t="s">
        <v>127</v>
      </c>
      <c r="X561" t="s">
        <v>19</v>
      </c>
    </row>
    <row r="562" spans="8:24" x14ac:dyDescent="0.45">
      <c r="H562" t="s">
        <v>395</v>
      </c>
      <c r="I562" t="s">
        <v>738</v>
      </c>
      <c r="J562">
        <v>8.8274392143070004E-4</v>
      </c>
      <c r="K562" t="s">
        <v>14</v>
      </c>
      <c r="U562" t="s">
        <v>15</v>
      </c>
      <c r="V562" t="s">
        <v>752</v>
      </c>
      <c r="W562" t="s">
        <v>127</v>
      </c>
      <c r="X562" t="s">
        <v>19</v>
      </c>
    </row>
    <row r="563" spans="8:24" x14ac:dyDescent="0.45">
      <c r="H563" t="s">
        <v>395</v>
      </c>
      <c r="I563" t="s">
        <v>740</v>
      </c>
      <c r="J563">
        <v>6.9947098244530002E-4</v>
      </c>
      <c r="K563" t="s">
        <v>14</v>
      </c>
      <c r="U563" t="s">
        <v>15</v>
      </c>
      <c r="V563" t="s">
        <v>753</v>
      </c>
      <c r="W563" t="s">
        <v>127</v>
      </c>
      <c r="X563" t="s">
        <v>19</v>
      </c>
    </row>
    <row r="564" spans="8:24" x14ac:dyDescent="0.45">
      <c r="H564" t="s">
        <v>398</v>
      </c>
      <c r="I564" t="s">
        <v>738</v>
      </c>
      <c r="J564">
        <v>8.7439762402620003E-4</v>
      </c>
      <c r="K564" t="s">
        <v>14</v>
      </c>
      <c r="U564" t="s">
        <v>15</v>
      </c>
      <c r="V564" t="s">
        <v>754</v>
      </c>
      <c r="W564" t="s">
        <v>127</v>
      </c>
      <c r="X564" t="s">
        <v>19</v>
      </c>
    </row>
    <row r="565" spans="8:24" x14ac:dyDescent="0.45">
      <c r="H565" t="s">
        <v>398</v>
      </c>
      <c r="I565" t="s">
        <v>740</v>
      </c>
      <c r="J565">
        <v>3.0512432345849999E-4</v>
      </c>
      <c r="K565" t="s">
        <v>14</v>
      </c>
      <c r="U565" t="s">
        <v>15</v>
      </c>
      <c r="V565" t="s">
        <v>754</v>
      </c>
      <c r="W565" t="s">
        <v>402</v>
      </c>
      <c r="X565" t="s">
        <v>19</v>
      </c>
    </row>
    <row r="566" spans="8:24" x14ac:dyDescent="0.45">
      <c r="H566" t="s">
        <v>401</v>
      </c>
      <c r="I566" t="s">
        <v>738</v>
      </c>
      <c r="J566">
        <v>4.1023963622193998E-3</v>
      </c>
      <c r="K566" t="s">
        <v>14</v>
      </c>
      <c r="U566" t="s">
        <v>15</v>
      </c>
      <c r="V566" t="s">
        <v>755</v>
      </c>
      <c r="W566" t="s">
        <v>127</v>
      </c>
      <c r="X566" t="s">
        <v>19</v>
      </c>
    </row>
    <row r="567" spans="8:24" x14ac:dyDescent="0.45">
      <c r="H567" t="s">
        <v>401</v>
      </c>
      <c r="I567" t="s">
        <v>740</v>
      </c>
      <c r="J567">
        <v>2.3435679740714799E-2</v>
      </c>
      <c r="K567" t="s">
        <v>14</v>
      </c>
      <c r="U567" t="s">
        <v>15</v>
      </c>
      <c r="V567" t="s">
        <v>755</v>
      </c>
      <c r="W567" t="s">
        <v>402</v>
      </c>
      <c r="X567" t="s">
        <v>19</v>
      </c>
    </row>
    <row r="568" spans="8:24" x14ac:dyDescent="0.45">
      <c r="H568" t="s">
        <v>403</v>
      </c>
      <c r="I568" t="s">
        <v>738</v>
      </c>
      <c r="J568">
        <v>0.13310868841651641</v>
      </c>
      <c r="K568" t="s">
        <v>14</v>
      </c>
      <c r="U568" t="s">
        <v>15</v>
      </c>
      <c r="V568" t="s">
        <v>756</v>
      </c>
      <c r="W568" t="s">
        <v>127</v>
      </c>
      <c r="X568" t="s">
        <v>19</v>
      </c>
    </row>
    <row r="569" spans="8:24" x14ac:dyDescent="0.45">
      <c r="H569" t="s">
        <v>403</v>
      </c>
      <c r="I569" t="s">
        <v>740</v>
      </c>
      <c r="J569">
        <v>0.70620634314657471</v>
      </c>
      <c r="K569" t="s">
        <v>14</v>
      </c>
      <c r="U569" t="s">
        <v>15</v>
      </c>
      <c r="V569" t="s">
        <v>756</v>
      </c>
      <c r="W569" t="s">
        <v>402</v>
      </c>
      <c r="X569" t="s">
        <v>19</v>
      </c>
    </row>
    <row r="570" spans="8:24" x14ac:dyDescent="0.45">
      <c r="H570" t="s">
        <v>405</v>
      </c>
      <c r="I570" t="s">
        <v>738</v>
      </c>
      <c r="J570">
        <v>1.30191811346821E-2</v>
      </c>
      <c r="K570" t="s">
        <v>14</v>
      </c>
      <c r="U570" t="s">
        <v>15</v>
      </c>
      <c r="V570" t="s">
        <v>757</v>
      </c>
      <c r="W570" t="s">
        <v>402</v>
      </c>
      <c r="X570" t="s">
        <v>19</v>
      </c>
    </row>
    <row r="571" spans="8:24" x14ac:dyDescent="0.45">
      <c r="H571" t="s">
        <v>405</v>
      </c>
      <c r="I571" t="s">
        <v>740</v>
      </c>
      <c r="J571">
        <v>1.6823250405042999E-3</v>
      </c>
      <c r="K571" t="s">
        <v>14</v>
      </c>
      <c r="U571" t="s">
        <v>15</v>
      </c>
      <c r="V571" t="s">
        <v>758</v>
      </c>
      <c r="W571" t="s">
        <v>402</v>
      </c>
      <c r="X571" t="s">
        <v>19</v>
      </c>
    </row>
    <row r="572" spans="8:24" x14ac:dyDescent="0.45">
      <c r="H572" t="s">
        <v>407</v>
      </c>
      <c r="I572" t="s">
        <v>738</v>
      </c>
      <c r="J572">
        <v>3.3691120378411999E-3</v>
      </c>
      <c r="K572" t="s">
        <v>14</v>
      </c>
      <c r="U572" t="s">
        <v>15</v>
      </c>
      <c r="V572" t="s">
        <v>759</v>
      </c>
      <c r="W572" t="s">
        <v>402</v>
      </c>
      <c r="X572" t="s">
        <v>19</v>
      </c>
    </row>
    <row r="573" spans="8:24" x14ac:dyDescent="0.45">
      <c r="H573" t="s">
        <v>407</v>
      </c>
      <c r="I573" t="s">
        <v>740</v>
      </c>
      <c r="J573">
        <v>1.9360148736953599E-2</v>
      </c>
      <c r="K573" t="s">
        <v>14</v>
      </c>
      <c r="U573" t="s">
        <v>15</v>
      </c>
      <c r="V573" t="s">
        <v>759</v>
      </c>
      <c r="W573" t="s">
        <v>127</v>
      </c>
      <c r="X573" t="s">
        <v>17</v>
      </c>
    </row>
    <row r="574" spans="8:24" x14ac:dyDescent="0.45">
      <c r="H574" t="s">
        <v>410</v>
      </c>
      <c r="I574" t="s">
        <v>738</v>
      </c>
      <c r="J574">
        <v>2.6296520824098699E-2</v>
      </c>
      <c r="K574" t="s">
        <v>14</v>
      </c>
      <c r="U574" t="s">
        <v>15</v>
      </c>
      <c r="V574" t="s">
        <v>760</v>
      </c>
      <c r="W574" t="s">
        <v>402</v>
      </c>
      <c r="X574" t="s">
        <v>19</v>
      </c>
    </row>
    <row r="575" spans="8:24" x14ac:dyDescent="0.45">
      <c r="H575" t="s">
        <v>410</v>
      </c>
      <c r="I575" t="s">
        <v>740</v>
      </c>
      <c r="J575">
        <v>3.1546811448901702E-2</v>
      </c>
      <c r="K575" t="s">
        <v>14</v>
      </c>
      <c r="U575" t="s">
        <v>15</v>
      </c>
      <c r="V575" t="s">
        <v>760</v>
      </c>
      <c r="W575" t="s">
        <v>127</v>
      </c>
      <c r="X575" t="s">
        <v>17</v>
      </c>
    </row>
    <row r="576" spans="8:24" x14ac:dyDescent="0.45">
      <c r="H576" t="s">
        <v>413</v>
      </c>
      <c r="I576" t="s">
        <v>738</v>
      </c>
      <c r="J576">
        <v>6.7886299318600004E-4</v>
      </c>
      <c r="K576" t="s">
        <v>14</v>
      </c>
      <c r="U576" t="s">
        <v>15</v>
      </c>
      <c r="V576" t="s">
        <v>761</v>
      </c>
      <c r="W576" t="s">
        <v>131</v>
      </c>
      <c r="X576" t="s">
        <v>19</v>
      </c>
    </row>
    <row r="577" spans="8:24" x14ac:dyDescent="0.45">
      <c r="H577" t="s">
        <v>413</v>
      </c>
      <c r="I577" t="s">
        <v>740</v>
      </c>
      <c r="J577">
        <v>5.4206471040509996E-4</v>
      </c>
      <c r="K577" t="s">
        <v>14</v>
      </c>
      <c r="U577" t="s">
        <v>15</v>
      </c>
      <c r="V577" t="s">
        <v>762</v>
      </c>
      <c r="W577" t="s">
        <v>131</v>
      </c>
      <c r="X577" t="s">
        <v>19</v>
      </c>
    </row>
    <row r="578" spans="8:24" x14ac:dyDescent="0.45">
      <c r="H578" t="s">
        <v>416</v>
      </c>
      <c r="I578" t="s">
        <v>738</v>
      </c>
      <c r="J578">
        <v>6.6471107424614997E-3</v>
      </c>
      <c r="K578" t="s">
        <v>14</v>
      </c>
      <c r="U578" t="s">
        <v>15</v>
      </c>
      <c r="V578" t="s">
        <v>763</v>
      </c>
      <c r="W578" t="s">
        <v>131</v>
      </c>
      <c r="X578" t="s">
        <v>19</v>
      </c>
    </row>
    <row r="579" spans="8:24" x14ac:dyDescent="0.45">
      <c r="H579" t="s">
        <v>416</v>
      </c>
      <c r="I579" t="s">
        <v>740</v>
      </c>
      <c r="J579">
        <v>6.0605707437516101E-2</v>
      </c>
      <c r="K579" t="s">
        <v>14</v>
      </c>
      <c r="U579" t="s">
        <v>15</v>
      </c>
      <c r="V579" t="s">
        <v>764</v>
      </c>
      <c r="W579" t="s">
        <v>131</v>
      </c>
      <c r="X579" t="s">
        <v>19</v>
      </c>
    </row>
    <row r="580" spans="8:24" x14ac:dyDescent="0.45">
      <c r="H580" t="s">
        <v>417</v>
      </c>
      <c r="I580" t="s">
        <v>738</v>
      </c>
      <c r="J580">
        <v>7.2434461800769999E-3</v>
      </c>
      <c r="K580" t="s">
        <v>14</v>
      </c>
      <c r="U580" t="s">
        <v>15</v>
      </c>
      <c r="V580" t="s">
        <v>765</v>
      </c>
      <c r="W580" t="s">
        <v>131</v>
      </c>
      <c r="X580" t="s">
        <v>19</v>
      </c>
    </row>
    <row r="581" spans="8:24" x14ac:dyDescent="0.45">
      <c r="H581" t="s">
        <v>417</v>
      </c>
      <c r="I581" t="s">
        <v>740</v>
      </c>
      <c r="J581">
        <v>2.6300389752842001E-3</v>
      </c>
      <c r="K581" t="s">
        <v>14</v>
      </c>
      <c r="U581" t="s">
        <v>15</v>
      </c>
      <c r="V581" t="s">
        <v>766</v>
      </c>
      <c r="W581" t="s">
        <v>131</v>
      </c>
      <c r="X581" t="s">
        <v>19</v>
      </c>
    </row>
    <row r="582" spans="8:24" x14ac:dyDescent="0.45">
      <c r="H582" t="s">
        <v>420</v>
      </c>
      <c r="I582" t="s">
        <v>738</v>
      </c>
      <c r="J582">
        <v>2.2646376895780001E-4</v>
      </c>
      <c r="K582" t="s">
        <v>14</v>
      </c>
      <c r="U582" t="s">
        <v>15</v>
      </c>
      <c r="V582" t="s">
        <v>767</v>
      </c>
      <c r="W582" t="s">
        <v>131</v>
      </c>
      <c r="X582" t="s">
        <v>19</v>
      </c>
    </row>
    <row r="583" spans="8:24" x14ac:dyDescent="0.45">
      <c r="H583" t="s">
        <v>420</v>
      </c>
      <c r="I583" t="s">
        <v>740</v>
      </c>
      <c r="J583">
        <v>1.1429935976280001E-4</v>
      </c>
      <c r="K583" t="s">
        <v>14</v>
      </c>
      <c r="U583" t="s">
        <v>15</v>
      </c>
      <c r="V583" t="s">
        <v>768</v>
      </c>
      <c r="W583" t="s">
        <v>131</v>
      </c>
      <c r="X583" t="s">
        <v>19</v>
      </c>
    </row>
    <row r="584" spans="8:24" x14ac:dyDescent="0.45">
      <c r="H584" t="s">
        <v>422</v>
      </c>
      <c r="I584" t="s">
        <v>738</v>
      </c>
      <c r="J584">
        <v>1.2959333526996999E-3</v>
      </c>
      <c r="K584" t="s">
        <v>14</v>
      </c>
      <c r="U584" t="s">
        <v>15</v>
      </c>
      <c r="V584" t="s">
        <v>769</v>
      </c>
      <c r="W584" t="s">
        <v>131</v>
      </c>
      <c r="X584" t="s">
        <v>19</v>
      </c>
    </row>
    <row r="585" spans="8:24" x14ac:dyDescent="0.45">
      <c r="H585" t="s">
        <v>422</v>
      </c>
      <c r="I585" t="s">
        <v>740</v>
      </c>
      <c r="J585">
        <v>4.3912989736230998E-3</v>
      </c>
      <c r="K585" t="s">
        <v>14</v>
      </c>
      <c r="U585" t="s">
        <v>15</v>
      </c>
      <c r="V585" t="s">
        <v>770</v>
      </c>
      <c r="W585" t="s">
        <v>131</v>
      </c>
      <c r="X585" t="s">
        <v>19</v>
      </c>
    </row>
    <row r="586" spans="8:24" x14ac:dyDescent="0.45">
      <c r="H586" t="s">
        <v>425</v>
      </c>
      <c r="I586" t="s">
        <v>738</v>
      </c>
      <c r="J586">
        <v>3.44907438277E-3</v>
      </c>
      <c r="K586" t="s">
        <v>14</v>
      </c>
      <c r="U586" t="s">
        <v>15</v>
      </c>
      <c r="V586" t="s">
        <v>771</v>
      </c>
      <c r="W586" t="s">
        <v>131</v>
      </c>
      <c r="X586" t="s">
        <v>19</v>
      </c>
    </row>
    <row r="587" spans="8:24" x14ac:dyDescent="0.45">
      <c r="H587" t="s">
        <v>425</v>
      </c>
      <c r="I587" t="s">
        <v>740</v>
      </c>
      <c r="J587">
        <v>4.6808536390428998E-3</v>
      </c>
      <c r="K587" t="s">
        <v>14</v>
      </c>
      <c r="U587" t="s">
        <v>15</v>
      </c>
      <c r="V587" t="s">
        <v>771</v>
      </c>
      <c r="W587" t="s">
        <v>423</v>
      </c>
      <c r="X587" t="s">
        <v>19</v>
      </c>
    </row>
    <row r="588" spans="8:24" x14ac:dyDescent="0.45">
      <c r="H588" t="s">
        <v>427</v>
      </c>
      <c r="I588" t="s">
        <v>738</v>
      </c>
      <c r="J588">
        <v>2.8401766773986999E-3</v>
      </c>
      <c r="K588" t="s">
        <v>14</v>
      </c>
      <c r="U588" t="s">
        <v>15</v>
      </c>
      <c r="V588" t="s">
        <v>772</v>
      </c>
      <c r="W588" t="s">
        <v>131</v>
      </c>
      <c r="X588" t="s">
        <v>19</v>
      </c>
    </row>
    <row r="589" spans="8:24" x14ac:dyDescent="0.45">
      <c r="H589" t="s">
        <v>427</v>
      </c>
      <c r="I589" t="s">
        <v>740</v>
      </c>
      <c r="J589">
        <v>6.8285347318063003E-3</v>
      </c>
      <c r="K589" t="s">
        <v>14</v>
      </c>
      <c r="U589" t="s">
        <v>15</v>
      </c>
      <c r="V589" t="s">
        <v>772</v>
      </c>
      <c r="W589" t="s">
        <v>423</v>
      </c>
      <c r="X589" t="s">
        <v>19</v>
      </c>
    </row>
    <row r="590" spans="8:24" x14ac:dyDescent="0.45">
      <c r="U590" t="s">
        <v>15</v>
      </c>
      <c r="V590" t="s">
        <v>773</v>
      </c>
      <c r="W590" t="s">
        <v>131</v>
      </c>
      <c r="X590" t="s">
        <v>19</v>
      </c>
    </row>
    <row r="591" spans="8:24" x14ac:dyDescent="0.45">
      <c r="U591" t="s">
        <v>15</v>
      </c>
      <c r="V591" t="s">
        <v>773</v>
      </c>
      <c r="W591" t="s">
        <v>423</v>
      </c>
      <c r="X591" t="s">
        <v>19</v>
      </c>
    </row>
    <row r="592" spans="8:24" x14ac:dyDescent="0.45">
      <c r="U592" t="s">
        <v>15</v>
      </c>
      <c r="V592" t="s">
        <v>774</v>
      </c>
      <c r="W592" t="s">
        <v>423</v>
      </c>
      <c r="X592" t="s">
        <v>19</v>
      </c>
    </row>
    <row r="593" spans="21:24" x14ac:dyDescent="0.45">
      <c r="U593" t="s">
        <v>15</v>
      </c>
      <c r="V593" t="s">
        <v>775</v>
      </c>
      <c r="W593" t="s">
        <v>423</v>
      </c>
      <c r="X593" t="s">
        <v>19</v>
      </c>
    </row>
    <row r="594" spans="21:24" x14ac:dyDescent="0.45">
      <c r="U594" t="s">
        <v>15</v>
      </c>
      <c r="V594" t="s">
        <v>776</v>
      </c>
      <c r="W594" t="s">
        <v>423</v>
      </c>
      <c r="X594" t="s">
        <v>19</v>
      </c>
    </row>
    <row r="595" spans="21:24" x14ac:dyDescent="0.45">
      <c r="U595" t="s">
        <v>15</v>
      </c>
      <c r="V595" t="s">
        <v>776</v>
      </c>
      <c r="W595" t="s">
        <v>131</v>
      </c>
      <c r="X595" t="s">
        <v>17</v>
      </c>
    </row>
    <row r="596" spans="21:24" x14ac:dyDescent="0.45">
      <c r="U596" t="s">
        <v>15</v>
      </c>
      <c r="V596" t="s">
        <v>777</v>
      </c>
      <c r="W596" t="s">
        <v>423</v>
      </c>
      <c r="X596" t="s">
        <v>19</v>
      </c>
    </row>
    <row r="597" spans="21:24" x14ac:dyDescent="0.45">
      <c r="U597" t="s">
        <v>15</v>
      </c>
      <c r="V597" t="s">
        <v>777</v>
      </c>
      <c r="W597" t="s">
        <v>131</v>
      </c>
      <c r="X597" t="s">
        <v>17</v>
      </c>
    </row>
    <row r="598" spans="21:24" x14ac:dyDescent="0.45">
      <c r="U598" t="s">
        <v>15</v>
      </c>
      <c r="V598" t="s">
        <v>778</v>
      </c>
      <c r="W598" t="s">
        <v>135</v>
      </c>
      <c r="X598" t="s">
        <v>19</v>
      </c>
    </row>
    <row r="599" spans="21:24" x14ac:dyDescent="0.45">
      <c r="U599" t="s">
        <v>15</v>
      </c>
      <c r="V599" t="s">
        <v>779</v>
      </c>
      <c r="W599" t="s">
        <v>135</v>
      </c>
      <c r="X599" t="s">
        <v>19</v>
      </c>
    </row>
    <row r="600" spans="21:24" x14ac:dyDescent="0.45">
      <c r="U600" t="s">
        <v>15</v>
      </c>
      <c r="V600" t="s">
        <v>780</v>
      </c>
      <c r="W600" t="s">
        <v>135</v>
      </c>
      <c r="X600" t="s">
        <v>19</v>
      </c>
    </row>
    <row r="601" spans="21:24" x14ac:dyDescent="0.45">
      <c r="U601" t="s">
        <v>15</v>
      </c>
      <c r="V601" t="s">
        <v>781</v>
      </c>
      <c r="W601" t="s">
        <v>135</v>
      </c>
      <c r="X601" t="s">
        <v>19</v>
      </c>
    </row>
    <row r="602" spans="21:24" x14ac:dyDescent="0.45">
      <c r="U602" t="s">
        <v>15</v>
      </c>
      <c r="V602" t="s">
        <v>782</v>
      </c>
      <c r="W602" t="s">
        <v>135</v>
      </c>
      <c r="X602" t="s">
        <v>19</v>
      </c>
    </row>
    <row r="603" spans="21:24" x14ac:dyDescent="0.45">
      <c r="U603" t="s">
        <v>15</v>
      </c>
      <c r="V603" t="s">
        <v>783</v>
      </c>
      <c r="W603" t="s">
        <v>135</v>
      </c>
      <c r="X603" t="s">
        <v>19</v>
      </c>
    </row>
    <row r="604" spans="21:24" x14ac:dyDescent="0.45">
      <c r="U604" t="s">
        <v>15</v>
      </c>
      <c r="V604" t="s">
        <v>784</v>
      </c>
      <c r="W604" t="s">
        <v>135</v>
      </c>
      <c r="X604" t="s">
        <v>19</v>
      </c>
    </row>
    <row r="605" spans="21:24" x14ac:dyDescent="0.45">
      <c r="U605" t="s">
        <v>15</v>
      </c>
      <c r="V605" t="s">
        <v>785</v>
      </c>
      <c r="W605" t="s">
        <v>135</v>
      </c>
      <c r="X605" t="s">
        <v>19</v>
      </c>
    </row>
    <row r="606" spans="21:24" x14ac:dyDescent="0.45">
      <c r="U606" t="s">
        <v>15</v>
      </c>
      <c r="V606" t="s">
        <v>786</v>
      </c>
      <c r="W606" t="s">
        <v>135</v>
      </c>
      <c r="X606" t="s">
        <v>19</v>
      </c>
    </row>
    <row r="607" spans="21:24" x14ac:dyDescent="0.45">
      <c r="U607" t="s">
        <v>15</v>
      </c>
      <c r="V607" t="s">
        <v>787</v>
      </c>
      <c r="W607" t="s">
        <v>135</v>
      </c>
      <c r="X607" t="s">
        <v>19</v>
      </c>
    </row>
    <row r="608" spans="21:24" x14ac:dyDescent="0.45">
      <c r="U608" t="s">
        <v>15</v>
      </c>
      <c r="V608" t="s">
        <v>788</v>
      </c>
      <c r="W608" t="s">
        <v>135</v>
      </c>
      <c r="X608" t="s">
        <v>19</v>
      </c>
    </row>
    <row r="609" spans="21:24" x14ac:dyDescent="0.45">
      <c r="U609" t="s">
        <v>15</v>
      </c>
      <c r="V609" t="s">
        <v>788</v>
      </c>
      <c r="W609" t="s">
        <v>408</v>
      </c>
      <c r="X609" t="s">
        <v>19</v>
      </c>
    </row>
    <row r="610" spans="21:24" x14ac:dyDescent="0.45">
      <c r="U610" t="s">
        <v>15</v>
      </c>
      <c r="V610" t="s">
        <v>789</v>
      </c>
      <c r="W610" t="s">
        <v>135</v>
      </c>
      <c r="X610" t="s">
        <v>19</v>
      </c>
    </row>
    <row r="611" spans="21:24" x14ac:dyDescent="0.45">
      <c r="U611" t="s">
        <v>15</v>
      </c>
      <c r="V611" t="s">
        <v>789</v>
      </c>
      <c r="W611" t="s">
        <v>408</v>
      </c>
      <c r="X611" t="s">
        <v>19</v>
      </c>
    </row>
    <row r="612" spans="21:24" x14ac:dyDescent="0.45">
      <c r="U612" t="s">
        <v>15</v>
      </c>
      <c r="V612" t="s">
        <v>790</v>
      </c>
      <c r="W612" t="s">
        <v>135</v>
      </c>
      <c r="X612" t="s">
        <v>19</v>
      </c>
    </row>
    <row r="613" spans="21:24" x14ac:dyDescent="0.45">
      <c r="U613" t="s">
        <v>15</v>
      </c>
      <c r="V613" t="s">
        <v>790</v>
      </c>
      <c r="W613" t="s">
        <v>408</v>
      </c>
      <c r="X613" t="s">
        <v>19</v>
      </c>
    </row>
    <row r="614" spans="21:24" x14ac:dyDescent="0.45">
      <c r="U614" t="s">
        <v>15</v>
      </c>
      <c r="V614" t="s">
        <v>791</v>
      </c>
      <c r="W614" t="s">
        <v>408</v>
      </c>
      <c r="X614" t="s">
        <v>19</v>
      </c>
    </row>
    <row r="615" spans="21:24" x14ac:dyDescent="0.45">
      <c r="U615" t="s">
        <v>15</v>
      </c>
      <c r="V615" t="s">
        <v>792</v>
      </c>
      <c r="W615" t="s">
        <v>408</v>
      </c>
      <c r="X615" t="s">
        <v>19</v>
      </c>
    </row>
    <row r="616" spans="21:24" x14ac:dyDescent="0.45">
      <c r="U616" t="s">
        <v>15</v>
      </c>
      <c r="V616" t="s">
        <v>793</v>
      </c>
      <c r="W616" t="s">
        <v>408</v>
      </c>
      <c r="X616" t="s">
        <v>19</v>
      </c>
    </row>
    <row r="617" spans="21:24" x14ac:dyDescent="0.45">
      <c r="U617" t="s">
        <v>15</v>
      </c>
      <c r="V617" t="s">
        <v>793</v>
      </c>
      <c r="W617" t="s">
        <v>135</v>
      </c>
      <c r="X617" t="s">
        <v>17</v>
      </c>
    </row>
    <row r="618" spans="21:24" x14ac:dyDescent="0.45">
      <c r="U618" t="s">
        <v>15</v>
      </c>
      <c r="V618" t="s">
        <v>794</v>
      </c>
      <c r="W618" t="s">
        <v>408</v>
      </c>
      <c r="X618" t="s">
        <v>19</v>
      </c>
    </row>
    <row r="619" spans="21:24" x14ac:dyDescent="0.45">
      <c r="U619" t="s">
        <v>15</v>
      </c>
      <c r="V619" t="s">
        <v>794</v>
      </c>
      <c r="W619" t="s">
        <v>135</v>
      </c>
      <c r="X619" t="s">
        <v>17</v>
      </c>
    </row>
    <row r="620" spans="21:24" x14ac:dyDescent="0.45">
      <c r="U620" t="s">
        <v>15</v>
      </c>
      <c r="V620" t="s">
        <v>795</v>
      </c>
      <c r="W620" t="s">
        <v>139</v>
      </c>
      <c r="X620" t="s">
        <v>19</v>
      </c>
    </row>
    <row r="621" spans="21:24" x14ac:dyDescent="0.45">
      <c r="U621" t="s">
        <v>15</v>
      </c>
      <c r="V621" t="s">
        <v>796</v>
      </c>
      <c r="W621" t="s">
        <v>139</v>
      </c>
      <c r="X621" t="s">
        <v>19</v>
      </c>
    </row>
    <row r="622" spans="21:24" x14ac:dyDescent="0.45">
      <c r="U622" t="s">
        <v>15</v>
      </c>
      <c r="V622" t="s">
        <v>797</v>
      </c>
      <c r="W622" t="s">
        <v>139</v>
      </c>
      <c r="X622" t="s">
        <v>19</v>
      </c>
    </row>
    <row r="623" spans="21:24" x14ac:dyDescent="0.45">
      <c r="U623" t="s">
        <v>15</v>
      </c>
      <c r="V623" t="s">
        <v>798</v>
      </c>
      <c r="W623" t="s">
        <v>139</v>
      </c>
      <c r="X623" t="s">
        <v>19</v>
      </c>
    </row>
    <row r="624" spans="21:24" x14ac:dyDescent="0.45">
      <c r="U624" t="s">
        <v>15</v>
      </c>
      <c r="V624" t="s">
        <v>799</v>
      </c>
      <c r="W624" t="s">
        <v>139</v>
      </c>
      <c r="X624" t="s">
        <v>19</v>
      </c>
    </row>
    <row r="625" spans="21:24" x14ac:dyDescent="0.45">
      <c r="U625" t="s">
        <v>15</v>
      </c>
      <c r="V625" t="s">
        <v>800</v>
      </c>
      <c r="W625" t="s">
        <v>139</v>
      </c>
      <c r="X625" t="s">
        <v>19</v>
      </c>
    </row>
    <row r="626" spans="21:24" x14ac:dyDescent="0.45">
      <c r="U626" t="s">
        <v>15</v>
      </c>
      <c r="V626" t="s">
        <v>801</v>
      </c>
      <c r="W626" t="s">
        <v>139</v>
      </c>
      <c r="X626" t="s">
        <v>19</v>
      </c>
    </row>
    <row r="627" spans="21:24" x14ac:dyDescent="0.45">
      <c r="U627" t="s">
        <v>15</v>
      </c>
      <c r="V627" t="s">
        <v>802</v>
      </c>
      <c r="W627" t="s">
        <v>139</v>
      </c>
      <c r="X627" t="s">
        <v>19</v>
      </c>
    </row>
    <row r="628" spans="21:24" x14ac:dyDescent="0.45">
      <c r="U628" t="s">
        <v>15</v>
      </c>
      <c r="V628" t="s">
        <v>803</v>
      </c>
      <c r="W628" t="s">
        <v>139</v>
      </c>
      <c r="X628" t="s">
        <v>19</v>
      </c>
    </row>
    <row r="629" spans="21:24" x14ac:dyDescent="0.45">
      <c r="U629" t="s">
        <v>15</v>
      </c>
      <c r="V629" t="s">
        <v>804</v>
      </c>
      <c r="W629" t="s">
        <v>139</v>
      </c>
      <c r="X629" t="s">
        <v>19</v>
      </c>
    </row>
    <row r="630" spans="21:24" x14ac:dyDescent="0.45">
      <c r="U630" t="s">
        <v>15</v>
      </c>
      <c r="V630" t="s">
        <v>805</v>
      </c>
      <c r="W630" t="s">
        <v>139</v>
      </c>
      <c r="X630" t="s">
        <v>19</v>
      </c>
    </row>
    <row r="631" spans="21:24" x14ac:dyDescent="0.45">
      <c r="U631" t="s">
        <v>15</v>
      </c>
      <c r="V631" t="s">
        <v>805</v>
      </c>
      <c r="W631" t="s">
        <v>379</v>
      </c>
      <c r="X631" t="s">
        <v>19</v>
      </c>
    </row>
    <row r="632" spans="21:24" x14ac:dyDescent="0.45">
      <c r="U632" t="s">
        <v>15</v>
      </c>
      <c r="V632" t="s">
        <v>806</v>
      </c>
      <c r="W632" t="s">
        <v>139</v>
      </c>
      <c r="X632" t="s">
        <v>19</v>
      </c>
    </row>
    <row r="633" spans="21:24" x14ac:dyDescent="0.45">
      <c r="U633" t="s">
        <v>15</v>
      </c>
      <c r="V633" t="s">
        <v>806</v>
      </c>
      <c r="W633" t="s">
        <v>379</v>
      </c>
      <c r="X633" t="s">
        <v>19</v>
      </c>
    </row>
    <row r="634" spans="21:24" x14ac:dyDescent="0.45">
      <c r="U634" t="s">
        <v>15</v>
      </c>
      <c r="V634" t="s">
        <v>807</v>
      </c>
      <c r="W634" t="s">
        <v>139</v>
      </c>
      <c r="X634" t="s">
        <v>19</v>
      </c>
    </row>
    <row r="635" spans="21:24" x14ac:dyDescent="0.45">
      <c r="U635" t="s">
        <v>15</v>
      </c>
      <c r="V635" t="s">
        <v>807</v>
      </c>
      <c r="W635" t="s">
        <v>379</v>
      </c>
      <c r="X635" t="s">
        <v>19</v>
      </c>
    </row>
    <row r="636" spans="21:24" x14ac:dyDescent="0.45">
      <c r="U636" t="s">
        <v>15</v>
      </c>
      <c r="V636" t="s">
        <v>808</v>
      </c>
      <c r="W636" t="s">
        <v>379</v>
      </c>
      <c r="X636" t="s">
        <v>19</v>
      </c>
    </row>
    <row r="637" spans="21:24" x14ac:dyDescent="0.45">
      <c r="U637" t="s">
        <v>15</v>
      </c>
      <c r="V637" t="s">
        <v>809</v>
      </c>
      <c r="W637" t="s">
        <v>379</v>
      </c>
      <c r="X637" t="s">
        <v>19</v>
      </c>
    </row>
    <row r="638" spans="21:24" x14ac:dyDescent="0.45">
      <c r="U638" t="s">
        <v>15</v>
      </c>
      <c r="V638" t="s">
        <v>810</v>
      </c>
      <c r="W638" t="s">
        <v>379</v>
      </c>
      <c r="X638" t="s">
        <v>19</v>
      </c>
    </row>
    <row r="639" spans="21:24" x14ac:dyDescent="0.45">
      <c r="U639" t="s">
        <v>15</v>
      </c>
      <c r="V639" t="s">
        <v>810</v>
      </c>
      <c r="W639" t="s">
        <v>139</v>
      </c>
      <c r="X639" t="s">
        <v>17</v>
      </c>
    </row>
    <row r="640" spans="21:24" x14ac:dyDescent="0.45">
      <c r="U640" t="s">
        <v>15</v>
      </c>
      <c r="V640" t="s">
        <v>811</v>
      </c>
      <c r="W640" t="s">
        <v>379</v>
      </c>
      <c r="X640" t="s">
        <v>19</v>
      </c>
    </row>
    <row r="641" spans="21:24" x14ac:dyDescent="0.45">
      <c r="U641" t="s">
        <v>15</v>
      </c>
      <c r="V641" t="s">
        <v>811</v>
      </c>
      <c r="W641" t="s">
        <v>139</v>
      </c>
      <c r="X641" t="s">
        <v>17</v>
      </c>
    </row>
    <row r="642" spans="21:24" x14ac:dyDescent="0.45">
      <c r="U642" t="s">
        <v>15</v>
      </c>
      <c r="V642" t="s">
        <v>812</v>
      </c>
      <c r="W642" t="s">
        <v>143</v>
      </c>
      <c r="X642" t="s">
        <v>19</v>
      </c>
    </row>
    <row r="643" spans="21:24" x14ac:dyDescent="0.45">
      <c r="U643" t="s">
        <v>15</v>
      </c>
      <c r="V643" t="s">
        <v>813</v>
      </c>
      <c r="W643" t="s">
        <v>143</v>
      </c>
      <c r="X643" t="s">
        <v>19</v>
      </c>
    </row>
    <row r="644" spans="21:24" x14ac:dyDescent="0.45">
      <c r="U644" t="s">
        <v>15</v>
      </c>
      <c r="V644" t="s">
        <v>814</v>
      </c>
      <c r="W644" t="s">
        <v>143</v>
      </c>
      <c r="X644" t="s">
        <v>19</v>
      </c>
    </row>
    <row r="645" spans="21:24" x14ac:dyDescent="0.45">
      <c r="U645" t="s">
        <v>15</v>
      </c>
      <c r="V645" t="s">
        <v>815</v>
      </c>
      <c r="W645" t="s">
        <v>143</v>
      </c>
      <c r="X645" t="s">
        <v>19</v>
      </c>
    </row>
    <row r="646" spans="21:24" x14ac:dyDescent="0.45">
      <c r="U646" t="s">
        <v>15</v>
      </c>
      <c r="V646" t="s">
        <v>816</v>
      </c>
      <c r="W646" t="s">
        <v>143</v>
      </c>
      <c r="X646" t="s">
        <v>19</v>
      </c>
    </row>
    <row r="647" spans="21:24" x14ac:dyDescent="0.45">
      <c r="U647" t="s">
        <v>15</v>
      </c>
      <c r="V647" t="s">
        <v>817</v>
      </c>
      <c r="W647" t="s">
        <v>143</v>
      </c>
      <c r="X647" t="s">
        <v>19</v>
      </c>
    </row>
    <row r="648" spans="21:24" x14ac:dyDescent="0.45">
      <c r="U648" t="s">
        <v>15</v>
      </c>
      <c r="V648" t="s">
        <v>818</v>
      </c>
      <c r="W648" t="s">
        <v>143</v>
      </c>
      <c r="X648" t="s">
        <v>19</v>
      </c>
    </row>
    <row r="649" spans="21:24" x14ac:dyDescent="0.45">
      <c r="U649" t="s">
        <v>15</v>
      </c>
      <c r="V649" t="s">
        <v>819</v>
      </c>
      <c r="W649" t="s">
        <v>143</v>
      </c>
      <c r="X649" t="s">
        <v>19</v>
      </c>
    </row>
    <row r="650" spans="21:24" x14ac:dyDescent="0.45">
      <c r="U650" t="s">
        <v>15</v>
      </c>
      <c r="V650" t="s">
        <v>820</v>
      </c>
      <c r="W650" t="s">
        <v>143</v>
      </c>
      <c r="X650" t="s">
        <v>19</v>
      </c>
    </row>
    <row r="651" spans="21:24" x14ac:dyDescent="0.45">
      <c r="U651" t="s">
        <v>15</v>
      </c>
      <c r="V651" t="s">
        <v>821</v>
      </c>
      <c r="W651" t="s">
        <v>143</v>
      </c>
      <c r="X651" t="s">
        <v>19</v>
      </c>
    </row>
    <row r="652" spans="21:24" x14ac:dyDescent="0.45">
      <c r="U652" t="s">
        <v>15</v>
      </c>
      <c r="V652" t="s">
        <v>822</v>
      </c>
      <c r="W652" t="s">
        <v>143</v>
      </c>
      <c r="X652" t="s">
        <v>19</v>
      </c>
    </row>
    <row r="653" spans="21:24" x14ac:dyDescent="0.45">
      <c r="U653" t="s">
        <v>15</v>
      </c>
      <c r="V653" t="s">
        <v>822</v>
      </c>
      <c r="W653" t="s">
        <v>823</v>
      </c>
      <c r="X653" t="s">
        <v>19</v>
      </c>
    </row>
    <row r="654" spans="21:24" x14ac:dyDescent="0.45">
      <c r="U654" t="s">
        <v>15</v>
      </c>
      <c r="V654" t="s">
        <v>824</v>
      </c>
      <c r="W654" t="s">
        <v>143</v>
      </c>
      <c r="X654" t="s">
        <v>19</v>
      </c>
    </row>
    <row r="655" spans="21:24" x14ac:dyDescent="0.45">
      <c r="U655" t="s">
        <v>15</v>
      </c>
      <c r="V655" t="s">
        <v>824</v>
      </c>
      <c r="W655" t="s">
        <v>823</v>
      </c>
      <c r="X655" t="s">
        <v>19</v>
      </c>
    </row>
    <row r="656" spans="21:24" x14ac:dyDescent="0.45">
      <c r="U656" t="s">
        <v>15</v>
      </c>
      <c r="V656" t="s">
        <v>825</v>
      </c>
      <c r="W656" t="s">
        <v>143</v>
      </c>
      <c r="X656" t="s">
        <v>19</v>
      </c>
    </row>
    <row r="657" spans="21:24" x14ac:dyDescent="0.45">
      <c r="U657" t="s">
        <v>15</v>
      </c>
      <c r="V657" t="s">
        <v>825</v>
      </c>
      <c r="W657" t="s">
        <v>823</v>
      </c>
      <c r="X657" t="s">
        <v>19</v>
      </c>
    </row>
    <row r="658" spans="21:24" x14ac:dyDescent="0.45">
      <c r="U658" t="s">
        <v>15</v>
      </c>
      <c r="V658" t="s">
        <v>826</v>
      </c>
      <c r="W658" t="s">
        <v>823</v>
      </c>
      <c r="X658" t="s">
        <v>19</v>
      </c>
    </row>
    <row r="659" spans="21:24" x14ac:dyDescent="0.45">
      <c r="U659" t="s">
        <v>15</v>
      </c>
      <c r="V659" t="s">
        <v>827</v>
      </c>
      <c r="W659" t="s">
        <v>823</v>
      </c>
      <c r="X659" t="s">
        <v>19</v>
      </c>
    </row>
    <row r="660" spans="21:24" x14ac:dyDescent="0.45">
      <c r="U660" t="s">
        <v>15</v>
      </c>
      <c r="V660" t="s">
        <v>828</v>
      </c>
      <c r="W660" t="s">
        <v>823</v>
      </c>
      <c r="X660" t="s">
        <v>19</v>
      </c>
    </row>
    <row r="661" spans="21:24" x14ac:dyDescent="0.45">
      <c r="U661" t="s">
        <v>15</v>
      </c>
      <c r="V661" t="s">
        <v>828</v>
      </c>
      <c r="W661" t="s">
        <v>143</v>
      </c>
      <c r="X661" t="s">
        <v>17</v>
      </c>
    </row>
    <row r="662" spans="21:24" x14ac:dyDescent="0.45">
      <c r="U662" t="s">
        <v>15</v>
      </c>
      <c r="V662" t="s">
        <v>829</v>
      </c>
      <c r="W662" t="s">
        <v>823</v>
      </c>
      <c r="X662" t="s">
        <v>19</v>
      </c>
    </row>
    <row r="663" spans="21:24" x14ac:dyDescent="0.45">
      <c r="U663" t="s">
        <v>15</v>
      </c>
      <c r="V663" t="s">
        <v>829</v>
      </c>
      <c r="W663" t="s">
        <v>143</v>
      </c>
      <c r="X663" t="s">
        <v>17</v>
      </c>
    </row>
    <row r="664" spans="21:24" x14ac:dyDescent="0.45">
      <c r="U664" t="s">
        <v>15</v>
      </c>
      <c r="V664" t="s">
        <v>830</v>
      </c>
      <c r="W664" t="s">
        <v>147</v>
      </c>
      <c r="X664" t="s">
        <v>19</v>
      </c>
    </row>
    <row r="665" spans="21:24" x14ac:dyDescent="0.45">
      <c r="U665" t="s">
        <v>15</v>
      </c>
      <c r="V665" t="s">
        <v>831</v>
      </c>
      <c r="W665" t="s">
        <v>147</v>
      </c>
      <c r="X665" t="s">
        <v>19</v>
      </c>
    </row>
    <row r="666" spans="21:24" x14ac:dyDescent="0.45">
      <c r="U666" t="s">
        <v>15</v>
      </c>
      <c r="V666" t="s">
        <v>832</v>
      </c>
      <c r="W666" t="s">
        <v>147</v>
      </c>
      <c r="X666" t="s">
        <v>19</v>
      </c>
    </row>
    <row r="667" spans="21:24" x14ac:dyDescent="0.45">
      <c r="U667" t="s">
        <v>15</v>
      </c>
      <c r="V667" t="s">
        <v>833</v>
      </c>
      <c r="W667" t="s">
        <v>147</v>
      </c>
      <c r="X667" t="s">
        <v>19</v>
      </c>
    </row>
    <row r="668" spans="21:24" x14ac:dyDescent="0.45">
      <c r="U668" t="s">
        <v>15</v>
      </c>
      <c r="V668" t="s">
        <v>834</v>
      </c>
      <c r="W668" t="s">
        <v>147</v>
      </c>
      <c r="X668" t="s">
        <v>19</v>
      </c>
    </row>
    <row r="669" spans="21:24" x14ac:dyDescent="0.45">
      <c r="U669" t="s">
        <v>15</v>
      </c>
      <c r="V669" t="s">
        <v>835</v>
      </c>
      <c r="W669" t="s">
        <v>147</v>
      </c>
      <c r="X669" t="s">
        <v>19</v>
      </c>
    </row>
    <row r="670" spans="21:24" x14ac:dyDescent="0.45">
      <c r="U670" t="s">
        <v>15</v>
      </c>
      <c r="V670" t="s">
        <v>836</v>
      </c>
      <c r="W670" t="s">
        <v>147</v>
      </c>
      <c r="X670" t="s">
        <v>19</v>
      </c>
    </row>
    <row r="671" spans="21:24" x14ac:dyDescent="0.45">
      <c r="U671" t="s">
        <v>15</v>
      </c>
      <c r="V671" t="s">
        <v>837</v>
      </c>
      <c r="W671" t="s">
        <v>147</v>
      </c>
      <c r="X671" t="s">
        <v>19</v>
      </c>
    </row>
    <row r="672" spans="21:24" x14ac:dyDescent="0.45">
      <c r="U672" t="s">
        <v>15</v>
      </c>
      <c r="V672" t="s">
        <v>838</v>
      </c>
      <c r="W672" t="s">
        <v>147</v>
      </c>
      <c r="X672" t="s">
        <v>19</v>
      </c>
    </row>
    <row r="673" spans="21:24" x14ac:dyDescent="0.45">
      <c r="U673" t="s">
        <v>15</v>
      </c>
      <c r="V673" t="s">
        <v>839</v>
      </c>
      <c r="W673" t="s">
        <v>147</v>
      </c>
      <c r="X673" t="s">
        <v>19</v>
      </c>
    </row>
    <row r="674" spans="21:24" x14ac:dyDescent="0.45">
      <c r="U674" t="s">
        <v>15</v>
      </c>
      <c r="V674" t="s">
        <v>840</v>
      </c>
      <c r="W674" t="s">
        <v>147</v>
      </c>
      <c r="X674" t="s">
        <v>19</v>
      </c>
    </row>
    <row r="675" spans="21:24" x14ac:dyDescent="0.45">
      <c r="U675" t="s">
        <v>15</v>
      </c>
      <c r="V675" t="s">
        <v>840</v>
      </c>
      <c r="W675" t="s">
        <v>841</v>
      </c>
      <c r="X675" t="s">
        <v>19</v>
      </c>
    </row>
    <row r="676" spans="21:24" x14ac:dyDescent="0.45">
      <c r="U676" t="s">
        <v>15</v>
      </c>
      <c r="V676" t="s">
        <v>842</v>
      </c>
      <c r="W676" t="s">
        <v>147</v>
      </c>
      <c r="X676" t="s">
        <v>19</v>
      </c>
    </row>
    <row r="677" spans="21:24" x14ac:dyDescent="0.45">
      <c r="U677" t="s">
        <v>15</v>
      </c>
      <c r="V677" t="s">
        <v>842</v>
      </c>
      <c r="W677" t="s">
        <v>841</v>
      </c>
      <c r="X677" t="s">
        <v>19</v>
      </c>
    </row>
    <row r="678" spans="21:24" x14ac:dyDescent="0.45">
      <c r="U678" t="s">
        <v>15</v>
      </c>
      <c r="V678" t="s">
        <v>843</v>
      </c>
      <c r="W678" t="s">
        <v>147</v>
      </c>
      <c r="X678" t="s">
        <v>19</v>
      </c>
    </row>
    <row r="679" spans="21:24" x14ac:dyDescent="0.45">
      <c r="U679" t="s">
        <v>15</v>
      </c>
      <c r="V679" t="s">
        <v>843</v>
      </c>
      <c r="W679" t="s">
        <v>841</v>
      </c>
      <c r="X679" t="s">
        <v>19</v>
      </c>
    </row>
    <row r="680" spans="21:24" x14ac:dyDescent="0.45">
      <c r="U680" t="s">
        <v>15</v>
      </c>
      <c r="V680" t="s">
        <v>844</v>
      </c>
      <c r="W680" t="s">
        <v>841</v>
      </c>
      <c r="X680" t="s">
        <v>19</v>
      </c>
    </row>
    <row r="681" spans="21:24" x14ac:dyDescent="0.45">
      <c r="U681" t="s">
        <v>15</v>
      </c>
      <c r="V681" t="s">
        <v>845</v>
      </c>
      <c r="W681" t="s">
        <v>841</v>
      </c>
      <c r="X681" t="s">
        <v>19</v>
      </c>
    </row>
    <row r="682" spans="21:24" x14ac:dyDescent="0.45">
      <c r="U682" t="s">
        <v>15</v>
      </c>
      <c r="V682" t="s">
        <v>846</v>
      </c>
      <c r="W682" t="s">
        <v>841</v>
      </c>
      <c r="X682" t="s">
        <v>19</v>
      </c>
    </row>
    <row r="683" spans="21:24" x14ac:dyDescent="0.45">
      <c r="U683" t="s">
        <v>15</v>
      </c>
      <c r="V683" t="s">
        <v>846</v>
      </c>
      <c r="W683" t="s">
        <v>147</v>
      </c>
      <c r="X683" t="s">
        <v>17</v>
      </c>
    </row>
    <row r="684" spans="21:24" x14ac:dyDescent="0.45">
      <c r="U684" t="s">
        <v>15</v>
      </c>
      <c r="V684" t="s">
        <v>847</v>
      </c>
      <c r="W684" t="s">
        <v>841</v>
      </c>
      <c r="X684" t="s">
        <v>19</v>
      </c>
    </row>
    <row r="685" spans="21:24" x14ac:dyDescent="0.45">
      <c r="U685" t="s">
        <v>15</v>
      </c>
      <c r="V685" t="s">
        <v>847</v>
      </c>
      <c r="W685" t="s">
        <v>147</v>
      </c>
      <c r="X685" t="s">
        <v>17</v>
      </c>
    </row>
    <row r="686" spans="21:24" x14ac:dyDescent="0.45">
      <c r="U686" t="s">
        <v>15</v>
      </c>
      <c r="V686" t="s">
        <v>848</v>
      </c>
      <c r="W686" t="s">
        <v>151</v>
      </c>
      <c r="X686" t="s">
        <v>19</v>
      </c>
    </row>
    <row r="687" spans="21:24" x14ac:dyDescent="0.45">
      <c r="U687" t="s">
        <v>15</v>
      </c>
      <c r="V687" t="s">
        <v>849</v>
      </c>
      <c r="W687" t="s">
        <v>151</v>
      </c>
      <c r="X687" t="s">
        <v>19</v>
      </c>
    </row>
    <row r="688" spans="21:24" x14ac:dyDescent="0.45">
      <c r="U688" t="s">
        <v>15</v>
      </c>
      <c r="V688" t="s">
        <v>850</v>
      </c>
      <c r="W688" t="s">
        <v>151</v>
      </c>
      <c r="X688" t="s">
        <v>19</v>
      </c>
    </row>
    <row r="689" spans="21:24" x14ac:dyDescent="0.45">
      <c r="U689" t="s">
        <v>15</v>
      </c>
      <c r="V689" t="s">
        <v>851</v>
      </c>
      <c r="W689" t="s">
        <v>151</v>
      </c>
      <c r="X689" t="s">
        <v>19</v>
      </c>
    </row>
    <row r="690" spans="21:24" x14ac:dyDescent="0.45">
      <c r="U690" t="s">
        <v>15</v>
      </c>
      <c r="V690" t="s">
        <v>852</v>
      </c>
      <c r="W690" t="s">
        <v>151</v>
      </c>
      <c r="X690" t="s">
        <v>19</v>
      </c>
    </row>
    <row r="691" spans="21:24" x14ac:dyDescent="0.45">
      <c r="U691" t="s">
        <v>15</v>
      </c>
      <c r="V691" t="s">
        <v>853</v>
      </c>
      <c r="W691" t="s">
        <v>151</v>
      </c>
      <c r="X691" t="s">
        <v>19</v>
      </c>
    </row>
    <row r="692" spans="21:24" x14ac:dyDescent="0.45">
      <c r="U692" t="s">
        <v>15</v>
      </c>
      <c r="V692" t="s">
        <v>854</v>
      </c>
      <c r="W692" t="s">
        <v>151</v>
      </c>
      <c r="X692" t="s">
        <v>19</v>
      </c>
    </row>
    <row r="693" spans="21:24" x14ac:dyDescent="0.45">
      <c r="U693" t="s">
        <v>15</v>
      </c>
      <c r="V693" t="s">
        <v>855</v>
      </c>
      <c r="W693" t="s">
        <v>151</v>
      </c>
      <c r="X693" t="s">
        <v>19</v>
      </c>
    </row>
    <row r="694" spans="21:24" x14ac:dyDescent="0.45">
      <c r="U694" t="s">
        <v>15</v>
      </c>
      <c r="V694" t="s">
        <v>856</v>
      </c>
      <c r="W694" t="s">
        <v>151</v>
      </c>
      <c r="X694" t="s">
        <v>19</v>
      </c>
    </row>
    <row r="695" spans="21:24" x14ac:dyDescent="0.45">
      <c r="U695" t="s">
        <v>15</v>
      </c>
      <c r="V695" t="s">
        <v>857</v>
      </c>
      <c r="W695" t="s">
        <v>151</v>
      </c>
      <c r="X695" t="s">
        <v>19</v>
      </c>
    </row>
    <row r="696" spans="21:24" x14ac:dyDescent="0.45">
      <c r="U696" t="s">
        <v>15</v>
      </c>
      <c r="V696" t="s">
        <v>858</v>
      </c>
      <c r="W696" t="s">
        <v>151</v>
      </c>
      <c r="X696" t="s">
        <v>19</v>
      </c>
    </row>
    <row r="697" spans="21:24" x14ac:dyDescent="0.45">
      <c r="U697" t="s">
        <v>15</v>
      </c>
      <c r="V697" t="s">
        <v>858</v>
      </c>
      <c r="W697" t="s">
        <v>414</v>
      </c>
      <c r="X697" t="s">
        <v>19</v>
      </c>
    </row>
    <row r="698" spans="21:24" x14ac:dyDescent="0.45">
      <c r="U698" t="s">
        <v>15</v>
      </c>
      <c r="V698" t="s">
        <v>859</v>
      </c>
      <c r="W698" t="s">
        <v>151</v>
      </c>
      <c r="X698" t="s">
        <v>19</v>
      </c>
    </row>
    <row r="699" spans="21:24" x14ac:dyDescent="0.45">
      <c r="U699" t="s">
        <v>15</v>
      </c>
      <c r="V699" t="s">
        <v>859</v>
      </c>
      <c r="W699" t="s">
        <v>414</v>
      </c>
      <c r="X699" t="s">
        <v>19</v>
      </c>
    </row>
    <row r="700" spans="21:24" x14ac:dyDescent="0.45">
      <c r="U700" t="s">
        <v>15</v>
      </c>
      <c r="V700" t="s">
        <v>860</v>
      </c>
      <c r="W700" t="s">
        <v>151</v>
      </c>
      <c r="X700" t="s">
        <v>19</v>
      </c>
    </row>
    <row r="701" spans="21:24" x14ac:dyDescent="0.45">
      <c r="U701" t="s">
        <v>15</v>
      </c>
      <c r="V701" t="s">
        <v>860</v>
      </c>
      <c r="W701" t="s">
        <v>414</v>
      </c>
      <c r="X701" t="s">
        <v>19</v>
      </c>
    </row>
    <row r="702" spans="21:24" x14ac:dyDescent="0.45">
      <c r="U702" t="s">
        <v>15</v>
      </c>
      <c r="V702" t="s">
        <v>861</v>
      </c>
      <c r="W702" t="s">
        <v>414</v>
      </c>
      <c r="X702" t="s">
        <v>19</v>
      </c>
    </row>
    <row r="703" spans="21:24" x14ac:dyDescent="0.45">
      <c r="U703" t="s">
        <v>15</v>
      </c>
      <c r="V703" t="s">
        <v>862</v>
      </c>
      <c r="W703" t="s">
        <v>414</v>
      </c>
      <c r="X703" t="s">
        <v>19</v>
      </c>
    </row>
    <row r="704" spans="21:24" x14ac:dyDescent="0.45">
      <c r="U704" t="s">
        <v>15</v>
      </c>
      <c r="V704" t="s">
        <v>863</v>
      </c>
      <c r="W704" t="s">
        <v>414</v>
      </c>
      <c r="X704" t="s">
        <v>19</v>
      </c>
    </row>
    <row r="705" spans="21:24" x14ac:dyDescent="0.45">
      <c r="U705" t="s">
        <v>15</v>
      </c>
      <c r="V705" t="s">
        <v>863</v>
      </c>
      <c r="W705" t="s">
        <v>151</v>
      </c>
      <c r="X705" t="s">
        <v>17</v>
      </c>
    </row>
    <row r="706" spans="21:24" x14ac:dyDescent="0.45">
      <c r="U706" t="s">
        <v>15</v>
      </c>
      <c r="V706" t="s">
        <v>864</v>
      </c>
      <c r="W706" t="s">
        <v>414</v>
      </c>
      <c r="X706" t="s">
        <v>19</v>
      </c>
    </row>
    <row r="707" spans="21:24" x14ac:dyDescent="0.45">
      <c r="U707" t="s">
        <v>15</v>
      </c>
      <c r="V707" t="s">
        <v>864</v>
      </c>
      <c r="W707" t="s">
        <v>151</v>
      </c>
      <c r="X707" t="s">
        <v>17</v>
      </c>
    </row>
    <row r="708" spans="21:24" x14ac:dyDescent="0.45">
      <c r="U708" t="s">
        <v>15</v>
      </c>
      <c r="V708" t="s">
        <v>865</v>
      </c>
      <c r="W708" t="s">
        <v>155</v>
      </c>
      <c r="X708" t="s">
        <v>19</v>
      </c>
    </row>
    <row r="709" spans="21:24" x14ac:dyDescent="0.45">
      <c r="U709" t="s">
        <v>15</v>
      </c>
      <c r="V709" t="s">
        <v>866</v>
      </c>
      <c r="W709" t="s">
        <v>155</v>
      </c>
      <c r="X709" t="s">
        <v>19</v>
      </c>
    </row>
    <row r="710" spans="21:24" x14ac:dyDescent="0.45">
      <c r="U710" t="s">
        <v>15</v>
      </c>
      <c r="V710" t="s">
        <v>867</v>
      </c>
      <c r="W710" t="s">
        <v>155</v>
      </c>
      <c r="X710" t="s">
        <v>19</v>
      </c>
    </row>
    <row r="711" spans="21:24" x14ac:dyDescent="0.45">
      <c r="U711" t="s">
        <v>15</v>
      </c>
      <c r="V711" t="s">
        <v>868</v>
      </c>
      <c r="W711" t="s">
        <v>155</v>
      </c>
      <c r="X711" t="s">
        <v>19</v>
      </c>
    </row>
    <row r="712" spans="21:24" x14ac:dyDescent="0.45">
      <c r="U712" t="s">
        <v>15</v>
      </c>
      <c r="V712" t="s">
        <v>869</v>
      </c>
      <c r="W712" t="s">
        <v>155</v>
      </c>
      <c r="X712" t="s">
        <v>19</v>
      </c>
    </row>
    <row r="713" spans="21:24" x14ac:dyDescent="0.45">
      <c r="U713" t="s">
        <v>15</v>
      </c>
      <c r="V713" t="s">
        <v>870</v>
      </c>
      <c r="W713" t="s">
        <v>155</v>
      </c>
      <c r="X713" t="s">
        <v>19</v>
      </c>
    </row>
    <row r="714" spans="21:24" x14ac:dyDescent="0.45">
      <c r="U714" t="s">
        <v>15</v>
      </c>
      <c r="V714" t="s">
        <v>871</v>
      </c>
      <c r="W714" t="s">
        <v>155</v>
      </c>
      <c r="X714" t="s">
        <v>19</v>
      </c>
    </row>
    <row r="715" spans="21:24" x14ac:dyDescent="0.45">
      <c r="U715" t="s">
        <v>15</v>
      </c>
      <c r="V715" t="s">
        <v>872</v>
      </c>
      <c r="W715" t="s">
        <v>155</v>
      </c>
      <c r="X715" t="s">
        <v>19</v>
      </c>
    </row>
    <row r="716" spans="21:24" x14ac:dyDescent="0.45">
      <c r="U716" t="s">
        <v>15</v>
      </c>
      <c r="V716" t="s">
        <v>873</v>
      </c>
      <c r="W716" t="s">
        <v>155</v>
      </c>
      <c r="X716" t="s">
        <v>19</v>
      </c>
    </row>
    <row r="717" spans="21:24" x14ac:dyDescent="0.45">
      <c r="U717" t="s">
        <v>15</v>
      </c>
      <c r="V717" t="s">
        <v>874</v>
      </c>
      <c r="W717" t="s">
        <v>155</v>
      </c>
      <c r="X717" t="s">
        <v>19</v>
      </c>
    </row>
    <row r="718" spans="21:24" x14ac:dyDescent="0.45">
      <c r="U718" t="s">
        <v>15</v>
      </c>
      <c r="V718" t="s">
        <v>875</v>
      </c>
      <c r="W718" t="s">
        <v>155</v>
      </c>
      <c r="X718" t="s">
        <v>19</v>
      </c>
    </row>
    <row r="719" spans="21:24" x14ac:dyDescent="0.45">
      <c r="U719" t="s">
        <v>15</v>
      </c>
      <c r="V719" t="s">
        <v>875</v>
      </c>
      <c r="W719" t="s">
        <v>418</v>
      </c>
      <c r="X719" t="s">
        <v>19</v>
      </c>
    </row>
    <row r="720" spans="21:24" x14ac:dyDescent="0.45">
      <c r="U720" t="s">
        <v>15</v>
      </c>
      <c r="V720" t="s">
        <v>876</v>
      </c>
      <c r="W720" t="s">
        <v>155</v>
      </c>
      <c r="X720" t="s">
        <v>19</v>
      </c>
    </row>
    <row r="721" spans="21:24" x14ac:dyDescent="0.45">
      <c r="U721" t="s">
        <v>15</v>
      </c>
      <c r="V721" t="s">
        <v>876</v>
      </c>
      <c r="W721" t="s">
        <v>418</v>
      </c>
      <c r="X721" t="s">
        <v>19</v>
      </c>
    </row>
    <row r="722" spans="21:24" x14ac:dyDescent="0.45">
      <c r="U722" t="s">
        <v>15</v>
      </c>
      <c r="V722" t="s">
        <v>877</v>
      </c>
      <c r="W722" t="s">
        <v>155</v>
      </c>
      <c r="X722" t="s">
        <v>19</v>
      </c>
    </row>
    <row r="723" spans="21:24" x14ac:dyDescent="0.45">
      <c r="U723" t="s">
        <v>15</v>
      </c>
      <c r="V723" t="s">
        <v>877</v>
      </c>
      <c r="W723" t="s">
        <v>418</v>
      </c>
      <c r="X723" t="s">
        <v>19</v>
      </c>
    </row>
    <row r="724" spans="21:24" x14ac:dyDescent="0.45">
      <c r="U724" t="s">
        <v>15</v>
      </c>
      <c r="V724" t="s">
        <v>878</v>
      </c>
      <c r="W724" t="s">
        <v>418</v>
      </c>
      <c r="X724" t="s">
        <v>19</v>
      </c>
    </row>
    <row r="725" spans="21:24" x14ac:dyDescent="0.45">
      <c r="U725" t="s">
        <v>15</v>
      </c>
      <c r="V725" t="s">
        <v>879</v>
      </c>
      <c r="W725" t="s">
        <v>418</v>
      </c>
      <c r="X725" t="s">
        <v>19</v>
      </c>
    </row>
    <row r="726" spans="21:24" x14ac:dyDescent="0.45">
      <c r="U726" t="s">
        <v>15</v>
      </c>
      <c r="V726" t="s">
        <v>880</v>
      </c>
      <c r="W726" t="s">
        <v>418</v>
      </c>
      <c r="X726" t="s">
        <v>19</v>
      </c>
    </row>
    <row r="727" spans="21:24" x14ac:dyDescent="0.45">
      <c r="U727" t="s">
        <v>15</v>
      </c>
      <c r="V727" t="s">
        <v>880</v>
      </c>
      <c r="W727" t="s">
        <v>155</v>
      </c>
      <c r="X727" t="s">
        <v>17</v>
      </c>
    </row>
    <row r="728" spans="21:24" x14ac:dyDescent="0.45">
      <c r="U728" t="s">
        <v>15</v>
      </c>
      <c r="V728" t="s">
        <v>881</v>
      </c>
      <c r="W728" t="s">
        <v>418</v>
      </c>
      <c r="X728" t="s">
        <v>19</v>
      </c>
    </row>
    <row r="729" spans="21:24" x14ac:dyDescent="0.45">
      <c r="U729" t="s">
        <v>15</v>
      </c>
      <c r="V729" t="s">
        <v>881</v>
      </c>
      <c r="W729" t="s">
        <v>155</v>
      </c>
      <c r="X729" t="s">
        <v>17</v>
      </c>
    </row>
    <row r="730" spans="21:24" x14ac:dyDescent="0.45">
      <c r="U730" t="s">
        <v>15</v>
      </c>
      <c r="V730" t="s">
        <v>882</v>
      </c>
      <c r="W730" t="s">
        <v>159</v>
      </c>
      <c r="X730" t="s">
        <v>19</v>
      </c>
    </row>
    <row r="731" spans="21:24" x14ac:dyDescent="0.45">
      <c r="U731" t="s">
        <v>15</v>
      </c>
      <c r="V731" t="s">
        <v>883</v>
      </c>
      <c r="W731" t="s">
        <v>159</v>
      </c>
      <c r="X731" t="s">
        <v>19</v>
      </c>
    </row>
    <row r="732" spans="21:24" x14ac:dyDescent="0.45">
      <c r="U732" t="s">
        <v>15</v>
      </c>
      <c r="V732" t="s">
        <v>884</v>
      </c>
      <c r="W732" t="s">
        <v>159</v>
      </c>
      <c r="X732" t="s">
        <v>19</v>
      </c>
    </row>
    <row r="733" spans="21:24" x14ac:dyDescent="0.45">
      <c r="U733" t="s">
        <v>15</v>
      </c>
      <c r="V733" t="s">
        <v>885</v>
      </c>
      <c r="W733" t="s">
        <v>159</v>
      </c>
      <c r="X733" t="s">
        <v>19</v>
      </c>
    </row>
    <row r="734" spans="21:24" x14ac:dyDescent="0.45">
      <c r="U734" t="s">
        <v>15</v>
      </c>
      <c r="V734" t="s">
        <v>886</v>
      </c>
      <c r="W734" t="s">
        <v>159</v>
      </c>
      <c r="X734" t="s">
        <v>19</v>
      </c>
    </row>
    <row r="735" spans="21:24" x14ac:dyDescent="0.45">
      <c r="U735" t="s">
        <v>15</v>
      </c>
      <c r="V735" t="s">
        <v>887</v>
      </c>
      <c r="W735" t="s">
        <v>159</v>
      </c>
      <c r="X735" t="s">
        <v>19</v>
      </c>
    </row>
    <row r="736" spans="21:24" x14ac:dyDescent="0.45">
      <c r="U736" t="s">
        <v>15</v>
      </c>
      <c r="V736" t="s">
        <v>888</v>
      </c>
      <c r="W736" t="s">
        <v>159</v>
      </c>
      <c r="X736" t="s">
        <v>19</v>
      </c>
    </row>
    <row r="737" spans="21:24" x14ac:dyDescent="0.45">
      <c r="U737" t="s">
        <v>15</v>
      </c>
      <c r="V737" t="s">
        <v>889</v>
      </c>
      <c r="W737" t="s">
        <v>159</v>
      </c>
      <c r="X737" t="s">
        <v>19</v>
      </c>
    </row>
    <row r="738" spans="21:24" x14ac:dyDescent="0.45">
      <c r="U738" t="s">
        <v>15</v>
      </c>
      <c r="V738" t="s">
        <v>890</v>
      </c>
      <c r="W738" t="s">
        <v>159</v>
      </c>
      <c r="X738" t="s">
        <v>19</v>
      </c>
    </row>
    <row r="739" spans="21:24" x14ac:dyDescent="0.45">
      <c r="U739" t="s">
        <v>15</v>
      </c>
      <c r="V739" t="s">
        <v>891</v>
      </c>
      <c r="W739" t="s">
        <v>159</v>
      </c>
      <c r="X739" t="s">
        <v>19</v>
      </c>
    </row>
    <row r="740" spans="21:24" x14ac:dyDescent="0.45">
      <c r="U740" t="s">
        <v>15</v>
      </c>
      <c r="V740" t="s">
        <v>892</v>
      </c>
      <c r="W740" t="s">
        <v>159</v>
      </c>
      <c r="X740" t="s">
        <v>19</v>
      </c>
    </row>
    <row r="741" spans="21:24" x14ac:dyDescent="0.45">
      <c r="U741" t="s">
        <v>15</v>
      </c>
      <c r="V741" t="s">
        <v>892</v>
      </c>
      <c r="W741" t="s">
        <v>388</v>
      </c>
      <c r="X741" t="s">
        <v>19</v>
      </c>
    </row>
    <row r="742" spans="21:24" x14ac:dyDescent="0.45">
      <c r="U742" t="s">
        <v>15</v>
      </c>
      <c r="V742" t="s">
        <v>893</v>
      </c>
      <c r="W742" t="s">
        <v>159</v>
      </c>
      <c r="X742" t="s">
        <v>19</v>
      </c>
    </row>
    <row r="743" spans="21:24" x14ac:dyDescent="0.45">
      <c r="U743" t="s">
        <v>15</v>
      </c>
      <c r="V743" t="s">
        <v>893</v>
      </c>
      <c r="W743" t="s">
        <v>388</v>
      </c>
      <c r="X743" t="s">
        <v>19</v>
      </c>
    </row>
    <row r="744" spans="21:24" x14ac:dyDescent="0.45">
      <c r="U744" t="s">
        <v>15</v>
      </c>
      <c r="V744" t="s">
        <v>894</v>
      </c>
      <c r="W744" t="s">
        <v>159</v>
      </c>
      <c r="X744" t="s">
        <v>19</v>
      </c>
    </row>
    <row r="745" spans="21:24" x14ac:dyDescent="0.45">
      <c r="U745" t="s">
        <v>15</v>
      </c>
      <c r="V745" t="s">
        <v>894</v>
      </c>
      <c r="W745" t="s">
        <v>388</v>
      </c>
      <c r="X745" t="s">
        <v>19</v>
      </c>
    </row>
    <row r="746" spans="21:24" x14ac:dyDescent="0.45">
      <c r="U746" t="s">
        <v>15</v>
      </c>
      <c r="V746" t="s">
        <v>895</v>
      </c>
      <c r="W746" t="s">
        <v>388</v>
      </c>
      <c r="X746" t="s">
        <v>19</v>
      </c>
    </row>
    <row r="747" spans="21:24" x14ac:dyDescent="0.45">
      <c r="U747" t="s">
        <v>15</v>
      </c>
      <c r="V747" t="s">
        <v>896</v>
      </c>
      <c r="W747" t="s">
        <v>388</v>
      </c>
      <c r="X747" t="s">
        <v>19</v>
      </c>
    </row>
    <row r="748" spans="21:24" x14ac:dyDescent="0.45">
      <c r="U748" t="s">
        <v>15</v>
      </c>
      <c r="V748" t="s">
        <v>897</v>
      </c>
      <c r="W748" t="s">
        <v>388</v>
      </c>
      <c r="X748" t="s">
        <v>19</v>
      </c>
    </row>
    <row r="749" spans="21:24" x14ac:dyDescent="0.45">
      <c r="U749" t="s">
        <v>15</v>
      </c>
      <c r="V749" t="s">
        <v>897</v>
      </c>
      <c r="W749" t="s">
        <v>159</v>
      </c>
      <c r="X749" t="s">
        <v>17</v>
      </c>
    </row>
    <row r="750" spans="21:24" x14ac:dyDescent="0.45">
      <c r="U750" t="s">
        <v>15</v>
      </c>
      <c r="V750" t="s">
        <v>898</v>
      </c>
      <c r="W750" t="s">
        <v>388</v>
      </c>
      <c r="X750" t="s">
        <v>19</v>
      </c>
    </row>
    <row r="751" spans="21:24" x14ac:dyDescent="0.45">
      <c r="U751" t="s">
        <v>15</v>
      </c>
      <c r="V751" t="s">
        <v>898</v>
      </c>
      <c r="W751" t="s">
        <v>159</v>
      </c>
      <c r="X751" t="s">
        <v>17</v>
      </c>
    </row>
    <row r="752" spans="21:24" x14ac:dyDescent="0.45">
      <c r="U752" t="s">
        <v>15</v>
      </c>
      <c r="V752" t="s">
        <v>899</v>
      </c>
      <c r="W752" t="s">
        <v>16</v>
      </c>
      <c r="X752" t="s">
        <v>19</v>
      </c>
    </row>
    <row r="753" spans="21:24" x14ac:dyDescent="0.45">
      <c r="U753" t="s">
        <v>15</v>
      </c>
      <c r="V753" t="s">
        <v>899</v>
      </c>
      <c r="W753" t="s">
        <v>16</v>
      </c>
      <c r="X753" t="s">
        <v>17</v>
      </c>
    </row>
    <row r="754" spans="21:24" x14ac:dyDescent="0.45">
      <c r="U754" t="s">
        <v>15</v>
      </c>
      <c r="V754" t="s">
        <v>900</v>
      </c>
      <c r="W754" t="s">
        <v>16</v>
      </c>
      <c r="X754" t="s">
        <v>19</v>
      </c>
    </row>
    <row r="755" spans="21:24" x14ac:dyDescent="0.45">
      <c r="U755" t="s">
        <v>15</v>
      </c>
      <c r="V755" t="s">
        <v>900</v>
      </c>
      <c r="W755" t="s">
        <v>16</v>
      </c>
      <c r="X755" t="s">
        <v>17</v>
      </c>
    </row>
    <row r="756" spans="21:24" x14ac:dyDescent="0.45">
      <c r="U756" t="s">
        <v>15</v>
      </c>
      <c r="V756" t="s">
        <v>901</v>
      </c>
      <c r="W756" t="s">
        <v>29</v>
      </c>
      <c r="X756" t="s">
        <v>19</v>
      </c>
    </row>
    <row r="757" spans="21:24" x14ac:dyDescent="0.45">
      <c r="U757" t="s">
        <v>15</v>
      </c>
      <c r="V757" t="s">
        <v>901</v>
      </c>
      <c r="W757" t="s">
        <v>29</v>
      </c>
      <c r="X757" t="s">
        <v>17</v>
      </c>
    </row>
    <row r="758" spans="21:24" x14ac:dyDescent="0.45">
      <c r="U758" t="s">
        <v>15</v>
      </c>
      <c r="V758" t="s">
        <v>902</v>
      </c>
      <c r="W758" t="s">
        <v>29</v>
      </c>
      <c r="X758" t="s">
        <v>19</v>
      </c>
    </row>
    <row r="759" spans="21:24" x14ac:dyDescent="0.45">
      <c r="U759" t="s">
        <v>15</v>
      </c>
      <c r="V759" t="s">
        <v>902</v>
      </c>
      <c r="W759" t="s">
        <v>29</v>
      </c>
      <c r="X759" t="s">
        <v>17</v>
      </c>
    </row>
    <row r="760" spans="21:24" x14ac:dyDescent="0.45">
      <c r="U760" t="s">
        <v>15</v>
      </c>
      <c r="V760" t="s">
        <v>903</v>
      </c>
      <c r="W760" t="s">
        <v>38</v>
      </c>
      <c r="X760" t="s">
        <v>19</v>
      </c>
    </row>
    <row r="761" spans="21:24" x14ac:dyDescent="0.45">
      <c r="U761" t="s">
        <v>15</v>
      </c>
      <c r="V761" t="s">
        <v>903</v>
      </c>
      <c r="W761" t="s">
        <v>38</v>
      </c>
      <c r="X761" t="s">
        <v>17</v>
      </c>
    </row>
    <row r="762" spans="21:24" x14ac:dyDescent="0.45">
      <c r="U762" t="s">
        <v>15</v>
      </c>
      <c r="V762" t="s">
        <v>904</v>
      </c>
      <c r="W762" t="s">
        <v>38</v>
      </c>
      <c r="X762" t="s">
        <v>19</v>
      </c>
    </row>
    <row r="763" spans="21:24" x14ac:dyDescent="0.45">
      <c r="U763" t="s">
        <v>15</v>
      </c>
      <c r="V763" t="s">
        <v>904</v>
      </c>
      <c r="W763" t="s">
        <v>38</v>
      </c>
      <c r="X763" t="s">
        <v>17</v>
      </c>
    </row>
    <row r="764" spans="21:24" x14ac:dyDescent="0.45">
      <c r="U764" t="s">
        <v>15</v>
      </c>
      <c r="V764" t="s">
        <v>905</v>
      </c>
      <c r="W764" t="s">
        <v>43</v>
      </c>
      <c r="X764" t="s">
        <v>19</v>
      </c>
    </row>
    <row r="765" spans="21:24" x14ac:dyDescent="0.45">
      <c r="U765" t="s">
        <v>15</v>
      </c>
      <c r="V765" t="s">
        <v>905</v>
      </c>
      <c r="W765" t="s">
        <v>43</v>
      </c>
      <c r="X765" t="s">
        <v>17</v>
      </c>
    </row>
    <row r="766" spans="21:24" x14ac:dyDescent="0.45">
      <c r="U766" t="s">
        <v>15</v>
      </c>
      <c r="V766" t="s">
        <v>906</v>
      </c>
      <c r="W766" t="s">
        <v>43</v>
      </c>
      <c r="X766" t="s">
        <v>19</v>
      </c>
    </row>
    <row r="767" spans="21:24" x14ac:dyDescent="0.45">
      <c r="U767" t="s">
        <v>15</v>
      </c>
      <c r="V767" t="s">
        <v>906</v>
      </c>
      <c r="W767" t="s">
        <v>43</v>
      </c>
      <c r="X767" t="s">
        <v>17</v>
      </c>
    </row>
    <row r="768" spans="21:24" x14ac:dyDescent="0.45">
      <c r="U768" t="s">
        <v>15</v>
      </c>
      <c r="V768" t="s">
        <v>907</v>
      </c>
      <c r="W768" t="s">
        <v>47</v>
      </c>
      <c r="X768" t="s">
        <v>19</v>
      </c>
    </row>
    <row r="769" spans="21:24" x14ac:dyDescent="0.45">
      <c r="U769" t="s">
        <v>15</v>
      </c>
      <c r="V769" t="s">
        <v>907</v>
      </c>
      <c r="W769" t="s">
        <v>47</v>
      </c>
      <c r="X769" t="s">
        <v>17</v>
      </c>
    </row>
    <row r="770" spans="21:24" x14ac:dyDescent="0.45">
      <c r="U770" t="s">
        <v>15</v>
      </c>
      <c r="V770" t="s">
        <v>908</v>
      </c>
      <c r="W770" t="s">
        <v>47</v>
      </c>
      <c r="X770" t="s">
        <v>19</v>
      </c>
    </row>
    <row r="771" spans="21:24" x14ac:dyDescent="0.45">
      <c r="U771" t="s">
        <v>15</v>
      </c>
      <c r="V771" t="s">
        <v>908</v>
      </c>
      <c r="W771" t="s">
        <v>47</v>
      </c>
      <c r="X771" t="s">
        <v>17</v>
      </c>
    </row>
    <row r="772" spans="21:24" x14ac:dyDescent="0.45">
      <c r="U772" t="s">
        <v>15</v>
      </c>
      <c r="V772" t="s">
        <v>909</v>
      </c>
      <c r="W772" t="s">
        <v>51</v>
      </c>
      <c r="X772" t="s">
        <v>19</v>
      </c>
    </row>
    <row r="773" spans="21:24" x14ac:dyDescent="0.45">
      <c r="U773" t="s">
        <v>15</v>
      </c>
      <c r="V773" t="s">
        <v>909</v>
      </c>
      <c r="W773" t="s">
        <v>51</v>
      </c>
      <c r="X773" t="s">
        <v>17</v>
      </c>
    </row>
    <row r="774" spans="21:24" x14ac:dyDescent="0.45">
      <c r="U774" t="s">
        <v>15</v>
      </c>
      <c r="V774" t="s">
        <v>910</v>
      </c>
      <c r="W774" t="s">
        <v>51</v>
      </c>
      <c r="X774" t="s">
        <v>19</v>
      </c>
    </row>
    <row r="775" spans="21:24" x14ac:dyDescent="0.45">
      <c r="U775" t="s">
        <v>15</v>
      </c>
      <c r="V775" t="s">
        <v>910</v>
      </c>
      <c r="W775" t="s">
        <v>51</v>
      </c>
      <c r="X775" t="s">
        <v>17</v>
      </c>
    </row>
    <row r="776" spans="21:24" x14ac:dyDescent="0.45">
      <c r="U776" t="s">
        <v>15</v>
      </c>
      <c r="V776" t="s">
        <v>911</v>
      </c>
      <c r="W776" t="s">
        <v>55</v>
      </c>
      <c r="X776" t="s">
        <v>19</v>
      </c>
    </row>
    <row r="777" spans="21:24" x14ac:dyDescent="0.45">
      <c r="U777" t="s">
        <v>15</v>
      </c>
      <c r="V777" t="s">
        <v>911</v>
      </c>
      <c r="W777" t="s">
        <v>55</v>
      </c>
      <c r="X777" t="s">
        <v>17</v>
      </c>
    </row>
    <row r="778" spans="21:24" x14ac:dyDescent="0.45">
      <c r="U778" t="s">
        <v>15</v>
      </c>
      <c r="V778" t="s">
        <v>912</v>
      </c>
      <c r="W778" t="s">
        <v>55</v>
      </c>
      <c r="X778" t="s">
        <v>19</v>
      </c>
    </row>
    <row r="779" spans="21:24" x14ac:dyDescent="0.45">
      <c r="U779" t="s">
        <v>15</v>
      </c>
      <c r="V779" t="s">
        <v>912</v>
      </c>
      <c r="W779" t="s">
        <v>55</v>
      </c>
      <c r="X779" t="s">
        <v>17</v>
      </c>
    </row>
    <row r="780" spans="21:24" x14ac:dyDescent="0.45">
      <c r="U780" t="s">
        <v>15</v>
      </c>
      <c r="V780" t="s">
        <v>913</v>
      </c>
      <c r="W780" t="s">
        <v>59</v>
      </c>
      <c r="X780" t="s">
        <v>19</v>
      </c>
    </row>
    <row r="781" spans="21:24" x14ac:dyDescent="0.45">
      <c r="U781" t="s">
        <v>15</v>
      </c>
      <c r="V781" t="s">
        <v>913</v>
      </c>
      <c r="W781" t="s">
        <v>59</v>
      </c>
      <c r="X781" t="s">
        <v>17</v>
      </c>
    </row>
    <row r="782" spans="21:24" x14ac:dyDescent="0.45">
      <c r="U782" t="s">
        <v>15</v>
      </c>
      <c r="V782" t="s">
        <v>914</v>
      </c>
      <c r="W782" t="s">
        <v>59</v>
      </c>
      <c r="X782" t="s">
        <v>19</v>
      </c>
    </row>
    <row r="783" spans="21:24" x14ac:dyDescent="0.45">
      <c r="U783" t="s">
        <v>15</v>
      </c>
      <c r="V783" t="s">
        <v>914</v>
      </c>
      <c r="W783" t="s">
        <v>59</v>
      </c>
      <c r="X783" t="s">
        <v>17</v>
      </c>
    </row>
    <row r="784" spans="21:24" x14ac:dyDescent="0.45">
      <c r="U784" t="s">
        <v>15</v>
      </c>
      <c r="V784" t="s">
        <v>915</v>
      </c>
      <c r="W784" t="s">
        <v>63</v>
      </c>
      <c r="X784" t="s">
        <v>19</v>
      </c>
    </row>
    <row r="785" spans="21:24" x14ac:dyDescent="0.45">
      <c r="U785" t="s">
        <v>15</v>
      </c>
      <c r="V785" t="s">
        <v>915</v>
      </c>
      <c r="W785" t="s">
        <v>63</v>
      </c>
      <c r="X785" t="s">
        <v>17</v>
      </c>
    </row>
    <row r="786" spans="21:24" x14ac:dyDescent="0.45">
      <c r="U786" t="s">
        <v>15</v>
      </c>
      <c r="V786" t="s">
        <v>916</v>
      </c>
      <c r="W786" t="s">
        <v>63</v>
      </c>
      <c r="X786" t="s">
        <v>19</v>
      </c>
    </row>
    <row r="787" spans="21:24" x14ac:dyDescent="0.45">
      <c r="U787" t="s">
        <v>15</v>
      </c>
      <c r="V787" t="s">
        <v>916</v>
      </c>
      <c r="W787" t="s">
        <v>63</v>
      </c>
      <c r="X787" t="s">
        <v>17</v>
      </c>
    </row>
    <row r="788" spans="21:24" x14ac:dyDescent="0.45">
      <c r="U788" t="s">
        <v>15</v>
      </c>
      <c r="V788" t="s">
        <v>917</v>
      </c>
      <c r="W788" t="s">
        <v>67</v>
      </c>
      <c r="X788" t="s">
        <v>19</v>
      </c>
    </row>
    <row r="789" spans="21:24" x14ac:dyDescent="0.45">
      <c r="U789" t="s">
        <v>15</v>
      </c>
      <c r="V789" t="s">
        <v>917</v>
      </c>
      <c r="W789" t="s">
        <v>67</v>
      </c>
      <c r="X789" t="s">
        <v>17</v>
      </c>
    </row>
    <row r="790" spans="21:24" x14ac:dyDescent="0.45">
      <c r="U790" t="s">
        <v>15</v>
      </c>
      <c r="V790" t="s">
        <v>918</v>
      </c>
      <c r="W790" t="s">
        <v>67</v>
      </c>
      <c r="X790" t="s">
        <v>19</v>
      </c>
    </row>
    <row r="791" spans="21:24" x14ac:dyDescent="0.45">
      <c r="U791" t="s">
        <v>15</v>
      </c>
      <c r="V791" t="s">
        <v>918</v>
      </c>
      <c r="W791" t="s">
        <v>67</v>
      </c>
      <c r="X791" t="s">
        <v>17</v>
      </c>
    </row>
    <row r="792" spans="21:24" x14ac:dyDescent="0.45">
      <c r="U792" t="s">
        <v>15</v>
      </c>
      <c r="V792" t="s">
        <v>919</v>
      </c>
      <c r="W792" t="s">
        <v>71</v>
      </c>
      <c r="X792" t="s">
        <v>19</v>
      </c>
    </row>
    <row r="793" spans="21:24" x14ac:dyDescent="0.45">
      <c r="U793" t="s">
        <v>15</v>
      </c>
      <c r="V793" t="s">
        <v>919</v>
      </c>
      <c r="W793" t="s">
        <v>71</v>
      </c>
      <c r="X793" t="s">
        <v>17</v>
      </c>
    </row>
    <row r="794" spans="21:24" x14ac:dyDescent="0.45">
      <c r="U794" t="s">
        <v>15</v>
      </c>
      <c r="V794" t="s">
        <v>920</v>
      </c>
      <c r="W794" t="s">
        <v>71</v>
      </c>
      <c r="X794" t="s">
        <v>19</v>
      </c>
    </row>
    <row r="795" spans="21:24" x14ac:dyDescent="0.45">
      <c r="U795" t="s">
        <v>15</v>
      </c>
      <c r="V795" t="s">
        <v>920</v>
      </c>
      <c r="W795" t="s">
        <v>71</v>
      </c>
      <c r="X795" t="s">
        <v>17</v>
      </c>
    </row>
    <row r="796" spans="21:24" x14ac:dyDescent="0.45">
      <c r="U796" t="s">
        <v>15</v>
      </c>
      <c r="V796" t="s">
        <v>921</v>
      </c>
      <c r="W796" t="s">
        <v>75</v>
      </c>
      <c r="X796" t="s">
        <v>19</v>
      </c>
    </row>
    <row r="797" spans="21:24" x14ac:dyDescent="0.45">
      <c r="U797" t="s">
        <v>15</v>
      </c>
      <c r="V797" t="s">
        <v>921</v>
      </c>
      <c r="W797" t="s">
        <v>75</v>
      </c>
      <c r="X797" t="s">
        <v>17</v>
      </c>
    </row>
    <row r="798" spans="21:24" x14ac:dyDescent="0.45">
      <c r="U798" t="s">
        <v>15</v>
      </c>
      <c r="V798" t="s">
        <v>922</v>
      </c>
      <c r="W798" t="s">
        <v>75</v>
      </c>
      <c r="X798" t="s">
        <v>19</v>
      </c>
    </row>
    <row r="799" spans="21:24" x14ac:dyDescent="0.45">
      <c r="U799" t="s">
        <v>15</v>
      </c>
      <c r="V799" t="s">
        <v>922</v>
      </c>
      <c r="W799" t="s">
        <v>75</v>
      </c>
      <c r="X799" t="s">
        <v>17</v>
      </c>
    </row>
    <row r="800" spans="21:24" x14ac:dyDescent="0.45">
      <c r="U800" t="s">
        <v>15</v>
      </c>
      <c r="V800" t="s">
        <v>923</v>
      </c>
      <c r="W800" t="s">
        <v>79</v>
      </c>
      <c r="X800" t="s">
        <v>19</v>
      </c>
    </row>
    <row r="801" spans="21:24" x14ac:dyDescent="0.45">
      <c r="U801" t="s">
        <v>15</v>
      </c>
      <c r="V801" t="s">
        <v>923</v>
      </c>
      <c r="W801" t="s">
        <v>79</v>
      </c>
      <c r="X801" t="s">
        <v>17</v>
      </c>
    </row>
    <row r="802" spans="21:24" x14ac:dyDescent="0.45">
      <c r="U802" t="s">
        <v>15</v>
      </c>
      <c r="V802" t="s">
        <v>924</v>
      </c>
      <c r="W802" t="s">
        <v>79</v>
      </c>
      <c r="X802" t="s">
        <v>19</v>
      </c>
    </row>
    <row r="803" spans="21:24" x14ac:dyDescent="0.45">
      <c r="U803" t="s">
        <v>15</v>
      </c>
      <c r="V803" t="s">
        <v>924</v>
      </c>
      <c r="W803" t="s">
        <v>79</v>
      </c>
      <c r="X803" t="s">
        <v>17</v>
      </c>
    </row>
    <row r="804" spans="21:24" x14ac:dyDescent="0.45">
      <c r="U804" t="s">
        <v>15</v>
      </c>
      <c r="V804" t="s">
        <v>925</v>
      </c>
      <c r="W804" t="s">
        <v>83</v>
      </c>
      <c r="X804" t="s">
        <v>19</v>
      </c>
    </row>
    <row r="805" spans="21:24" x14ac:dyDescent="0.45">
      <c r="U805" t="s">
        <v>15</v>
      </c>
      <c r="V805" t="s">
        <v>925</v>
      </c>
      <c r="W805" t="s">
        <v>83</v>
      </c>
      <c r="X805" t="s">
        <v>17</v>
      </c>
    </row>
    <row r="806" spans="21:24" x14ac:dyDescent="0.45">
      <c r="U806" t="s">
        <v>15</v>
      </c>
      <c r="V806" t="s">
        <v>926</v>
      </c>
      <c r="W806" t="s">
        <v>83</v>
      </c>
      <c r="X806" t="s">
        <v>19</v>
      </c>
    </row>
    <row r="807" spans="21:24" x14ac:dyDescent="0.45">
      <c r="U807" t="s">
        <v>15</v>
      </c>
      <c r="V807" t="s">
        <v>926</v>
      </c>
      <c r="W807" t="s">
        <v>83</v>
      </c>
      <c r="X807" t="s">
        <v>17</v>
      </c>
    </row>
    <row r="808" spans="21:24" x14ac:dyDescent="0.45">
      <c r="U808" t="s">
        <v>15</v>
      </c>
      <c r="V808" t="s">
        <v>927</v>
      </c>
      <c r="W808" t="s">
        <v>86</v>
      </c>
      <c r="X808" t="s">
        <v>19</v>
      </c>
    </row>
    <row r="809" spans="21:24" x14ac:dyDescent="0.45">
      <c r="U809" t="s">
        <v>15</v>
      </c>
      <c r="V809" t="s">
        <v>927</v>
      </c>
      <c r="W809" t="s">
        <v>86</v>
      </c>
      <c r="X809" t="s">
        <v>17</v>
      </c>
    </row>
    <row r="810" spans="21:24" x14ac:dyDescent="0.45">
      <c r="U810" t="s">
        <v>15</v>
      </c>
      <c r="V810" t="s">
        <v>928</v>
      </c>
      <c r="W810" t="s">
        <v>86</v>
      </c>
      <c r="X810" t="s">
        <v>19</v>
      </c>
    </row>
    <row r="811" spans="21:24" x14ac:dyDescent="0.45">
      <c r="U811" t="s">
        <v>15</v>
      </c>
      <c r="V811" t="s">
        <v>928</v>
      </c>
      <c r="W811" t="s">
        <v>86</v>
      </c>
      <c r="X811" t="s">
        <v>17</v>
      </c>
    </row>
    <row r="812" spans="21:24" x14ac:dyDescent="0.45">
      <c r="U812" t="s">
        <v>15</v>
      </c>
      <c r="V812" t="s">
        <v>929</v>
      </c>
      <c r="W812" t="s">
        <v>90</v>
      </c>
      <c r="X812" t="s">
        <v>19</v>
      </c>
    </row>
    <row r="813" spans="21:24" x14ac:dyDescent="0.45">
      <c r="U813" t="s">
        <v>15</v>
      </c>
      <c r="V813" t="s">
        <v>929</v>
      </c>
      <c r="W813" t="s">
        <v>90</v>
      </c>
      <c r="X813" t="s">
        <v>17</v>
      </c>
    </row>
    <row r="814" spans="21:24" x14ac:dyDescent="0.45">
      <c r="U814" t="s">
        <v>15</v>
      </c>
      <c r="V814" t="s">
        <v>930</v>
      </c>
      <c r="W814" t="s">
        <v>90</v>
      </c>
      <c r="X814" t="s">
        <v>19</v>
      </c>
    </row>
    <row r="815" spans="21:24" x14ac:dyDescent="0.45">
      <c r="U815" t="s">
        <v>15</v>
      </c>
      <c r="V815" t="s">
        <v>930</v>
      </c>
      <c r="W815" t="s">
        <v>90</v>
      </c>
      <c r="X815" t="s">
        <v>17</v>
      </c>
    </row>
    <row r="816" spans="21:24" x14ac:dyDescent="0.45">
      <c r="U816" t="s">
        <v>15</v>
      </c>
      <c r="V816" t="s">
        <v>931</v>
      </c>
      <c r="W816" t="s">
        <v>93</v>
      </c>
      <c r="X816" t="s">
        <v>19</v>
      </c>
    </row>
    <row r="817" spans="21:24" x14ac:dyDescent="0.45">
      <c r="U817" t="s">
        <v>15</v>
      </c>
      <c r="V817" t="s">
        <v>931</v>
      </c>
      <c r="W817" t="s">
        <v>93</v>
      </c>
      <c r="X817" t="s">
        <v>17</v>
      </c>
    </row>
    <row r="818" spans="21:24" x14ac:dyDescent="0.45">
      <c r="U818" t="s">
        <v>15</v>
      </c>
      <c r="V818" t="s">
        <v>932</v>
      </c>
      <c r="W818" t="s">
        <v>93</v>
      </c>
      <c r="X818" t="s">
        <v>19</v>
      </c>
    </row>
    <row r="819" spans="21:24" x14ac:dyDescent="0.45">
      <c r="U819" t="s">
        <v>15</v>
      </c>
      <c r="V819" t="s">
        <v>932</v>
      </c>
      <c r="W819" t="s">
        <v>93</v>
      </c>
      <c r="X819" t="s">
        <v>17</v>
      </c>
    </row>
    <row r="820" spans="21:24" x14ac:dyDescent="0.45">
      <c r="U820" t="s">
        <v>15</v>
      </c>
      <c r="V820" t="s">
        <v>933</v>
      </c>
      <c r="W820" t="s">
        <v>97</v>
      </c>
      <c r="X820" t="s">
        <v>19</v>
      </c>
    </row>
    <row r="821" spans="21:24" x14ac:dyDescent="0.45">
      <c r="U821" t="s">
        <v>15</v>
      </c>
      <c r="V821" t="s">
        <v>933</v>
      </c>
      <c r="W821" t="s">
        <v>97</v>
      </c>
      <c r="X821" t="s">
        <v>17</v>
      </c>
    </row>
    <row r="822" spans="21:24" x14ac:dyDescent="0.45">
      <c r="U822" t="s">
        <v>15</v>
      </c>
      <c r="V822" t="s">
        <v>934</v>
      </c>
      <c r="W822" t="s">
        <v>97</v>
      </c>
      <c r="X822" t="s">
        <v>19</v>
      </c>
    </row>
    <row r="823" spans="21:24" x14ac:dyDescent="0.45">
      <c r="U823" t="s">
        <v>15</v>
      </c>
      <c r="V823" t="s">
        <v>934</v>
      </c>
      <c r="W823" t="s">
        <v>97</v>
      </c>
      <c r="X823" t="s">
        <v>17</v>
      </c>
    </row>
    <row r="824" spans="21:24" x14ac:dyDescent="0.45">
      <c r="U824" t="s">
        <v>15</v>
      </c>
      <c r="V824" t="s">
        <v>935</v>
      </c>
      <c r="W824" t="s">
        <v>101</v>
      </c>
      <c r="X824" t="s">
        <v>19</v>
      </c>
    </row>
    <row r="825" spans="21:24" x14ac:dyDescent="0.45">
      <c r="U825" t="s">
        <v>15</v>
      </c>
      <c r="V825" t="s">
        <v>935</v>
      </c>
      <c r="W825" t="s">
        <v>101</v>
      </c>
      <c r="X825" t="s">
        <v>17</v>
      </c>
    </row>
    <row r="826" spans="21:24" x14ac:dyDescent="0.45">
      <c r="U826" t="s">
        <v>15</v>
      </c>
      <c r="V826" t="s">
        <v>936</v>
      </c>
      <c r="W826" t="s">
        <v>101</v>
      </c>
      <c r="X826" t="s">
        <v>19</v>
      </c>
    </row>
    <row r="827" spans="21:24" x14ac:dyDescent="0.45">
      <c r="U827" t="s">
        <v>15</v>
      </c>
      <c r="V827" t="s">
        <v>936</v>
      </c>
      <c r="W827" t="s">
        <v>101</v>
      </c>
      <c r="X827" t="s">
        <v>17</v>
      </c>
    </row>
    <row r="828" spans="21:24" x14ac:dyDescent="0.45">
      <c r="U828" t="s">
        <v>15</v>
      </c>
      <c r="V828" t="s">
        <v>937</v>
      </c>
      <c r="W828" t="s">
        <v>105</v>
      </c>
      <c r="X828" t="s">
        <v>19</v>
      </c>
    </row>
    <row r="829" spans="21:24" x14ac:dyDescent="0.45">
      <c r="U829" t="s">
        <v>15</v>
      </c>
      <c r="V829" t="s">
        <v>937</v>
      </c>
      <c r="W829" t="s">
        <v>105</v>
      </c>
      <c r="X829" t="s">
        <v>17</v>
      </c>
    </row>
    <row r="830" spans="21:24" x14ac:dyDescent="0.45">
      <c r="U830" t="s">
        <v>15</v>
      </c>
      <c r="V830" t="s">
        <v>938</v>
      </c>
      <c r="W830" t="s">
        <v>105</v>
      </c>
      <c r="X830" t="s">
        <v>19</v>
      </c>
    </row>
    <row r="831" spans="21:24" x14ac:dyDescent="0.45">
      <c r="U831" t="s">
        <v>15</v>
      </c>
      <c r="V831" t="s">
        <v>938</v>
      </c>
      <c r="W831" t="s">
        <v>105</v>
      </c>
      <c r="X831" t="s">
        <v>17</v>
      </c>
    </row>
    <row r="832" spans="21:24" x14ac:dyDescent="0.45">
      <c r="U832" t="s">
        <v>15</v>
      </c>
      <c r="V832" t="s">
        <v>939</v>
      </c>
      <c r="W832" t="s">
        <v>108</v>
      </c>
      <c r="X832" t="s">
        <v>19</v>
      </c>
    </row>
    <row r="833" spans="21:24" x14ac:dyDescent="0.45">
      <c r="U833" t="s">
        <v>15</v>
      </c>
      <c r="V833" t="s">
        <v>939</v>
      </c>
      <c r="W833" t="s">
        <v>108</v>
      </c>
      <c r="X833" t="s">
        <v>17</v>
      </c>
    </row>
    <row r="834" spans="21:24" x14ac:dyDescent="0.45">
      <c r="U834" t="s">
        <v>15</v>
      </c>
      <c r="V834" t="s">
        <v>940</v>
      </c>
      <c r="W834" t="s">
        <v>108</v>
      </c>
      <c r="X834" t="s">
        <v>19</v>
      </c>
    </row>
    <row r="835" spans="21:24" x14ac:dyDescent="0.45">
      <c r="U835" t="s">
        <v>15</v>
      </c>
      <c r="V835" t="s">
        <v>940</v>
      </c>
      <c r="W835" t="s">
        <v>108</v>
      </c>
      <c r="X835" t="s">
        <v>17</v>
      </c>
    </row>
    <row r="836" spans="21:24" x14ac:dyDescent="0.45">
      <c r="U836" t="s">
        <v>15</v>
      </c>
      <c r="V836" t="s">
        <v>941</v>
      </c>
      <c r="W836" t="s">
        <v>112</v>
      </c>
      <c r="X836" t="s">
        <v>19</v>
      </c>
    </row>
    <row r="837" spans="21:24" x14ac:dyDescent="0.45">
      <c r="U837" t="s">
        <v>15</v>
      </c>
      <c r="V837" t="s">
        <v>941</v>
      </c>
      <c r="W837" t="s">
        <v>112</v>
      </c>
      <c r="X837" t="s">
        <v>17</v>
      </c>
    </row>
    <row r="838" spans="21:24" x14ac:dyDescent="0.45">
      <c r="U838" t="s">
        <v>15</v>
      </c>
      <c r="V838" t="s">
        <v>942</v>
      </c>
      <c r="W838" t="s">
        <v>112</v>
      </c>
      <c r="X838" t="s">
        <v>19</v>
      </c>
    </row>
    <row r="839" spans="21:24" x14ac:dyDescent="0.45">
      <c r="U839" t="s">
        <v>15</v>
      </c>
      <c r="V839" t="s">
        <v>942</v>
      </c>
      <c r="W839" t="s">
        <v>112</v>
      </c>
      <c r="X839" t="s">
        <v>17</v>
      </c>
    </row>
    <row r="840" spans="21:24" x14ac:dyDescent="0.45">
      <c r="U840" t="s">
        <v>15</v>
      </c>
      <c r="V840" t="s">
        <v>943</v>
      </c>
      <c r="W840" t="s">
        <v>115</v>
      </c>
      <c r="X840" t="s">
        <v>19</v>
      </c>
    </row>
    <row r="841" spans="21:24" x14ac:dyDescent="0.45">
      <c r="U841" t="s">
        <v>15</v>
      </c>
      <c r="V841" t="s">
        <v>943</v>
      </c>
      <c r="W841" t="s">
        <v>115</v>
      </c>
      <c r="X841" t="s">
        <v>17</v>
      </c>
    </row>
    <row r="842" spans="21:24" x14ac:dyDescent="0.45">
      <c r="U842" t="s">
        <v>15</v>
      </c>
      <c r="V842" t="s">
        <v>944</v>
      </c>
      <c r="W842" t="s">
        <v>115</v>
      </c>
      <c r="X842" t="s">
        <v>19</v>
      </c>
    </row>
    <row r="843" spans="21:24" x14ac:dyDescent="0.45">
      <c r="U843" t="s">
        <v>15</v>
      </c>
      <c r="V843" t="s">
        <v>944</v>
      </c>
      <c r="W843" t="s">
        <v>115</v>
      </c>
      <c r="X843" t="s">
        <v>17</v>
      </c>
    </row>
    <row r="844" spans="21:24" x14ac:dyDescent="0.45">
      <c r="U844" t="s">
        <v>15</v>
      </c>
      <c r="V844" t="s">
        <v>945</v>
      </c>
      <c r="W844" t="s">
        <v>119</v>
      </c>
      <c r="X844" t="s">
        <v>19</v>
      </c>
    </row>
    <row r="845" spans="21:24" x14ac:dyDescent="0.45">
      <c r="U845" t="s">
        <v>15</v>
      </c>
      <c r="V845" t="s">
        <v>945</v>
      </c>
      <c r="W845" t="s">
        <v>119</v>
      </c>
      <c r="X845" t="s">
        <v>17</v>
      </c>
    </row>
    <row r="846" spans="21:24" x14ac:dyDescent="0.45">
      <c r="U846" t="s">
        <v>15</v>
      </c>
      <c r="V846" t="s">
        <v>946</v>
      </c>
      <c r="W846" t="s">
        <v>119</v>
      </c>
      <c r="X846" t="s">
        <v>19</v>
      </c>
    </row>
    <row r="847" spans="21:24" x14ac:dyDescent="0.45">
      <c r="U847" t="s">
        <v>15</v>
      </c>
      <c r="V847" t="s">
        <v>946</v>
      </c>
      <c r="W847" t="s">
        <v>119</v>
      </c>
      <c r="X847" t="s">
        <v>17</v>
      </c>
    </row>
    <row r="848" spans="21:24" x14ac:dyDescent="0.45">
      <c r="U848" t="s">
        <v>15</v>
      </c>
      <c r="V848" t="s">
        <v>947</v>
      </c>
      <c r="W848" t="s">
        <v>123</v>
      </c>
      <c r="X848" t="s">
        <v>19</v>
      </c>
    </row>
    <row r="849" spans="21:24" x14ac:dyDescent="0.45">
      <c r="U849" t="s">
        <v>15</v>
      </c>
      <c r="V849" t="s">
        <v>947</v>
      </c>
      <c r="W849" t="s">
        <v>123</v>
      </c>
      <c r="X849" t="s">
        <v>17</v>
      </c>
    </row>
    <row r="850" spans="21:24" x14ac:dyDescent="0.45">
      <c r="U850" t="s">
        <v>15</v>
      </c>
      <c r="V850" t="s">
        <v>948</v>
      </c>
      <c r="W850" t="s">
        <v>123</v>
      </c>
      <c r="X850" t="s">
        <v>19</v>
      </c>
    </row>
    <row r="851" spans="21:24" x14ac:dyDescent="0.45">
      <c r="U851" t="s">
        <v>15</v>
      </c>
      <c r="V851" t="s">
        <v>948</v>
      </c>
      <c r="W851" t="s">
        <v>123</v>
      </c>
      <c r="X851" t="s">
        <v>17</v>
      </c>
    </row>
    <row r="852" spans="21:24" x14ac:dyDescent="0.45">
      <c r="U852" t="s">
        <v>15</v>
      </c>
      <c r="V852" t="s">
        <v>949</v>
      </c>
      <c r="W852" t="s">
        <v>127</v>
      </c>
      <c r="X852" t="s">
        <v>19</v>
      </c>
    </row>
    <row r="853" spans="21:24" x14ac:dyDescent="0.45">
      <c r="U853" t="s">
        <v>15</v>
      </c>
      <c r="V853" t="s">
        <v>949</v>
      </c>
      <c r="W853" t="s">
        <v>127</v>
      </c>
      <c r="X853" t="s">
        <v>17</v>
      </c>
    </row>
    <row r="854" spans="21:24" x14ac:dyDescent="0.45">
      <c r="U854" t="s">
        <v>15</v>
      </c>
      <c r="V854" t="s">
        <v>950</v>
      </c>
      <c r="W854" t="s">
        <v>127</v>
      </c>
      <c r="X854" t="s">
        <v>19</v>
      </c>
    </row>
    <row r="855" spans="21:24" x14ac:dyDescent="0.45">
      <c r="U855" t="s">
        <v>15</v>
      </c>
      <c r="V855" t="s">
        <v>950</v>
      </c>
      <c r="W855" t="s">
        <v>127</v>
      </c>
      <c r="X855" t="s">
        <v>17</v>
      </c>
    </row>
    <row r="856" spans="21:24" x14ac:dyDescent="0.45">
      <c r="U856" t="s">
        <v>15</v>
      </c>
      <c r="V856" t="s">
        <v>951</v>
      </c>
      <c r="W856" t="s">
        <v>131</v>
      </c>
      <c r="X856" t="s">
        <v>19</v>
      </c>
    </row>
    <row r="857" spans="21:24" x14ac:dyDescent="0.45">
      <c r="U857" t="s">
        <v>15</v>
      </c>
      <c r="V857" t="s">
        <v>951</v>
      </c>
      <c r="W857" t="s">
        <v>131</v>
      </c>
      <c r="X857" t="s">
        <v>17</v>
      </c>
    </row>
    <row r="858" spans="21:24" x14ac:dyDescent="0.45">
      <c r="U858" t="s">
        <v>15</v>
      </c>
      <c r="V858" t="s">
        <v>952</v>
      </c>
      <c r="W858" t="s">
        <v>131</v>
      </c>
      <c r="X858" t="s">
        <v>19</v>
      </c>
    </row>
    <row r="859" spans="21:24" x14ac:dyDescent="0.45">
      <c r="U859" t="s">
        <v>15</v>
      </c>
      <c r="V859" t="s">
        <v>952</v>
      </c>
      <c r="W859" t="s">
        <v>131</v>
      </c>
      <c r="X859" t="s">
        <v>17</v>
      </c>
    </row>
    <row r="860" spans="21:24" x14ac:dyDescent="0.45">
      <c r="U860" t="s">
        <v>15</v>
      </c>
      <c r="V860" t="s">
        <v>953</v>
      </c>
      <c r="W860" t="s">
        <v>135</v>
      </c>
      <c r="X860" t="s">
        <v>19</v>
      </c>
    </row>
    <row r="861" spans="21:24" x14ac:dyDescent="0.45">
      <c r="U861" t="s">
        <v>15</v>
      </c>
      <c r="V861" t="s">
        <v>953</v>
      </c>
      <c r="W861" t="s">
        <v>135</v>
      </c>
      <c r="X861" t="s">
        <v>17</v>
      </c>
    </row>
    <row r="862" spans="21:24" x14ac:dyDescent="0.45">
      <c r="U862" t="s">
        <v>15</v>
      </c>
      <c r="V862" t="s">
        <v>954</v>
      </c>
      <c r="W862" t="s">
        <v>135</v>
      </c>
      <c r="X862" t="s">
        <v>19</v>
      </c>
    </row>
    <row r="863" spans="21:24" x14ac:dyDescent="0.45">
      <c r="U863" t="s">
        <v>15</v>
      </c>
      <c r="V863" t="s">
        <v>954</v>
      </c>
      <c r="W863" t="s">
        <v>135</v>
      </c>
      <c r="X863" t="s">
        <v>17</v>
      </c>
    </row>
    <row r="864" spans="21:24" x14ac:dyDescent="0.45">
      <c r="U864" t="s">
        <v>15</v>
      </c>
      <c r="V864" t="s">
        <v>955</v>
      </c>
      <c r="W864" t="s">
        <v>139</v>
      </c>
      <c r="X864" t="s">
        <v>19</v>
      </c>
    </row>
    <row r="865" spans="21:24" x14ac:dyDescent="0.45">
      <c r="U865" t="s">
        <v>15</v>
      </c>
      <c r="V865" t="s">
        <v>955</v>
      </c>
      <c r="W865" t="s">
        <v>139</v>
      </c>
      <c r="X865" t="s">
        <v>17</v>
      </c>
    </row>
    <row r="866" spans="21:24" x14ac:dyDescent="0.45">
      <c r="U866" t="s">
        <v>15</v>
      </c>
      <c r="V866" t="s">
        <v>956</v>
      </c>
      <c r="W866" t="s">
        <v>139</v>
      </c>
      <c r="X866" t="s">
        <v>19</v>
      </c>
    </row>
    <row r="867" spans="21:24" x14ac:dyDescent="0.45">
      <c r="U867" t="s">
        <v>15</v>
      </c>
      <c r="V867" t="s">
        <v>956</v>
      </c>
      <c r="W867" t="s">
        <v>139</v>
      </c>
      <c r="X867" t="s">
        <v>17</v>
      </c>
    </row>
    <row r="868" spans="21:24" x14ac:dyDescent="0.45">
      <c r="U868" t="s">
        <v>15</v>
      </c>
      <c r="V868" t="s">
        <v>957</v>
      </c>
      <c r="W868" t="s">
        <v>143</v>
      </c>
      <c r="X868" t="s">
        <v>19</v>
      </c>
    </row>
    <row r="869" spans="21:24" x14ac:dyDescent="0.45">
      <c r="U869" t="s">
        <v>15</v>
      </c>
      <c r="V869" t="s">
        <v>957</v>
      </c>
      <c r="W869" t="s">
        <v>143</v>
      </c>
      <c r="X869" t="s">
        <v>17</v>
      </c>
    </row>
    <row r="870" spans="21:24" x14ac:dyDescent="0.45">
      <c r="U870" t="s">
        <v>15</v>
      </c>
      <c r="V870" t="s">
        <v>958</v>
      </c>
      <c r="W870" t="s">
        <v>143</v>
      </c>
      <c r="X870" t="s">
        <v>19</v>
      </c>
    </row>
    <row r="871" spans="21:24" x14ac:dyDescent="0.45">
      <c r="U871" t="s">
        <v>15</v>
      </c>
      <c r="V871" t="s">
        <v>958</v>
      </c>
      <c r="W871" t="s">
        <v>143</v>
      </c>
      <c r="X871" t="s">
        <v>17</v>
      </c>
    </row>
    <row r="872" spans="21:24" x14ac:dyDescent="0.45">
      <c r="U872" t="s">
        <v>15</v>
      </c>
      <c r="V872" t="s">
        <v>959</v>
      </c>
      <c r="W872" t="s">
        <v>147</v>
      </c>
      <c r="X872" t="s">
        <v>19</v>
      </c>
    </row>
    <row r="873" spans="21:24" x14ac:dyDescent="0.45">
      <c r="U873" t="s">
        <v>15</v>
      </c>
      <c r="V873" t="s">
        <v>959</v>
      </c>
      <c r="W873" t="s">
        <v>147</v>
      </c>
      <c r="X873" t="s">
        <v>17</v>
      </c>
    </row>
    <row r="874" spans="21:24" x14ac:dyDescent="0.45">
      <c r="U874" t="s">
        <v>15</v>
      </c>
      <c r="V874" t="s">
        <v>960</v>
      </c>
      <c r="W874" t="s">
        <v>147</v>
      </c>
      <c r="X874" t="s">
        <v>19</v>
      </c>
    </row>
    <row r="875" spans="21:24" x14ac:dyDescent="0.45">
      <c r="U875" t="s">
        <v>15</v>
      </c>
      <c r="V875" t="s">
        <v>960</v>
      </c>
      <c r="W875" t="s">
        <v>147</v>
      </c>
      <c r="X875" t="s">
        <v>17</v>
      </c>
    </row>
    <row r="876" spans="21:24" x14ac:dyDescent="0.45">
      <c r="U876" t="s">
        <v>15</v>
      </c>
      <c r="V876" t="s">
        <v>961</v>
      </c>
      <c r="W876" t="s">
        <v>151</v>
      </c>
      <c r="X876" t="s">
        <v>19</v>
      </c>
    </row>
    <row r="877" spans="21:24" x14ac:dyDescent="0.45">
      <c r="U877" t="s">
        <v>15</v>
      </c>
      <c r="V877" t="s">
        <v>961</v>
      </c>
      <c r="W877" t="s">
        <v>151</v>
      </c>
      <c r="X877" t="s">
        <v>17</v>
      </c>
    </row>
    <row r="878" spans="21:24" x14ac:dyDescent="0.45">
      <c r="U878" t="s">
        <v>15</v>
      </c>
      <c r="V878" t="s">
        <v>962</v>
      </c>
      <c r="W878" t="s">
        <v>151</v>
      </c>
      <c r="X878" t="s">
        <v>19</v>
      </c>
    </row>
    <row r="879" spans="21:24" x14ac:dyDescent="0.45">
      <c r="U879" t="s">
        <v>15</v>
      </c>
      <c r="V879" t="s">
        <v>962</v>
      </c>
      <c r="W879" t="s">
        <v>151</v>
      </c>
      <c r="X879" t="s">
        <v>17</v>
      </c>
    </row>
    <row r="880" spans="21:24" x14ac:dyDescent="0.45">
      <c r="U880" t="s">
        <v>15</v>
      </c>
      <c r="V880" t="s">
        <v>963</v>
      </c>
      <c r="W880" t="s">
        <v>155</v>
      </c>
      <c r="X880" t="s">
        <v>19</v>
      </c>
    </row>
    <row r="881" spans="21:24" x14ac:dyDescent="0.45">
      <c r="U881" t="s">
        <v>15</v>
      </c>
      <c r="V881" t="s">
        <v>963</v>
      </c>
      <c r="W881" t="s">
        <v>155</v>
      </c>
      <c r="X881" t="s">
        <v>17</v>
      </c>
    </row>
    <row r="882" spans="21:24" x14ac:dyDescent="0.45">
      <c r="U882" t="s">
        <v>15</v>
      </c>
      <c r="V882" t="s">
        <v>964</v>
      </c>
      <c r="W882" t="s">
        <v>155</v>
      </c>
      <c r="X882" t="s">
        <v>19</v>
      </c>
    </row>
    <row r="883" spans="21:24" x14ac:dyDescent="0.45">
      <c r="U883" t="s">
        <v>15</v>
      </c>
      <c r="V883" t="s">
        <v>964</v>
      </c>
      <c r="W883" t="s">
        <v>155</v>
      </c>
      <c r="X883" t="s">
        <v>17</v>
      </c>
    </row>
    <row r="884" spans="21:24" x14ac:dyDescent="0.45">
      <c r="U884" t="s">
        <v>15</v>
      </c>
      <c r="V884" t="s">
        <v>965</v>
      </c>
      <c r="W884" t="s">
        <v>159</v>
      </c>
      <c r="X884" t="s">
        <v>19</v>
      </c>
    </row>
    <row r="885" spans="21:24" x14ac:dyDescent="0.45">
      <c r="U885" t="s">
        <v>15</v>
      </c>
      <c r="V885" t="s">
        <v>965</v>
      </c>
      <c r="W885" t="s">
        <v>159</v>
      </c>
      <c r="X885" t="s">
        <v>17</v>
      </c>
    </row>
    <row r="886" spans="21:24" x14ac:dyDescent="0.45">
      <c r="U886" t="s">
        <v>15</v>
      </c>
      <c r="V886" t="s">
        <v>966</v>
      </c>
      <c r="W886" t="s">
        <v>159</v>
      </c>
      <c r="X886" t="s">
        <v>19</v>
      </c>
    </row>
    <row r="887" spans="21:24" x14ac:dyDescent="0.45">
      <c r="U887" t="s">
        <v>15</v>
      </c>
      <c r="V887" t="s">
        <v>966</v>
      </c>
      <c r="W887" t="s">
        <v>159</v>
      </c>
      <c r="X88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BFDA-1A78-4D36-8EEA-5E7C0CBD7A79}">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0.43818599506508982</v>
      </c>
      <c r="H3" s="2">
        <v>0.56736863627070133</v>
      </c>
      <c r="I3" s="2">
        <v>0.46064323811177627</v>
      </c>
      <c r="J3" s="2">
        <v>0.70855841068035541</v>
      </c>
      <c r="O3" t="s">
        <v>973</v>
      </c>
    </row>
    <row r="4" spans="6:31" x14ac:dyDescent="0.45">
      <c r="F4" t="s">
        <v>974</v>
      </c>
      <c r="G4" s="2">
        <v>6.0962490138420714E-2</v>
      </c>
      <c r="H4" s="2">
        <v>0.45815844902602887</v>
      </c>
      <c r="I4" s="2"/>
      <c r="J4" s="2"/>
    </row>
    <row r="5" spans="6:31" x14ac:dyDescent="0.45">
      <c r="F5" t="s">
        <v>975</v>
      </c>
      <c r="G5" s="2">
        <v>5.1995525945360881E-2</v>
      </c>
      <c r="H5" s="2">
        <v>0.28132872775940804</v>
      </c>
      <c r="I5" s="2"/>
      <c r="J5" s="2"/>
    </row>
    <row r="6" spans="6:31" x14ac:dyDescent="0.45">
      <c r="F6" t="s">
        <v>976</v>
      </c>
      <c r="G6" s="2"/>
      <c r="H6" s="2"/>
      <c r="I6" s="2">
        <v>0.47682418559038953</v>
      </c>
      <c r="J6" s="2">
        <v>0.94150868710858548</v>
      </c>
      <c r="N6" t="s">
        <v>977</v>
      </c>
      <c r="Y6" t="s">
        <v>978</v>
      </c>
    </row>
    <row r="7" spans="6:31" x14ac:dyDescent="0.45">
      <c r="F7" t="s">
        <v>979</v>
      </c>
      <c r="G7" s="2">
        <v>0.21471384706028981</v>
      </c>
      <c r="H7" s="2">
        <v>0.35548689270581235</v>
      </c>
      <c r="I7" s="2">
        <v>0.22444913497305133</v>
      </c>
      <c r="J7" s="2">
        <v>0.35595105709784614</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987</v>
      </c>
      <c r="G8" s="2">
        <v>0.54796379753989866</v>
      </c>
      <c r="H8" s="2">
        <v>0.81480430837725581</v>
      </c>
      <c r="I8" s="2">
        <v>0.54796572739577298</v>
      </c>
      <c r="J8" s="2">
        <v>0.8148025038364537</v>
      </c>
      <c r="N8" t="s">
        <v>988</v>
      </c>
      <c r="O8" t="s">
        <v>974</v>
      </c>
      <c r="P8" s="3" t="s">
        <v>989</v>
      </c>
      <c r="Q8" s="4">
        <f>-1/8.76</f>
        <v>-0.11415525114155252</v>
      </c>
      <c r="S8" s="4">
        <f>VLOOKUP(O8,$F$3:$J$11,3,FALSE)</f>
        <v>0.45815844902602887</v>
      </c>
      <c r="T8" s="4">
        <f>MIN(S8*$U$1,0.95)</f>
        <v>0.54979013883123462</v>
      </c>
      <c r="U8">
        <v>0</v>
      </c>
      <c r="V8">
        <v>3</v>
      </c>
      <c r="Y8" t="s">
        <v>990</v>
      </c>
      <c r="Z8" t="s">
        <v>974</v>
      </c>
      <c r="AA8">
        <f>-1/8.76</f>
        <v>-0.11415525114155252</v>
      </c>
      <c r="AB8" s="4">
        <f>VLOOKUP(Z8,$F$3:$J$11,2,FALSE)</f>
        <v>6.0962490138420714E-2</v>
      </c>
      <c r="AC8">
        <f>AB8*$W$1</f>
        <v>1.2192498027684143E-2</v>
      </c>
      <c r="AD8">
        <v>0</v>
      </c>
      <c r="AE8">
        <v>3</v>
      </c>
    </row>
    <row r="9" spans="6:31" x14ac:dyDescent="0.45">
      <c r="F9" t="s">
        <v>991</v>
      </c>
      <c r="G9" s="2">
        <v>0.3406594994508988</v>
      </c>
      <c r="H9" s="2">
        <v>1.0264691688012773</v>
      </c>
      <c r="I9" s="2">
        <v>3.0554855784857463E-2</v>
      </c>
      <c r="J9" s="2">
        <v>5.7581626091308416E-2</v>
      </c>
      <c r="N9" t="s">
        <v>992</v>
      </c>
      <c r="O9" t="s">
        <v>975</v>
      </c>
      <c r="P9" s="3" t="s">
        <v>989</v>
      </c>
      <c r="Q9" s="4">
        <f>-1/8.76</f>
        <v>-0.11415525114155252</v>
      </c>
      <c r="S9" s="4">
        <f>VLOOKUP(O9,$F$3:$J$11,3,FALSE)</f>
        <v>0.28132872775940804</v>
      </c>
      <c r="T9" s="4">
        <f>MIN(S9*$U$1,0.95)</f>
        <v>0.33759447331128961</v>
      </c>
      <c r="U9">
        <v>0</v>
      </c>
      <c r="V9">
        <v>3</v>
      </c>
      <c r="Y9" t="s">
        <v>993</v>
      </c>
      <c r="Z9" t="s">
        <v>975</v>
      </c>
      <c r="AA9">
        <f>-1/8.76</f>
        <v>-0.11415525114155252</v>
      </c>
      <c r="AB9" s="4">
        <f>VLOOKUP(Z9,$F$3:$J$11,2,FALSE)</f>
        <v>5.1995525945360881E-2</v>
      </c>
      <c r="AC9">
        <f>AB9*$W$1</f>
        <v>1.0399105189072177E-2</v>
      </c>
      <c r="AD9">
        <v>0</v>
      </c>
      <c r="AE9">
        <v>3</v>
      </c>
    </row>
    <row r="10" spans="6:31" ht="14.65" customHeight="1" x14ac:dyDescent="0.45">
      <c r="F10" t="s">
        <v>994</v>
      </c>
      <c r="G10" s="2">
        <v>5.7077625570776259E-2</v>
      </c>
      <c r="H10" s="2">
        <v>0.14579966211091758</v>
      </c>
      <c r="I10" s="2">
        <v>5.9492009132420094E-2</v>
      </c>
      <c r="J10" s="2">
        <v>0.1531586087438957</v>
      </c>
      <c r="N10" t="s">
        <v>992</v>
      </c>
      <c r="O10" t="s">
        <v>987</v>
      </c>
      <c r="P10" s="3" t="s">
        <v>989</v>
      </c>
      <c r="Q10" s="4">
        <f>-1/8.76</f>
        <v>-0.11415525114155252</v>
      </c>
      <c r="S10" s="4">
        <f>VLOOKUP(O10,$F$3:$J$11,3,FALSE)</f>
        <v>0.81480430837725581</v>
      </c>
      <c r="T10" s="4">
        <f>MIN(S10*$U$1,0.95)</f>
        <v>0.95</v>
      </c>
      <c r="U10">
        <v>0</v>
      </c>
      <c r="V10">
        <v>3</v>
      </c>
      <c r="Y10" t="s">
        <v>995</v>
      </c>
      <c r="Z10" t="s">
        <v>991</v>
      </c>
      <c r="AA10">
        <f>-1/8.76</f>
        <v>-0.11415525114155252</v>
      </c>
      <c r="AB10" s="4">
        <f>VLOOKUP(Z10,$F$3:$J$11,2,FALSE)</f>
        <v>0.3406594994508988</v>
      </c>
      <c r="AC10" s="5">
        <f>AB10*$W$1</f>
        <v>6.8131899890179759E-2</v>
      </c>
      <c r="AD10">
        <v>0</v>
      </c>
      <c r="AE10">
        <v>3</v>
      </c>
    </row>
    <row r="11" spans="6:31" ht="14.65" customHeight="1" x14ac:dyDescent="0.45">
      <c r="F11" t="s">
        <v>996</v>
      </c>
      <c r="G11" s="2">
        <v>0.14269406392694065</v>
      </c>
      <c r="H11" s="2">
        <v>0.26185096267005598</v>
      </c>
      <c r="I11" s="2">
        <v>0.14467676039413602</v>
      </c>
      <c r="J11" s="2">
        <v>0.26622473968871901</v>
      </c>
    </row>
    <row r="15" spans="6:31" x14ac:dyDescent="0.45">
      <c r="X15" s="6">
        <v>2.5</v>
      </c>
      <c r="Y15" s="7" t="s">
        <v>997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C332D-1B9C-4642-B5F6-26DAD1B9EB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15</v>
      </c>
      <c r="C11">
        <v>12</v>
      </c>
      <c r="D11">
        <v>20</v>
      </c>
      <c r="E11">
        <v>8</v>
      </c>
      <c r="F11">
        <v>12</v>
      </c>
      <c r="G11">
        <v>0.2</v>
      </c>
      <c r="H11">
        <v>0.5</v>
      </c>
      <c r="I11">
        <v>2</v>
      </c>
      <c r="J11">
        <v>4</v>
      </c>
    </row>
    <row r="14" spans="2:10" x14ac:dyDescent="0.45">
      <c r="B14" t="s">
        <v>5670</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12</v>
      </c>
      <c r="G20">
        <f>D11</f>
        <v>20</v>
      </c>
      <c r="H20">
        <v>4</v>
      </c>
    </row>
    <row r="21" spans="1:8" x14ac:dyDescent="0.45">
      <c r="A21" t="s">
        <v>1014</v>
      </c>
      <c r="B21" t="str">
        <f t="shared" ref="B21:B23" si="0">"uce_buildrate_"&amp;A21</f>
        <v>uce_buildrate_wind</v>
      </c>
      <c r="C21" t="str">
        <f>A21&amp;"*"</f>
        <v>wind*</v>
      </c>
      <c r="D21" t="s">
        <v>1013</v>
      </c>
      <c r="E21">
        <v>1</v>
      </c>
      <c r="F21">
        <f>E11</f>
        <v>8</v>
      </c>
      <c r="G21">
        <f>F11</f>
        <v>12</v>
      </c>
      <c r="H21">
        <v>4</v>
      </c>
    </row>
    <row r="22" spans="1:8" x14ac:dyDescent="0.45">
      <c r="A22" t="s">
        <v>979</v>
      </c>
      <c r="B22" t="str">
        <f t="shared" si="0"/>
        <v>uce_buildrate_hydro</v>
      </c>
      <c r="C22" t="str">
        <f t="shared" ref="C22:C23" si="1">A22</f>
        <v>hydro</v>
      </c>
      <c r="D22" t="s">
        <v>1013</v>
      </c>
      <c r="E22">
        <v>1</v>
      </c>
      <c r="F22">
        <f>G11</f>
        <v>0.2</v>
      </c>
      <c r="G22">
        <f>H11</f>
        <v>0.5</v>
      </c>
      <c r="H22">
        <v>4</v>
      </c>
    </row>
    <row r="23" spans="1:8" x14ac:dyDescent="0.45">
      <c r="A23" t="s">
        <v>987</v>
      </c>
      <c r="B23" t="str">
        <f t="shared" si="0"/>
        <v>uce_buildrate_nuclear</v>
      </c>
      <c r="C23" t="str">
        <f t="shared" si="1"/>
        <v>nuclear</v>
      </c>
      <c r="D23" t="s">
        <v>1013</v>
      </c>
      <c r="E23">
        <v>1</v>
      </c>
      <c r="F23">
        <f>I11</f>
        <v>2</v>
      </c>
      <c r="G23">
        <f>J11</f>
        <v>4</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D09D-2A56-4E65-A6A3-39190F509847}">
  <dimension ref="A1:I79"/>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1021</v>
      </c>
      <c r="C5" t="s">
        <v>1022</v>
      </c>
      <c r="D5">
        <v>1</v>
      </c>
      <c r="E5">
        <v>2</v>
      </c>
      <c r="G5" t="s">
        <v>1021</v>
      </c>
      <c r="H5" t="s">
        <v>1022</v>
      </c>
      <c r="I5">
        <v>-1</v>
      </c>
    </row>
    <row r="6" spans="1:9" x14ac:dyDescent="0.45">
      <c r="A6" t="s">
        <v>1020</v>
      </c>
      <c r="B6" t="s">
        <v>1023</v>
      </c>
      <c r="C6" t="s">
        <v>1024</v>
      </c>
      <c r="D6">
        <v>1</v>
      </c>
      <c r="E6">
        <v>2</v>
      </c>
      <c r="G6" t="s">
        <v>1023</v>
      </c>
      <c r="H6" t="s">
        <v>1024</v>
      </c>
      <c r="I6">
        <v>-1</v>
      </c>
    </row>
    <row r="7" spans="1:9" x14ac:dyDescent="0.45">
      <c r="A7" t="s">
        <v>1020</v>
      </c>
      <c r="B7" t="s">
        <v>1025</v>
      </c>
      <c r="C7" t="s">
        <v>1026</v>
      </c>
      <c r="D7">
        <v>1</v>
      </c>
      <c r="E7">
        <v>2</v>
      </c>
      <c r="G7" t="s">
        <v>1025</v>
      </c>
      <c r="H7" t="s">
        <v>1026</v>
      </c>
      <c r="I7">
        <v>-1</v>
      </c>
    </row>
    <row r="8" spans="1:9" x14ac:dyDescent="0.45">
      <c r="A8" t="s">
        <v>1020</v>
      </c>
      <c r="B8" t="s">
        <v>1027</v>
      </c>
      <c r="C8" t="s">
        <v>1028</v>
      </c>
      <c r="D8">
        <v>1</v>
      </c>
      <c r="E8">
        <v>2</v>
      </c>
      <c r="G8" t="s">
        <v>1027</v>
      </c>
      <c r="H8" t="s">
        <v>1028</v>
      </c>
      <c r="I8">
        <v>-1</v>
      </c>
    </row>
    <row r="9" spans="1:9" x14ac:dyDescent="0.45">
      <c r="A9" t="s">
        <v>1020</v>
      </c>
      <c r="B9" t="s">
        <v>1029</v>
      </c>
      <c r="C9" t="s">
        <v>1030</v>
      </c>
      <c r="D9">
        <v>1</v>
      </c>
      <c r="E9">
        <v>2</v>
      </c>
      <c r="G9" t="s">
        <v>1029</v>
      </c>
      <c r="H9" t="s">
        <v>1030</v>
      </c>
      <c r="I9">
        <v>-1</v>
      </c>
    </row>
    <row r="10" spans="1:9" x14ac:dyDescent="0.45">
      <c r="A10" t="s">
        <v>1020</v>
      </c>
      <c r="B10" t="s">
        <v>1031</v>
      </c>
      <c r="C10" t="s">
        <v>1032</v>
      </c>
      <c r="D10">
        <v>1</v>
      </c>
      <c r="E10">
        <v>2</v>
      </c>
      <c r="G10" t="s">
        <v>1031</v>
      </c>
      <c r="H10" t="s">
        <v>1032</v>
      </c>
      <c r="I10">
        <v>-1</v>
      </c>
    </row>
    <row r="11" spans="1:9" x14ac:dyDescent="0.45">
      <c r="A11" t="s">
        <v>1020</v>
      </c>
      <c r="B11" t="s">
        <v>1033</v>
      </c>
      <c r="C11" t="s">
        <v>1034</v>
      </c>
      <c r="D11">
        <v>1</v>
      </c>
      <c r="E11">
        <v>2</v>
      </c>
      <c r="G11" t="s">
        <v>1033</v>
      </c>
      <c r="H11" t="s">
        <v>1034</v>
      </c>
      <c r="I11">
        <v>-1</v>
      </c>
    </row>
    <row r="12" spans="1:9" x14ac:dyDescent="0.45">
      <c r="A12" t="s">
        <v>1020</v>
      </c>
      <c r="B12" t="s">
        <v>1035</v>
      </c>
      <c r="C12" t="s">
        <v>1036</v>
      </c>
      <c r="D12">
        <v>1</v>
      </c>
      <c r="E12">
        <v>2</v>
      </c>
      <c r="G12" t="s">
        <v>1035</v>
      </c>
      <c r="H12" t="s">
        <v>1036</v>
      </c>
      <c r="I12">
        <v>-1</v>
      </c>
    </row>
    <row r="13" spans="1:9" x14ac:dyDescent="0.45">
      <c r="A13" t="s">
        <v>1020</v>
      </c>
      <c r="B13" t="s">
        <v>1037</v>
      </c>
      <c r="C13" t="s">
        <v>1038</v>
      </c>
      <c r="D13">
        <v>1</v>
      </c>
      <c r="E13">
        <v>2</v>
      </c>
      <c r="G13" t="s">
        <v>1037</v>
      </c>
      <c r="H13" t="s">
        <v>1038</v>
      </c>
      <c r="I13">
        <v>-1</v>
      </c>
    </row>
    <row r="14" spans="1:9" x14ac:dyDescent="0.45">
      <c r="A14" t="s">
        <v>1020</v>
      </c>
      <c r="B14" t="s">
        <v>1039</v>
      </c>
      <c r="C14" t="s">
        <v>1040</v>
      </c>
      <c r="D14">
        <v>1</v>
      </c>
      <c r="E14">
        <v>2</v>
      </c>
      <c r="G14" t="s">
        <v>1039</v>
      </c>
      <c r="H14" t="s">
        <v>1040</v>
      </c>
      <c r="I14">
        <v>-1</v>
      </c>
    </row>
    <row r="15" spans="1:9" x14ac:dyDescent="0.45">
      <c r="A15" t="s">
        <v>1020</v>
      </c>
      <c r="B15" t="s">
        <v>1041</v>
      </c>
      <c r="C15" t="s">
        <v>1042</v>
      </c>
      <c r="D15">
        <v>1</v>
      </c>
      <c r="E15">
        <v>2</v>
      </c>
      <c r="G15" t="s">
        <v>1041</v>
      </c>
      <c r="H15" t="s">
        <v>1042</v>
      </c>
      <c r="I15">
        <v>-1</v>
      </c>
    </row>
    <row r="16" spans="1:9" x14ac:dyDescent="0.45">
      <c r="A16" t="s">
        <v>1020</v>
      </c>
      <c r="B16" t="s">
        <v>1043</v>
      </c>
      <c r="C16" t="s">
        <v>1044</v>
      </c>
      <c r="D16">
        <v>1</v>
      </c>
      <c r="E16">
        <v>2</v>
      </c>
      <c r="G16" t="s">
        <v>1043</v>
      </c>
      <c r="H16" t="s">
        <v>1044</v>
      </c>
      <c r="I16">
        <v>-1</v>
      </c>
    </row>
    <row r="17" spans="1:9" x14ac:dyDescent="0.45">
      <c r="A17" t="s">
        <v>1020</v>
      </c>
      <c r="B17" t="s">
        <v>1045</v>
      </c>
      <c r="C17" t="s">
        <v>1046</v>
      </c>
      <c r="D17">
        <v>1</v>
      </c>
      <c r="E17">
        <v>2</v>
      </c>
      <c r="G17" t="s">
        <v>1045</v>
      </c>
      <c r="H17" t="s">
        <v>1046</v>
      </c>
      <c r="I17">
        <v>-1</v>
      </c>
    </row>
    <row r="18" spans="1:9" x14ac:dyDescent="0.45">
      <c r="A18" t="s">
        <v>1020</v>
      </c>
      <c r="B18" t="s">
        <v>1047</v>
      </c>
      <c r="C18" t="s">
        <v>1048</v>
      </c>
      <c r="D18">
        <v>1</v>
      </c>
      <c r="E18">
        <v>2</v>
      </c>
      <c r="G18" t="s">
        <v>1047</v>
      </c>
      <c r="H18" t="s">
        <v>1048</v>
      </c>
      <c r="I18">
        <v>-1</v>
      </c>
    </row>
    <row r="19" spans="1:9" x14ac:dyDescent="0.45">
      <c r="A19" t="s">
        <v>1020</v>
      </c>
      <c r="B19" t="s">
        <v>1049</v>
      </c>
      <c r="C19" t="s">
        <v>1050</v>
      </c>
      <c r="D19">
        <v>1</v>
      </c>
      <c r="E19">
        <v>2</v>
      </c>
      <c r="G19" t="s">
        <v>1049</v>
      </c>
      <c r="H19" t="s">
        <v>1050</v>
      </c>
      <c r="I19">
        <v>-1</v>
      </c>
    </row>
    <row r="20" spans="1:9" x14ac:dyDescent="0.45">
      <c r="A20" t="s">
        <v>1020</v>
      </c>
      <c r="B20" t="s">
        <v>1051</v>
      </c>
      <c r="C20" t="s">
        <v>1052</v>
      </c>
      <c r="D20">
        <v>1</v>
      </c>
      <c r="E20">
        <v>2</v>
      </c>
      <c r="G20" t="s">
        <v>1051</v>
      </c>
      <c r="H20" t="s">
        <v>1052</v>
      </c>
      <c r="I20">
        <v>-1</v>
      </c>
    </row>
    <row r="21" spans="1:9" x14ac:dyDescent="0.45">
      <c r="A21" t="s">
        <v>1020</v>
      </c>
      <c r="B21" t="s">
        <v>1053</v>
      </c>
      <c r="C21" t="s">
        <v>1054</v>
      </c>
      <c r="D21">
        <v>1</v>
      </c>
      <c r="E21">
        <v>2</v>
      </c>
      <c r="G21" t="s">
        <v>1053</v>
      </c>
      <c r="H21" t="s">
        <v>1054</v>
      </c>
      <c r="I21">
        <v>-1</v>
      </c>
    </row>
    <row r="22" spans="1:9" x14ac:dyDescent="0.45">
      <c r="A22" t="s">
        <v>1020</v>
      </c>
      <c r="B22" t="s">
        <v>1055</v>
      </c>
      <c r="C22" t="s">
        <v>1056</v>
      </c>
      <c r="D22">
        <v>1</v>
      </c>
      <c r="E22">
        <v>2</v>
      </c>
      <c r="G22" t="s">
        <v>1055</v>
      </c>
      <c r="H22" t="s">
        <v>1056</v>
      </c>
      <c r="I22">
        <v>-1</v>
      </c>
    </row>
    <row r="23" spans="1:9" x14ac:dyDescent="0.45">
      <c r="A23" t="s">
        <v>1020</v>
      </c>
      <c r="B23" t="s">
        <v>1057</v>
      </c>
      <c r="C23" t="s">
        <v>1058</v>
      </c>
      <c r="D23">
        <v>1</v>
      </c>
      <c r="E23">
        <v>2</v>
      </c>
      <c r="G23" t="s">
        <v>1057</v>
      </c>
      <c r="H23" t="s">
        <v>1058</v>
      </c>
      <c r="I23">
        <v>-1</v>
      </c>
    </row>
    <row r="24" spans="1:9" x14ac:dyDescent="0.45">
      <c r="A24" t="s">
        <v>1020</v>
      </c>
      <c r="B24" t="s">
        <v>1059</v>
      </c>
      <c r="C24" t="s">
        <v>1060</v>
      </c>
      <c r="D24">
        <v>1</v>
      </c>
      <c r="E24">
        <v>2</v>
      </c>
      <c r="G24" t="s">
        <v>1059</v>
      </c>
      <c r="H24" t="s">
        <v>1060</v>
      </c>
      <c r="I24">
        <v>-1</v>
      </c>
    </row>
    <row r="25" spans="1:9" x14ac:dyDescent="0.45">
      <c r="A25" t="s">
        <v>1020</v>
      </c>
      <c r="B25" t="s">
        <v>1061</v>
      </c>
      <c r="C25" t="s">
        <v>1062</v>
      </c>
      <c r="D25">
        <v>1</v>
      </c>
      <c r="E25">
        <v>2</v>
      </c>
      <c r="G25" t="s">
        <v>1061</v>
      </c>
      <c r="H25" t="s">
        <v>1062</v>
      </c>
      <c r="I25">
        <v>-1</v>
      </c>
    </row>
    <row r="26" spans="1:9" x14ac:dyDescent="0.45">
      <c r="A26" t="s">
        <v>1020</v>
      </c>
      <c r="B26" t="s">
        <v>1063</v>
      </c>
      <c r="C26" t="s">
        <v>1064</v>
      </c>
      <c r="D26">
        <v>1</v>
      </c>
      <c r="E26">
        <v>2</v>
      </c>
      <c r="G26" t="s">
        <v>1063</v>
      </c>
      <c r="H26" t="s">
        <v>1064</v>
      </c>
      <c r="I26">
        <v>-1</v>
      </c>
    </row>
    <row r="27" spans="1:9" x14ac:dyDescent="0.45">
      <c r="A27" t="s">
        <v>1020</v>
      </c>
      <c r="B27" t="s">
        <v>1065</v>
      </c>
      <c r="C27" t="s">
        <v>1066</v>
      </c>
      <c r="D27">
        <v>1</v>
      </c>
      <c r="E27">
        <v>2</v>
      </c>
      <c r="G27" t="s">
        <v>1065</v>
      </c>
      <c r="H27" t="s">
        <v>1066</v>
      </c>
      <c r="I27">
        <v>-1</v>
      </c>
    </row>
    <row r="28" spans="1:9" x14ac:dyDescent="0.45">
      <c r="A28" t="s">
        <v>1020</v>
      </c>
      <c r="B28" t="s">
        <v>1067</v>
      </c>
      <c r="C28" t="s">
        <v>1068</v>
      </c>
      <c r="D28">
        <v>1</v>
      </c>
      <c r="E28">
        <v>2</v>
      </c>
      <c r="G28" t="s">
        <v>1067</v>
      </c>
      <c r="H28" t="s">
        <v>1068</v>
      </c>
      <c r="I28">
        <v>-1</v>
      </c>
    </row>
    <row r="29" spans="1:9" x14ac:dyDescent="0.45">
      <c r="A29" t="s">
        <v>1020</v>
      </c>
      <c r="B29" t="s">
        <v>1069</v>
      </c>
      <c r="C29" t="s">
        <v>1070</v>
      </c>
      <c r="D29">
        <v>1</v>
      </c>
      <c r="E29">
        <v>2</v>
      </c>
      <c r="G29" t="s">
        <v>1069</v>
      </c>
      <c r="H29" t="s">
        <v>1070</v>
      </c>
      <c r="I29">
        <v>-1</v>
      </c>
    </row>
    <row r="30" spans="1:9" x14ac:dyDescent="0.45">
      <c r="A30" t="s">
        <v>1020</v>
      </c>
      <c r="B30" t="s">
        <v>1071</v>
      </c>
      <c r="C30" t="s">
        <v>1072</v>
      </c>
      <c r="D30">
        <v>1</v>
      </c>
      <c r="E30">
        <v>2</v>
      </c>
      <c r="G30" t="s">
        <v>1071</v>
      </c>
      <c r="H30" t="s">
        <v>1072</v>
      </c>
      <c r="I30">
        <v>-1</v>
      </c>
    </row>
    <row r="31" spans="1:9" x14ac:dyDescent="0.45">
      <c r="A31" t="s">
        <v>1020</v>
      </c>
      <c r="B31" t="s">
        <v>1073</v>
      </c>
      <c r="C31" t="s">
        <v>1074</v>
      </c>
      <c r="D31">
        <v>1</v>
      </c>
      <c r="E31">
        <v>2</v>
      </c>
      <c r="G31" t="s">
        <v>1073</v>
      </c>
      <c r="H31" t="s">
        <v>1074</v>
      </c>
      <c r="I31">
        <v>-1</v>
      </c>
    </row>
    <row r="32" spans="1:9" x14ac:dyDescent="0.45">
      <c r="A32" t="s">
        <v>1020</v>
      </c>
      <c r="B32" t="s">
        <v>1075</v>
      </c>
      <c r="C32" t="s">
        <v>1076</v>
      </c>
      <c r="D32">
        <v>1</v>
      </c>
      <c r="E32">
        <v>2</v>
      </c>
      <c r="G32" t="s">
        <v>1075</v>
      </c>
      <c r="H32" t="s">
        <v>1076</v>
      </c>
      <c r="I32">
        <v>-1</v>
      </c>
    </row>
    <row r="33" spans="1:9" x14ac:dyDescent="0.45">
      <c r="A33" t="s">
        <v>1020</v>
      </c>
      <c r="B33" t="s">
        <v>1077</v>
      </c>
      <c r="C33" t="s">
        <v>1078</v>
      </c>
      <c r="D33">
        <v>1</v>
      </c>
      <c r="E33">
        <v>2</v>
      </c>
      <c r="G33" t="s">
        <v>1077</v>
      </c>
      <c r="H33" t="s">
        <v>1078</v>
      </c>
      <c r="I33">
        <v>-1</v>
      </c>
    </row>
    <row r="34" spans="1:9" x14ac:dyDescent="0.45">
      <c r="A34" t="s">
        <v>1020</v>
      </c>
      <c r="B34" t="s">
        <v>1079</v>
      </c>
      <c r="C34" t="s">
        <v>1080</v>
      </c>
      <c r="D34">
        <v>1</v>
      </c>
      <c r="E34">
        <v>2</v>
      </c>
      <c r="G34" t="s">
        <v>1079</v>
      </c>
      <c r="H34" t="s">
        <v>1080</v>
      </c>
      <c r="I34">
        <v>-1</v>
      </c>
    </row>
    <row r="35" spans="1:9" x14ac:dyDescent="0.45">
      <c r="A35" t="s">
        <v>1020</v>
      </c>
      <c r="B35" t="s">
        <v>1081</v>
      </c>
      <c r="C35" t="s">
        <v>1082</v>
      </c>
      <c r="D35">
        <v>1</v>
      </c>
      <c r="E35">
        <v>2</v>
      </c>
      <c r="G35" t="s">
        <v>1081</v>
      </c>
      <c r="H35" t="s">
        <v>1082</v>
      </c>
      <c r="I35">
        <v>-1</v>
      </c>
    </row>
    <row r="36" spans="1:9" x14ac:dyDescent="0.45">
      <c r="A36" t="s">
        <v>1020</v>
      </c>
      <c r="B36" t="s">
        <v>1083</v>
      </c>
      <c r="C36" t="s">
        <v>1084</v>
      </c>
      <c r="D36">
        <v>1</v>
      </c>
      <c r="E36">
        <v>2</v>
      </c>
      <c r="G36" t="s">
        <v>1083</v>
      </c>
      <c r="H36" t="s">
        <v>1084</v>
      </c>
      <c r="I36">
        <v>-1</v>
      </c>
    </row>
    <row r="37" spans="1:9" x14ac:dyDescent="0.45">
      <c r="A37" t="s">
        <v>1020</v>
      </c>
      <c r="B37" t="s">
        <v>1085</v>
      </c>
      <c r="C37" t="s">
        <v>1086</v>
      </c>
      <c r="D37">
        <v>1</v>
      </c>
      <c r="E37">
        <v>2</v>
      </c>
      <c r="G37" t="s">
        <v>1085</v>
      </c>
      <c r="H37" t="s">
        <v>1086</v>
      </c>
      <c r="I37">
        <v>-1</v>
      </c>
    </row>
    <row r="38" spans="1:9" x14ac:dyDescent="0.45">
      <c r="A38" t="s">
        <v>1020</v>
      </c>
      <c r="B38" t="s">
        <v>1087</v>
      </c>
      <c r="C38" t="s">
        <v>1088</v>
      </c>
      <c r="D38">
        <v>1</v>
      </c>
      <c r="E38">
        <v>2</v>
      </c>
      <c r="G38" t="s">
        <v>1087</v>
      </c>
      <c r="H38" t="s">
        <v>1088</v>
      </c>
      <c r="I38">
        <v>-1</v>
      </c>
    </row>
    <row r="39" spans="1:9" x14ac:dyDescent="0.45">
      <c r="A39" t="s">
        <v>1020</v>
      </c>
      <c r="B39" t="s">
        <v>1089</v>
      </c>
      <c r="C39" t="s">
        <v>1090</v>
      </c>
      <c r="D39">
        <v>1</v>
      </c>
      <c r="E39">
        <v>2</v>
      </c>
      <c r="G39" t="s">
        <v>1089</v>
      </c>
      <c r="H39" t="s">
        <v>1090</v>
      </c>
      <c r="I39">
        <v>-1</v>
      </c>
    </row>
    <row r="40" spans="1:9" x14ac:dyDescent="0.45">
      <c r="A40" t="s">
        <v>1020</v>
      </c>
      <c r="B40" t="s">
        <v>1091</v>
      </c>
      <c r="C40" t="s">
        <v>1092</v>
      </c>
      <c r="D40">
        <v>1</v>
      </c>
      <c r="E40">
        <v>2</v>
      </c>
      <c r="G40" t="s">
        <v>1091</v>
      </c>
      <c r="H40" t="s">
        <v>1092</v>
      </c>
      <c r="I40">
        <v>-1</v>
      </c>
    </row>
    <row r="41" spans="1:9" x14ac:dyDescent="0.45">
      <c r="A41" t="s">
        <v>1020</v>
      </c>
      <c r="B41" t="s">
        <v>1093</v>
      </c>
      <c r="C41" t="s">
        <v>1094</v>
      </c>
      <c r="D41">
        <v>1</v>
      </c>
      <c r="E41">
        <v>2</v>
      </c>
      <c r="G41" t="s">
        <v>1093</v>
      </c>
      <c r="H41" t="s">
        <v>1094</v>
      </c>
      <c r="I41">
        <v>-1</v>
      </c>
    </row>
    <row r="42" spans="1:9" x14ac:dyDescent="0.45">
      <c r="A42" t="s">
        <v>1020</v>
      </c>
      <c r="B42" t="s">
        <v>1095</v>
      </c>
      <c r="C42" t="s">
        <v>1096</v>
      </c>
      <c r="D42">
        <v>1</v>
      </c>
      <c r="E42">
        <v>2</v>
      </c>
      <c r="G42" t="s">
        <v>1095</v>
      </c>
      <c r="H42" t="s">
        <v>1096</v>
      </c>
      <c r="I42">
        <v>-1</v>
      </c>
    </row>
    <row r="43" spans="1:9" x14ac:dyDescent="0.45">
      <c r="A43" t="s">
        <v>1020</v>
      </c>
      <c r="B43" t="s">
        <v>1097</v>
      </c>
      <c r="C43" t="s">
        <v>1098</v>
      </c>
      <c r="D43">
        <v>1</v>
      </c>
      <c r="E43">
        <v>2</v>
      </c>
      <c r="G43" t="s">
        <v>1097</v>
      </c>
      <c r="H43" t="s">
        <v>1098</v>
      </c>
      <c r="I43">
        <v>-1</v>
      </c>
    </row>
    <row r="44" spans="1:9" x14ac:dyDescent="0.45">
      <c r="A44" t="s">
        <v>1020</v>
      </c>
      <c r="B44" t="s">
        <v>1099</v>
      </c>
      <c r="C44" t="s">
        <v>1100</v>
      </c>
      <c r="D44">
        <v>1</v>
      </c>
      <c r="E44">
        <v>2</v>
      </c>
      <c r="G44" t="s">
        <v>1099</v>
      </c>
      <c r="H44" t="s">
        <v>1100</v>
      </c>
      <c r="I44">
        <v>-1</v>
      </c>
    </row>
    <row r="45" spans="1:9" x14ac:dyDescent="0.45">
      <c r="A45" t="s">
        <v>1020</v>
      </c>
      <c r="B45" t="s">
        <v>1101</v>
      </c>
      <c r="C45" t="s">
        <v>1102</v>
      </c>
      <c r="D45">
        <v>1</v>
      </c>
      <c r="E45">
        <v>2</v>
      </c>
      <c r="G45" t="s">
        <v>1101</v>
      </c>
      <c r="H45" t="s">
        <v>1102</v>
      </c>
      <c r="I45">
        <v>-1</v>
      </c>
    </row>
    <row r="46" spans="1:9" x14ac:dyDescent="0.45">
      <c r="A46" t="s">
        <v>1020</v>
      </c>
      <c r="B46" t="s">
        <v>1103</v>
      </c>
      <c r="C46" t="s">
        <v>1104</v>
      </c>
      <c r="D46">
        <v>1</v>
      </c>
      <c r="E46">
        <v>2</v>
      </c>
      <c r="G46" t="s">
        <v>1103</v>
      </c>
      <c r="H46" t="s">
        <v>1104</v>
      </c>
      <c r="I46">
        <v>-1</v>
      </c>
    </row>
    <row r="47" spans="1:9" x14ac:dyDescent="0.45">
      <c r="A47" t="s">
        <v>1020</v>
      </c>
      <c r="B47" t="s">
        <v>1105</v>
      </c>
      <c r="C47" t="s">
        <v>1106</v>
      </c>
      <c r="D47">
        <v>1</v>
      </c>
      <c r="E47">
        <v>2</v>
      </c>
      <c r="G47" t="s">
        <v>1105</v>
      </c>
      <c r="H47" t="s">
        <v>1106</v>
      </c>
      <c r="I47">
        <v>-1</v>
      </c>
    </row>
    <row r="48" spans="1:9" x14ac:dyDescent="0.45">
      <c r="A48" t="s">
        <v>1020</v>
      </c>
      <c r="B48" t="s">
        <v>1107</v>
      </c>
      <c r="C48" t="s">
        <v>1108</v>
      </c>
      <c r="D48">
        <v>1</v>
      </c>
      <c r="E48">
        <v>2</v>
      </c>
      <c r="G48" t="s">
        <v>1107</v>
      </c>
      <c r="H48" t="s">
        <v>1108</v>
      </c>
      <c r="I48">
        <v>-1</v>
      </c>
    </row>
    <row r="49" spans="1:9" x14ac:dyDescent="0.45">
      <c r="A49" t="s">
        <v>1020</v>
      </c>
      <c r="B49" t="s">
        <v>1109</v>
      </c>
      <c r="C49" t="s">
        <v>1110</v>
      </c>
      <c r="D49">
        <v>1</v>
      </c>
      <c r="E49">
        <v>2</v>
      </c>
      <c r="G49" t="s">
        <v>1109</v>
      </c>
      <c r="H49" t="s">
        <v>1110</v>
      </c>
      <c r="I49">
        <v>-1</v>
      </c>
    </row>
    <row r="50" spans="1:9" x14ac:dyDescent="0.45">
      <c r="A50" t="s">
        <v>1020</v>
      </c>
      <c r="B50" t="s">
        <v>1111</v>
      </c>
      <c r="C50" t="s">
        <v>1112</v>
      </c>
      <c r="D50">
        <v>1</v>
      </c>
      <c r="E50">
        <v>2</v>
      </c>
      <c r="G50" t="s">
        <v>1111</v>
      </c>
      <c r="H50" t="s">
        <v>1112</v>
      </c>
      <c r="I50">
        <v>-1</v>
      </c>
    </row>
    <row r="51" spans="1:9" x14ac:dyDescent="0.45">
      <c r="A51" t="s">
        <v>1020</v>
      </c>
      <c r="B51" t="s">
        <v>1113</v>
      </c>
      <c r="C51" t="s">
        <v>1114</v>
      </c>
      <c r="D51">
        <v>1</v>
      </c>
      <c r="E51">
        <v>2</v>
      </c>
      <c r="G51" t="s">
        <v>1113</v>
      </c>
      <c r="H51" t="s">
        <v>1114</v>
      </c>
      <c r="I51">
        <v>-1</v>
      </c>
    </row>
    <row r="52" spans="1:9" x14ac:dyDescent="0.45">
      <c r="A52" t="s">
        <v>1020</v>
      </c>
      <c r="B52" t="s">
        <v>1115</v>
      </c>
      <c r="C52" t="s">
        <v>1116</v>
      </c>
      <c r="D52">
        <v>1</v>
      </c>
      <c r="E52">
        <v>2</v>
      </c>
      <c r="G52" t="s">
        <v>1115</v>
      </c>
      <c r="H52" t="s">
        <v>1116</v>
      </c>
      <c r="I52">
        <v>-1</v>
      </c>
    </row>
    <row r="53" spans="1:9" x14ac:dyDescent="0.45">
      <c r="A53" t="s">
        <v>1020</v>
      </c>
      <c r="B53" t="s">
        <v>1117</v>
      </c>
      <c r="C53" t="s">
        <v>1118</v>
      </c>
      <c r="D53">
        <v>1</v>
      </c>
      <c r="E53">
        <v>2</v>
      </c>
      <c r="G53" t="s">
        <v>1117</v>
      </c>
      <c r="H53" t="s">
        <v>1118</v>
      </c>
      <c r="I53">
        <v>-1</v>
      </c>
    </row>
    <row r="54" spans="1:9" x14ac:dyDescent="0.45">
      <c r="A54" t="s">
        <v>1020</v>
      </c>
      <c r="B54" t="s">
        <v>1119</v>
      </c>
      <c r="C54" t="s">
        <v>1120</v>
      </c>
      <c r="D54">
        <v>1</v>
      </c>
      <c r="E54">
        <v>2</v>
      </c>
      <c r="G54" t="s">
        <v>1119</v>
      </c>
      <c r="H54" t="s">
        <v>1120</v>
      </c>
      <c r="I54">
        <v>-1</v>
      </c>
    </row>
    <row r="55" spans="1:9" x14ac:dyDescent="0.45">
      <c r="A55" t="s">
        <v>1020</v>
      </c>
      <c r="B55" t="s">
        <v>1121</v>
      </c>
      <c r="C55" t="s">
        <v>1122</v>
      </c>
      <c r="D55">
        <v>1</v>
      </c>
      <c r="E55">
        <v>2</v>
      </c>
      <c r="G55" t="s">
        <v>1121</v>
      </c>
      <c r="H55" t="s">
        <v>1122</v>
      </c>
      <c r="I55">
        <v>-1</v>
      </c>
    </row>
    <row r="56" spans="1:9" x14ac:dyDescent="0.45">
      <c r="A56" t="s">
        <v>1020</v>
      </c>
      <c r="B56" t="s">
        <v>1123</v>
      </c>
      <c r="C56" t="s">
        <v>1124</v>
      </c>
      <c r="D56">
        <v>1</v>
      </c>
      <c r="E56">
        <v>2</v>
      </c>
      <c r="G56" t="s">
        <v>1123</v>
      </c>
      <c r="H56" t="s">
        <v>1124</v>
      </c>
      <c r="I56">
        <v>-1</v>
      </c>
    </row>
    <row r="57" spans="1:9" x14ac:dyDescent="0.45">
      <c r="A57" t="s">
        <v>1020</v>
      </c>
      <c r="B57" t="s">
        <v>1125</v>
      </c>
      <c r="C57" t="s">
        <v>1126</v>
      </c>
      <c r="D57">
        <v>1</v>
      </c>
      <c r="E57">
        <v>2</v>
      </c>
      <c r="G57" t="s">
        <v>1125</v>
      </c>
      <c r="H57" t="s">
        <v>1126</v>
      </c>
      <c r="I57">
        <v>-1</v>
      </c>
    </row>
    <row r="58" spans="1:9" x14ac:dyDescent="0.45">
      <c r="A58" t="s">
        <v>1020</v>
      </c>
      <c r="B58" t="s">
        <v>1127</v>
      </c>
      <c r="C58" t="s">
        <v>1128</v>
      </c>
      <c r="D58">
        <v>1</v>
      </c>
      <c r="E58">
        <v>2</v>
      </c>
      <c r="G58" t="s">
        <v>1127</v>
      </c>
      <c r="H58" t="s">
        <v>1128</v>
      </c>
      <c r="I58">
        <v>-1</v>
      </c>
    </row>
    <row r="59" spans="1:9" x14ac:dyDescent="0.45">
      <c r="A59" t="s">
        <v>1020</v>
      </c>
      <c r="B59" t="s">
        <v>1129</v>
      </c>
      <c r="C59" t="s">
        <v>1130</v>
      </c>
      <c r="D59">
        <v>1</v>
      </c>
      <c r="E59">
        <v>2</v>
      </c>
      <c r="G59" t="s">
        <v>1129</v>
      </c>
      <c r="H59" t="s">
        <v>1130</v>
      </c>
      <c r="I59">
        <v>-1</v>
      </c>
    </row>
    <row r="60" spans="1:9" x14ac:dyDescent="0.45">
      <c r="A60" t="s">
        <v>1020</v>
      </c>
      <c r="B60" t="s">
        <v>1131</v>
      </c>
      <c r="C60" t="s">
        <v>1132</v>
      </c>
      <c r="D60">
        <v>1</v>
      </c>
      <c r="E60">
        <v>2</v>
      </c>
      <c r="G60" t="s">
        <v>1131</v>
      </c>
      <c r="H60" t="s">
        <v>1132</v>
      </c>
      <c r="I60">
        <v>-1</v>
      </c>
    </row>
    <row r="61" spans="1:9" x14ac:dyDescent="0.45">
      <c r="A61" t="s">
        <v>1020</v>
      </c>
      <c r="B61" t="s">
        <v>1133</v>
      </c>
      <c r="C61" t="s">
        <v>1134</v>
      </c>
      <c r="D61">
        <v>1</v>
      </c>
      <c r="E61">
        <v>2</v>
      </c>
      <c r="G61" t="s">
        <v>1133</v>
      </c>
      <c r="H61" t="s">
        <v>1134</v>
      </c>
      <c r="I61">
        <v>-1</v>
      </c>
    </row>
    <row r="62" spans="1:9" x14ac:dyDescent="0.45">
      <c r="A62" t="s">
        <v>1020</v>
      </c>
      <c r="B62" t="s">
        <v>1135</v>
      </c>
      <c r="C62" t="s">
        <v>1136</v>
      </c>
      <c r="D62">
        <v>1</v>
      </c>
      <c r="E62">
        <v>2</v>
      </c>
      <c r="G62" t="s">
        <v>1135</v>
      </c>
      <c r="H62" t="s">
        <v>1136</v>
      </c>
      <c r="I62">
        <v>-1</v>
      </c>
    </row>
    <row r="63" spans="1:9" x14ac:dyDescent="0.45">
      <c r="A63" t="s">
        <v>1020</v>
      </c>
      <c r="B63" t="s">
        <v>1137</v>
      </c>
      <c r="C63" t="s">
        <v>1138</v>
      </c>
      <c r="D63">
        <v>1</v>
      </c>
      <c r="E63">
        <v>2</v>
      </c>
      <c r="G63" t="s">
        <v>1137</v>
      </c>
      <c r="H63" t="s">
        <v>1138</v>
      </c>
      <c r="I63">
        <v>-1</v>
      </c>
    </row>
    <row r="64" spans="1:9" x14ac:dyDescent="0.45">
      <c r="A64" t="s">
        <v>1020</v>
      </c>
      <c r="B64" t="s">
        <v>1139</v>
      </c>
      <c r="C64" t="s">
        <v>1140</v>
      </c>
      <c r="D64">
        <v>1</v>
      </c>
      <c r="E64">
        <v>2</v>
      </c>
      <c r="G64" t="s">
        <v>1139</v>
      </c>
      <c r="H64" t="s">
        <v>1140</v>
      </c>
      <c r="I64">
        <v>-1</v>
      </c>
    </row>
    <row r="65" spans="1:9" x14ac:dyDescent="0.45">
      <c r="A65" t="s">
        <v>1020</v>
      </c>
      <c r="B65" t="s">
        <v>1141</v>
      </c>
      <c r="C65" t="s">
        <v>1142</v>
      </c>
      <c r="D65">
        <v>1</v>
      </c>
      <c r="E65">
        <v>2</v>
      </c>
      <c r="G65" t="s">
        <v>1141</v>
      </c>
      <c r="H65" t="s">
        <v>1142</v>
      </c>
      <c r="I65">
        <v>-1</v>
      </c>
    </row>
    <row r="66" spans="1:9" x14ac:dyDescent="0.45">
      <c r="A66" t="s">
        <v>1020</v>
      </c>
      <c r="B66" t="s">
        <v>1143</v>
      </c>
      <c r="C66" t="s">
        <v>1144</v>
      </c>
      <c r="D66">
        <v>1</v>
      </c>
      <c r="E66">
        <v>2</v>
      </c>
      <c r="G66" t="s">
        <v>1143</v>
      </c>
      <c r="H66" t="s">
        <v>1144</v>
      </c>
      <c r="I66">
        <v>-1</v>
      </c>
    </row>
    <row r="67" spans="1:9" x14ac:dyDescent="0.45">
      <c r="A67" t="s">
        <v>1020</v>
      </c>
      <c r="B67" t="s">
        <v>1145</v>
      </c>
      <c r="C67" t="s">
        <v>1146</v>
      </c>
      <c r="D67">
        <v>1</v>
      </c>
      <c r="E67">
        <v>2</v>
      </c>
      <c r="G67" t="s">
        <v>1145</v>
      </c>
      <c r="H67" t="s">
        <v>1146</v>
      </c>
      <c r="I67">
        <v>-1</v>
      </c>
    </row>
    <row r="68" spans="1:9" x14ac:dyDescent="0.45">
      <c r="A68" t="s">
        <v>1020</v>
      </c>
      <c r="B68" t="s">
        <v>1147</v>
      </c>
      <c r="C68" t="s">
        <v>1148</v>
      </c>
      <c r="D68">
        <v>1</v>
      </c>
      <c r="E68">
        <v>2</v>
      </c>
      <c r="G68" t="s">
        <v>1147</v>
      </c>
      <c r="H68" t="s">
        <v>1148</v>
      </c>
      <c r="I68">
        <v>-1</v>
      </c>
    </row>
    <row r="69" spans="1:9" x14ac:dyDescent="0.45">
      <c r="A69" t="s">
        <v>1020</v>
      </c>
      <c r="B69" t="s">
        <v>1149</v>
      </c>
      <c r="C69" t="s">
        <v>1150</v>
      </c>
      <c r="D69">
        <v>1</v>
      </c>
      <c r="E69">
        <v>2</v>
      </c>
      <c r="G69" t="s">
        <v>1149</v>
      </c>
      <c r="H69" t="s">
        <v>1150</v>
      </c>
      <c r="I69">
        <v>-1</v>
      </c>
    </row>
    <row r="70" spans="1:9" x14ac:dyDescent="0.45">
      <c r="A70" t="s">
        <v>1020</v>
      </c>
      <c r="B70" t="s">
        <v>1151</v>
      </c>
      <c r="C70" t="s">
        <v>1152</v>
      </c>
      <c r="D70">
        <v>1</v>
      </c>
      <c r="E70">
        <v>2</v>
      </c>
      <c r="G70" t="s">
        <v>1151</v>
      </c>
      <c r="H70" t="s">
        <v>1152</v>
      </c>
      <c r="I70">
        <v>-1</v>
      </c>
    </row>
    <row r="71" spans="1:9" x14ac:dyDescent="0.45">
      <c r="A71" t="s">
        <v>1020</v>
      </c>
      <c r="B71" t="s">
        <v>1153</v>
      </c>
      <c r="C71" t="s">
        <v>1154</v>
      </c>
      <c r="D71">
        <v>1</v>
      </c>
      <c r="E71">
        <v>2</v>
      </c>
      <c r="G71" t="s">
        <v>1153</v>
      </c>
      <c r="H71" t="s">
        <v>1154</v>
      </c>
      <c r="I71">
        <v>-1</v>
      </c>
    </row>
    <row r="72" spans="1:9" x14ac:dyDescent="0.45">
      <c r="A72" t="s">
        <v>1020</v>
      </c>
      <c r="B72" t="s">
        <v>1155</v>
      </c>
      <c r="C72" t="s">
        <v>1156</v>
      </c>
      <c r="D72">
        <v>1</v>
      </c>
      <c r="E72">
        <v>2</v>
      </c>
      <c r="G72" t="s">
        <v>1155</v>
      </c>
      <c r="H72" t="s">
        <v>1156</v>
      </c>
      <c r="I72">
        <v>-1</v>
      </c>
    </row>
    <row r="73" spans="1:9" x14ac:dyDescent="0.45">
      <c r="A73" t="s">
        <v>1020</v>
      </c>
      <c r="B73" t="s">
        <v>1157</v>
      </c>
      <c r="C73" t="s">
        <v>1158</v>
      </c>
      <c r="D73">
        <v>1</v>
      </c>
      <c r="E73">
        <v>2</v>
      </c>
      <c r="G73" t="s">
        <v>1157</v>
      </c>
      <c r="H73" t="s">
        <v>1158</v>
      </c>
      <c r="I73">
        <v>-1</v>
      </c>
    </row>
    <row r="74" spans="1:9" x14ac:dyDescent="0.45">
      <c r="A74" t="s">
        <v>1020</v>
      </c>
      <c r="B74" t="s">
        <v>1159</v>
      </c>
      <c r="C74" t="s">
        <v>1160</v>
      </c>
      <c r="D74">
        <v>1</v>
      </c>
      <c r="E74">
        <v>2</v>
      </c>
      <c r="G74" t="s">
        <v>1159</v>
      </c>
      <c r="H74" t="s">
        <v>1160</v>
      </c>
      <c r="I74">
        <v>-1</v>
      </c>
    </row>
    <row r="75" spans="1:9" x14ac:dyDescent="0.45">
      <c r="A75" t="s">
        <v>1020</v>
      </c>
      <c r="B75" t="s">
        <v>1161</v>
      </c>
      <c r="C75" t="s">
        <v>1162</v>
      </c>
      <c r="D75">
        <v>1</v>
      </c>
      <c r="E75">
        <v>2</v>
      </c>
      <c r="G75" t="s">
        <v>1161</v>
      </c>
      <c r="H75" t="s">
        <v>1162</v>
      </c>
      <c r="I75">
        <v>-1</v>
      </c>
    </row>
    <row r="76" spans="1:9" x14ac:dyDescent="0.45">
      <c r="A76" t="s">
        <v>1020</v>
      </c>
      <c r="B76" t="s">
        <v>1163</v>
      </c>
      <c r="C76" t="s">
        <v>1164</v>
      </c>
      <c r="D76">
        <v>1</v>
      </c>
      <c r="E76">
        <v>2</v>
      </c>
      <c r="G76" t="s">
        <v>1163</v>
      </c>
      <c r="H76" t="s">
        <v>1164</v>
      </c>
      <c r="I76">
        <v>-1</v>
      </c>
    </row>
    <row r="77" spans="1:9" x14ac:dyDescent="0.45">
      <c r="A77" t="s">
        <v>1020</v>
      </c>
      <c r="B77" t="s">
        <v>1165</v>
      </c>
      <c r="C77" t="s">
        <v>1166</v>
      </c>
      <c r="D77">
        <v>1</v>
      </c>
      <c r="E77">
        <v>2</v>
      </c>
      <c r="G77" t="s">
        <v>1165</v>
      </c>
      <c r="H77" t="s">
        <v>1166</v>
      </c>
      <c r="I77">
        <v>-1</v>
      </c>
    </row>
    <row r="78" spans="1:9" x14ac:dyDescent="0.45">
      <c r="A78" t="s">
        <v>1020</v>
      </c>
      <c r="B78" t="s">
        <v>1167</v>
      </c>
      <c r="C78" t="s">
        <v>1168</v>
      </c>
      <c r="D78">
        <v>1</v>
      </c>
      <c r="E78">
        <v>2</v>
      </c>
      <c r="G78" t="s">
        <v>1167</v>
      </c>
      <c r="H78" t="s">
        <v>1168</v>
      </c>
      <c r="I78">
        <v>-1</v>
      </c>
    </row>
    <row r="79" spans="1:9" x14ac:dyDescent="0.45">
      <c r="A79" t="s">
        <v>1020</v>
      </c>
      <c r="B79" t="s">
        <v>1169</v>
      </c>
      <c r="C79" t="s">
        <v>1170</v>
      </c>
      <c r="D79">
        <v>1</v>
      </c>
      <c r="E79">
        <v>2</v>
      </c>
      <c r="G79" t="s">
        <v>1169</v>
      </c>
      <c r="H79" t="s">
        <v>1170</v>
      </c>
      <c r="I7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9748D-6A06-455C-AAF7-FD8C4B7205A4}">
  <dimension ref="B2:AG393"/>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5673</v>
      </c>
    </row>
    <row r="4" spans="2:33" x14ac:dyDescent="0.45">
      <c r="B4" t="s">
        <v>1171</v>
      </c>
      <c r="C4">
        <v>7.1499059999999997</v>
      </c>
      <c r="D4">
        <v>47.300000000000004</v>
      </c>
      <c r="E4">
        <v>0.99741999999999997</v>
      </c>
      <c r="H4" t="s">
        <v>1172</v>
      </c>
      <c r="I4" t="s">
        <v>13</v>
      </c>
      <c r="J4">
        <v>0.10973748525668876</v>
      </c>
      <c r="K4" t="s">
        <v>14</v>
      </c>
      <c r="P4" t="s">
        <v>1173</v>
      </c>
      <c r="Q4" t="s">
        <v>1172</v>
      </c>
      <c r="R4" t="s">
        <v>1174</v>
      </c>
      <c r="S4" t="s">
        <v>17</v>
      </c>
      <c r="U4" t="s">
        <v>1173</v>
      </c>
      <c r="V4" t="s">
        <v>1175</v>
      </c>
      <c r="W4" t="s">
        <v>1174</v>
      </c>
      <c r="X4" t="s">
        <v>19</v>
      </c>
      <c r="AA4" t="s">
        <v>6</v>
      </c>
      <c r="AB4" t="s">
        <v>20</v>
      </c>
      <c r="AC4" t="s">
        <v>21</v>
      </c>
      <c r="AD4" t="s">
        <v>22</v>
      </c>
      <c r="AE4" t="s">
        <v>23</v>
      </c>
      <c r="AF4" t="s">
        <v>24</v>
      </c>
      <c r="AG4" t="s">
        <v>25</v>
      </c>
    </row>
    <row r="5" spans="2:33" x14ac:dyDescent="0.45">
      <c r="B5" t="s">
        <v>1176</v>
      </c>
      <c r="C5">
        <v>9.1049579999999999</v>
      </c>
      <c r="D5">
        <v>31.900000000000002</v>
      </c>
      <c r="E5">
        <v>0.99826000000000004</v>
      </c>
      <c r="H5" t="s">
        <v>1172</v>
      </c>
      <c r="I5" t="s">
        <v>27</v>
      </c>
      <c r="J5">
        <v>0.10973748525668876</v>
      </c>
      <c r="K5" t="s">
        <v>14</v>
      </c>
      <c r="P5" t="s">
        <v>1173</v>
      </c>
      <c r="Q5" t="s">
        <v>1177</v>
      </c>
      <c r="R5" t="s">
        <v>1178</v>
      </c>
      <c r="S5" t="s">
        <v>17</v>
      </c>
      <c r="U5" t="s">
        <v>1173</v>
      </c>
      <c r="V5" t="s">
        <v>1179</v>
      </c>
      <c r="W5" t="s">
        <v>1174</v>
      </c>
      <c r="X5" t="s">
        <v>19</v>
      </c>
      <c r="AA5" t="s">
        <v>31</v>
      </c>
      <c r="AB5" t="s">
        <v>32</v>
      </c>
      <c r="AC5">
        <v>2</v>
      </c>
      <c r="AE5">
        <v>0</v>
      </c>
      <c r="AF5" t="s">
        <v>33</v>
      </c>
      <c r="AG5" t="s">
        <v>34</v>
      </c>
    </row>
    <row r="6" spans="2:33" x14ac:dyDescent="0.45">
      <c r="B6" t="s">
        <v>1180</v>
      </c>
      <c r="C6">
        <v>3.5749529999999998</v>
      </c>
      <c r="D6">
        <v>57.2</v>
      </c>
      <c r="E6">
        <v>0.99687999999999999</v>
      </c>
      <c r="H6" t="s">
        <v>1172</v>
      </c>
      <c r="I6" t="s">
        <v>36</v>
      </c>
      <c r="J6">
        <v>0.10973748525668876</v>
      </c>
      <c r="K6" t="s">
        <v>14</v>
      </c>
      <c r="P6" t="s">
        <v>1173</v>
      </c>
      <c r="Q6" t="s">
        <v>1181</v>
      </c>
      <c r="R6" t="s">
        <v>1182</v>
      </c>
      <c r="S6" t="s">
        <v>17</v>
      </c>
      <c r="U6" t="s">
        <v>1173</v>
      </c>
      <c r="V6" t="s">
        <v>1183</v>
      </c>
      <c r="W6" t="s">
        <v>1174</v>
      </c>
      <c r="X6" t="s">
        <v>19</v>
      </c>
      <c r="AA6" t="s">
        <v>31</v>
      </c>
      <c r="AB6" t="s">
        <v>32</v>
      </c>
      <c r="AD6">
        <v>2</v>
      </c>
      <c r="AE6">
        <v>0</v>
      </c>
      <c r="AF6" t="s">
        <v>40</v>
      </c>
    </row>
    <row r="7" spans="2:33" x14ac:dyDescent="0.45">
      <c r="B7" t="s">
        <v>1184</v>
      </c>
      <c r="C7">
        <v>3.5749520000000001</v>
      </c>
      <c r="D7">
        <v>31.900000000000002</v>
      </c>
      <c r="E7">
        <v>0.99826000000000004</v>
      </c>
      <c r="H7" t="s">
        <v>1177</v>
      </c>
      <c r="I7" t="s">
        <v>13</v>
      </c>
      <c r="J7">
        <v>0.31498583285149673</v>
      </c>
      <c r="K7" t="s">
        <v>14</v>
      </c>
      <c r="P7" t="s">
        <v>1173</v>
      </c>
      <c r="Q7" t="s">
        <v>1185</v>
      </c>
      <c r="R7" t="s">
        <v>1186</v>
      </c>
      <c r="S7" t="s">
        <v>17</v>
      </c>
      <c r="U7" t="s">
        <v>1173</v>
      </c>
      <c r="V7" t="s">
        <v>1187</v>
      </c>
      <c r="W7" t="s">
        <v>1174</v>
      </c>
      <c r="X7" t="s">
        <v>19</v>
      </c>
    </row>
    <row r="8" spans="2:33" x14ac:dyDescent="0.45">
      <c r="B8" t="s">
        <v>1188</v>
      </c>
      <c r="C8">
        <v>10.724859</v>
      </c>
      <c r="D8">
        <v>39.6</v>
      </c>
      <c r="E8">
        <v>0.99783999999999995</v>
      </c>
      <c r="H8" t="s">
        <v>1177</v>
      </c>
      <c r="I8" t="s">
        <v>27</v>
      </c>
      <c r="J8">
        <v>0.31498583285149673</v>
      </c>
      <c r="K8" t="s">
        <v>14</v>
      </c>
      <c r="P8" t="s">
        <v>1173</v>
      </c>
      <c r="Q8" t="s">
        <v>1189</v>
      </c>
      <c r="R8" t="s">
        <v>1190</v>
      </c>
      <c r="S8" t="s">
        <v>17</v>
      </c>
      <c r="U8" t="s">
        <v>1173</v>
      </c>
      <c r="V8" t="s">
        <v>1191</v>
      </c>
      <c r="W8" t="s">
        <v>1174</v>
      </c>
      <c r="X8" t="s">
        <v>19</v>
      </c>
    </row>
    <row r="9" spans="2:33" x14ac:dyDescent="0.45">
      <c r="B9" t="s">
        <v>1192</v>
      </c>
      <c r="C9">
        <v>0.5</v>
      </c>
      <c r="D9">
        <v>67.100000000000009</v>
      </c>
      <c r="E9">
        <v>0.99634</v>
      </c>
      <c r="H9" t="s">
        <v>1177</v>
      </c>
      <c r="I9" t="s">
        <v>36</v>
      </c>
      <c r="J9">
        <v>0.31498583285149673</v>
      </c>
      <c r="K9" t="s">
        <v>14</v>
      </c>
      <c r="P9" t="s">
        <v>1173</v>
      </c>
      <c r="Q9" t="s">
        <v>1193</v>
      </c>
      <c r="R9" t="s">
        <v>1194</v>
      </c>
      <c r="S9" t="s">
        <v>17</v>
      </c>
      <c r="U9" t="s">
        <v>1173</v>
      </c>
      <c r="V9" t="s">
        <v>1195</v>
      </c>
      <c r="W9" t="s">
        <v>1174</v>
      </c>
      <c r="X9" t="s">
        <v>19</v>
      </c>
    </row>
    <row r="10" spans="2:33" x14ac:dyDescent="0.45">
      <c r="B10" t="s">
        <v>1196</v>
      </c>
      <c r="C10">
        <v>10.579626000000001</v>
      </c>
      <c r="D10">
        <v>49.500000000000007</v>
      </c>
      <c r="E10">
        <v>0.99729999999999996</v>
      </c>
      <c r="H10" t="s">
        <v>1181</v>
      </c>
      <c r="I10" t="s">
        <v>13</v>
      </c>
      <c r="J10">
        <v>9.0592368259793388E-3</v>
      </c>
      <c r="K10" t="s">
        <v>14</v>
      </c>
      <c r="P10" t="s">
        <v>1173</v>
      </c>
      <c r="Q10" t="s">
        <v>1197</v>
      </c>
      <c r="R10" t="s">
        <v>1198</v>
      </c>
      <c r="S10" t="s">
        <v>17</v>
      </c>
      <c r="U10" t="s">
        <v>1173</v>
      </c>
      <c r="V10" t="s">
        <v>1199</v>
      </c>
      <c r="W10" t="s">
        <v>1174</v>
      </c>
      <c r="X10" t="s">
        <v>19</v>
      </c>
    </row>
    <row r="11" spans="2:33" x14ac:dyDescent="0.45">
      <c r="B11" t="s">
        <v>1200</v>
      </c>
      <c r="C11">
        <v>1.8433349999999999</v>
      </c>
      <c r="D11">
        <v>86.9</v>
      </c>
      <c r="E11">
        <v>0.99526000000000003</v>
      </c>
      <c r="H11" t="s">
        <v>1181</v>
      </c>
      <c r="I11" t="s">
        <v>27</v>
      </c>
      <c r="J11">
        <v>9.0592368259793388E-3</v>
      </c>
      <c r="K11" t="s">
        <v>14</v>
      </c>
      <c r="P11" t="s">
        <v>1173</v>
      </c>
      <c r="Q11" t="s">
        <v>1201</v>
      </c>
      <c r="R11" t="s">
        <v>1202</v>
      </c>
      <c r="S11" t="s">
        <v>17</v>
      </c>
      <c r="U11" t="s">
        <v>1173</v>
      </c>
      <c r="V11" t="s">
        <v>1203</v>
      </c>
      <c r="W11" t="s">
        <v>1174</v>
      </c>
      <c r="X11" t="s">
        <v>19</v>
      </c>
    </row>
    <row r="12" spans="2:33" x14ac:dyDescent="0.45">
      <c r="B12" t="s">
        <v>1204</v>
      </c>
      <c r="C12">
        <v>3.6866720000000002</v>
      </c>
      <c r="D12">
        <v>61.600000000000009</v>
      </c>
      <c r="E12">
        <v>0.99663999999999997</v>
      </c>
      <c r="H12" t="s">
        <v>1181</v>
      </c>
      <c r="I12" t="s">
        <v>36</v>
      </c>
      <c r="J12">
        <v>9.0592368259793388E-3</v>
      </c>
      <c r="K12" t="s">
        <v>14</v>
      </c>
      <c r="P12" t="s">
        <v>1173</v>
      </c>
      <c r="Q12" t="s">
        <v>1205</v>
      </c>
      <c r="R12" t="s">
        <v>1206</v>
      </c>
      <c r="S12" t="s">
        <v>17</v>
      </c>
      <c r="U12" t="s">
        <v>1173</v>
      </c>
      <c r="V12" t="s">
        <v>1207</v>
      </c>
      <c r="W12" t="s">
        <v>1174</v>
      </c>
      <c r="X12" t="s">
        <v>19</v>
      </c>
    </row>
    <row r="13" spans="2:33" x14ac:dyDescent="0.45">
      <c r="B13" t="s">
        <v>1208</v>
      </c>
      <c r="C13">
        <v>28.767199000000005</v>
      </c>
      <c r="D13">
        <v>38.5</v>
      </c>
      <c r="E13">
        <v>0.99790000000000001</v>
      </c>
      <c r="H13" t="s">
        <v>1185</v>
      </c>
      <c r="I13" t="s">
        <v>13</v>
      </c>
      <c r="J13">
        <v>5.4827743214435553E-5</v>
      </c>
      <c r="K13" t="s">
        <v>14</v>
      </c>
      <c r="P13" t="s">
        <v>1173</v>
      </c>
      <c r="Q13" t="s">
        <v>1209</v>
      </c>
      <c r="R13" t="s">
        <v>1210</v>
      </c>
      <c r="S13" t="s">
        <v>17</v>
      </c>
      <c r="U13" t="s">
        <v>1173</v>
      </c>
      <c r="V13" t="s">
        <v>1211</v>
      </c>
      <c r="W13" t="s">
        <v>1174</v>
      </c>
      <c r="X13" t="s">
        <v>19</v>
      </c>
    </row>
    <row r="14" spans="2:33" x14ac:dyDescent="0.45">
      <c r="B14" t="s">
        <v>1212</v>
      </c>
      <c r="C14">
        <v>10.724857999999999</v>
      </c>
      <c r="D14">
        <v>67.100000000000009</v>
      </c>
      <c r="E14">
        <v>0.99634</v>
      </c>
      <c r="H14" t="s">
        <v>1185</v>
      </c>
      <c r="I14" t="s">
        <v>27</v>
      </c>
      <c r="J14">
        <v>5.4827743214435553E-5</v>
      </c>
      <c r="K14" t="s">
        <v>14</v>
      </c>
      <c r="P14" t="s">
        <v>1173</v>
      </c>
      <c r="Q14" t="s">
        <v>1213</v>
      </c>
      <c r="R14" t="s">
        <v>1214</v>
      </c>
      <c r="S14" t="s">
        <v>17</v>
      </c>
      <c r="U14" t="s">
        <v>1173</v>
      </c>
      <c r="V14" t="s">
        <v>1215</v>
      </c>
      <c r="W14" t="s">
        <v>1174</v>
      </c>
      <c r="X14" t="s">
        <v>19</v>
      </c>
    </row>
    <row r="15" spans="2:33" x14ac:dyDescent="0.45">
      <c r="B15" t="s">
        <v>1216</v>
      </c>
      <c r="C15">
        <v>5.4182880000000004</v>
      </c>
      <c r="D15">
        <v>67.100000000000009</v>
      </c>
      <c r="E15">
        <v>0.99634</v>
      </c>
      <c r="H15" t="s">
        <v>1185</v>
      </c>
      <c r="I15" t="s">
        <v>36</v>
      </c>
      <c r="J15">
        <v>5.4827743214435553E-5</v>
      </c>
      <c r="K15" t="s">
        <v>14</v>
      </c>
      <c r="P15" t="s">
        <v>1173</v>
      </c>
      <c r="Q15" t="s">
        <v>1217</v>
      </c>
      <c r="R15" t="s">
        <v>1218</v>
      </c>
      <c r="S15" t="s">
        <v>17</v>
      </c>
      <c r="U15" t="s">
        <v>1173</v>
      </c>
      <c r="V15" t="s">
        <v>1215</v>
      </c>
      <c r="W15" t="s">
        <v>1219</v>
      </c>
      <c r="X15" t="s">
        <v>19</v>
      </c>
    </row>
    <row r="16" spans="2:33" x14ac:dyDescent="0.45">
      <c r="B16" t="s">
        <v>1220</v>
      </c>
      <c r="C16">
        <v>2.25</v>
      </c>
      <c r="D16">
        <v>437.8</v>
      </c>
      <c r="E16">
        <v>0.97611999999999999</v>
      </c>
      <c r="H16" t="s">
        <v>1189</v>
      </c>
      <c r="I16" t="s">
        <v>13</v>
      </c>
      <c r="J16">
        <v>7.9951818849885361E-3</v>
      </c>
      <c r="K16" t="s">
        <v>14</v>
      </c>
      <c r="P16" t="s">
        <v>1173</v>
      </c>
      <c r="Q16" t="s">
        <v>1221</v>
      </c>
      <c r="R16" t="s">
        <v>1222</v>
      </c>
      <c r="S16" t="s">
        <v>17</v>
      </c>
      <c r="U16" t="s">
        <v>1173</v>
      </c>
      <c r="V16" t="s">
        <v>1223</v>
      </c>
      <c r="W16" t="s">
        <v>1174</v>
      </c>
      <c r="X16" t="s">
        <v>19</v>
      </c>
    </row>
    <row r="17" spans="2:24" x14ac:dyDescent="0.45">
      <c r="B17" t="s">
        <v>1224</v>
      </c>
      <c r="C17">
        <v>3.5749529999999998</v>
      </c>
      <c r="D17">
        <v>46.2</v>
      </c>
      <c r="E17">
        <v>0.99748000000000003</v>
      </c>
      <c r="H17" t="s">
        <v>1189</v>
      </c>
      <c r="I17" t="s">
        <v>27</v>
      </c>
      <c r="J17">
        <v>7.9951818849885361E-3</v>
      </c>
      <c r="K17" t="s">
        <v>14</v>
      </c>
      <c r="P17" t="s">
        <v>1173</v>
      </c>
      <c r="Q17" t="s">
        <v>1225</v>
      </c>
      <c r="R17" t="s">
        <v>1226</v>
      </c>
      <c r="S17" t="s">
        <v>17</v>
      </c>
      <c r="U17" t="s">
        <v>1173</v>
      </c>
      <c r="V17" t="s">
        <v>1223</v>
      </c>
      <c r="W17" t="s">
        <v>1219</v>
      </c>
      <c r="X17" t="s">
        <v>19</v>
      </c>
    </row>
    <row r="18" spans="2:24" x14ac:dyDescent="0.45">
      <c r="B18" t="s">
        <v>1227</v>
      </c>
      <c r="C18">
        <v>3.5749520000000001</v>
      </c>
      <c r="D18">
        <v>40.700000000000003</v>
      </c>
      <c r="E18">
        <v>0.99778</v>
      </c>
      <c r="H18" t="s">
        <v>1189</v>
      </c>
      <c r="I18" t="s">
        <v>36</v>
      </c>
      <c r="J18">
        <v>7.9951818849885361E-3</v>
      </c>
      <c r="K18" t="s">
        <v>14</v>
      </c>
      <c r="P18" t="s">
        <v>1173</v>
      </c>
      <c r="Q18" t="s">
        <v>1228</v>
      </c>
      <c r="R18" t="s">
        <v>1229</v>
      </c>
      <c r="S18" t="s">
        <v>17</v>
      </c>
      <c r="U18" t="s">
        <v>1173</v>
      </c>
      <c r="V18" t="s">
        <v>1230</v>
      </c>
      <c r="W18" t="s">
        <v>1174</v>
      </c>
      <c r="X18" t="s">
        <v>19</v>
      </c>
    </row>
    <row r="19" spans="2:24" x14ac:dyDescent="0.45">
      <c r="B19" t="s">
        <v>1231</v>
      </c>
      <c r="C19">
        <v>7.1499050000000004</v>
      </c>
      <c r="D19">
        <v>34.1</v>
      </c>
      <c r="E19">
        <v>0.99814000000000003</v>
      </c>
      <c r="H19" t="s">
        <v>1193</v>
      </c>
      <c r="I19" t="s">
        <v>13</v>
      </c>
      <c r="J19">
        <v>5.8630158889752104E-3</v>
      </c>
      <c r="K19" t="s">
        <v>14</v>
      </c>
      <c r="P19" t="s">
        <v>1173</v>
      </c>
      <c r="Q19" t="s">
        <v>1232</v>
      </c>
      <c r="R19" t="s">
        <v>1174</v>
      </c>
      <c r="S19" t="s">
        <v>17</v>
      </c>
      <c r="U19" t="s">
        <v>1173</v>
      </c>
      <c r="V19" t="s">
        <v>1230</v>
      </c>
      <c r="W19" t="s">
        <v>1219</v>
      </c>
      <c r="X19" t="s">
        <v>19</v>
      </c>
    </row>
    <row r="20" spans="2:24" x14ac:dyDescent="0.45">
      <c r="B20" t="s">
        <v>1233</v>
      </c>
      <c r="C20">
        <v>10.099242</v>
      </c>
      <c r="D20">
        <v>99.000000000000014</v>
      </c>
      <c r="E20">
        <v>0.99460000000000004</v>
      </c>
      <c r="H20" t="s">
        <v>1193</v>
      </c>
      <c r="I20" t="s">
        <v>27</v>
      </c>
      <c r="J20">
        <v>5.8630158889752104E-3</v>
      </c>
      <c r="K20" t="s">
        <v>14</v>
      </c>
      <c r="P20" t="s">
        <v>1173</v>
      </c>
      <c r="Q20" t="s">
        <v>1234</v>
      </c>
      <c r="R20" t="s">
        <v>1178</v>
      </c>
      <c r="S20" t="s">
        <v>17</v>
      </c>
      <c r="U20" t="s">
        <v>1173</v>
      </c>
      <c r="V20" t="s">
        <v>1235</v>
      </c>
      <c r="W20" t="s">
        <v>1219</v>
      </c>
      <c r="X20" t="s">
        <v>19</v>
      </c>
    </row>
    <row r="21" spans="2:24" x14ac:dyDescent="0.45">
      <c r="B21" t="s">
        <v>1236</v>
      </c>
      <c r="C21">
        <v>10.836575999999999</v>
      </c>
      <c r="D21">
        <v>42.900000000000006</v>
      </c>
      <c r="E21">
        <v>0.99765999999999999</v>
      </c>
      <c r="H21" t="s">
        <v>1193</v>
      </c>
      <c r="I21" t="s">
        <v>36</v>
      </c>
      <c r="J21">
        <v>5.8630158889752104E-3</v>
      </c>
      <c r="K21" t="s">
        <v>14</v>
      </c>
      <c r="P21" t="s">
        <v>1173</v>
      </c>
      <c r="Q21" t="s">
        <v>1237</v>
      </c>
      <c r="R21" t="s">
        <v>1182</v>
      </c>
      <c r="S21" t="s">
        <v>17</v>
      </c>
      <c r="U21" t="s">
        <v>1173</v>
      </c>
      <c r="V21" t="s">
        <v>1238</v>
      </c>
      <c r="W21" t="s">
        <v>1219</v>
      </c>
      <c r="X21" t="s">
        <v>19</v>
      </c>
    </row>
    <row r="22" spans="2:24" x14ac:dyDescent="0.45">
      <c r="B22" t="s">
        <v>1239</v>
      </c>
      <c r="C22">
        <v>7.1499059999999997</v>
      </c>
      <c r="D22">
        <v>56.1</v>
      </c>
      <c r="E22">
        <v>0.99694000000000005</v>
      </c>
      <c r="H22" t="s">
        <v>1197</v>
      </c>
      <c r="I22" t="s">
        <v>13</v>
      </c>
      <c r="J22">
        <v>7.947846802618324E-3</v>
      </c>
      <c r="K22" t="s">
        <v>14</v>
      </c>
      <c r="P22" t="s">
        <v>1173</v>
      </c>
      <c r="Q22" t="s">
        <v>1240</v>
      </c>
      <c r="R22" t="s">
        <v>1186</v>
      </c>
      <c r="S22" t="s">
        <v>17</v>
      </c>
      <c r="U22" t="s">
        <v>1173</v>
      </c>
      <c r="V22" t="s">
        <v>1241</v>
      </c>
      <c r="W22" t="s">
        <v>1219</v>
      </c>
      <c r="X22" t="s">
        <v>19</v>
      </c>
    </row>
    <row r="23" spans="2:24" x14ac:dyDescent="0.45">
      <c r="B23" t="s">
        <v>1242</v>
      </c>
      <c r="C23">
        <v>3.686671</v>
      </c>
      <c r="D23">
        <v>17.600000000000001</v>
      </c>
      <c r="E23">
        <v>0.99904000000000004</v>
      </c>
      <c r="H23" t="s">
        <v>1197</v>
      </c>
      <c r="I23" t="s">
        <v>27</v>
      </c>
      <c r="J23">
        <v>7.947846802618324E-3</v>
      </c>
      <c r="K23" t="s">
        <v>14</v>
      </c>
      <c r="P23" t="s">
        <v>1173</v>
      </c>
      <c r="Q23" t="s">
        <v>1243</v>
      </c>
      <c r="R23" t="s">
        <v>1190</v>
      </c>
      <c r="S23" t="s">
        <v>17</v>
      </c>
      <c r="U23" t="s">
        <v>1173</v>
      </c>
      <c r="V23" t="s">
        <v>1241</v>
      </c>
      <c r="W23" t="s">
        <v>1174</v>
      </c>
      <c r="X23" t="s">
        <v>17</v>
      </c>
    </row>
    <row r="24" spans="2:24" x14ac:dyDescent="0.45">
      <c r="B24" t="s">
        <v>1244</v>
      </c>
      <c r="C24">
        <v>8.9932409999999994</v>
      </c>
      <c r="D24">
        <v>51.7</v>
      </c>
      <c r="E24">
        <v>0.99717999999999996</v>
      </c>
      <c r="H24" t="s">
        <v>1197</v>
      </c>
      <c r="I24" t="s">
        <v>36</v>
      </c>
      <c r="J24">
        <v>7.947846802618324E-3</v>
      </c>
      <c r="K24" t="s">
        <v>14</v>
      </c>
      <c r="P24" t="s">
        <v>1173</v>
      </c>
      <c r="Q24" t="s">
        <v>1245</v>
      </c>
      <c r="R24" t="s">
        <v>1194</v>
      </c>
      <c r="S24" t="s">
        <v>17</v>
      </c>
      <c r="U24" t="s">
        <v>1173</v>
      </c>
      <c r="V24" t="s">
        <v>1246</v>
      </c>
      <c r="W24" t="s">
        <v>1219</v>
      </c>
      <c r="X24" t="s">
        <v>19</v>
      </c>
    </row>
    <row r="25" spans="2:24" x14ac:dyDescent="0.45">
      <c r="B25" t="s">
        <v>1247</v>
      </c>
      <c r="C25">
        <v>0.92166800000000004</v>
      </c>
      <c r="D25">
        <v>52.800000000000004</v>
      </c>
      <c r="E25">
        <v>0.99712000000000001</v>
      </c>
      <c r="H25" t="s">
        <v>1201</v>
      </c>
      <c r="I25" t="s">
        <v>13</v>
      </c>
      <c r="J25">
        <v>3.7711390241672672E-2</v>
      </c>
      <c r="K25" t="s">
        <v>14</v>
      </c>
      <c r="P25" t="s">
        <v>1173</v>
      </c>
      <c r="Q25" t="s">
        <v>1248</v>
      </c>
      <c r="R25" t="s">
        <v>1198</v>
      </c>
      <c r="S25" t="s">
        <v>17</v>
      </c>
      <c r="U25" t="s">
        <v>1173</v>
      </c>
      <c r="V25" t="s">
        <v>1246</v>
      </c>
      <c r="W25" t="s">
        <v>1174</v>
      </c>
      <c r="X25" t="s">
        <v>17</v>
      </c>
    </row>
    <row r="26" spans="2:24" x14ac:dyDescent="0.45">
      <c r="B26" t="s">
        <v>1249</v>
      </c>
      <c r="C26">
        <v>4.0264470000000001</v>
      </c>
      <c r="D26">
        <v>177.10000000000002</v>
      </c>
      <c r="E26">
        <v>0.99034</v>
      </c>
      <c r="H26" t="s">
        <v>1201</v>
      </c>
      <c r="I26" t="s">
        <v>27</v>
      </c>
      <c r="J26">
        <v>3.7711390241672672E-2</v>
      </c>
      <c r="K26" t="s">
        <v>14</v>
      </c>
      <c r="P26" t="s">
        <v>1173</v>
      </c>
      <c r="Q26" t="s">
        <v>1250</v>
      </c>
      <c r="R26" t="s">
        <v>1202</v>
      </c>
      <c r="S26" t="s">
        <v>17</v>
      </c>
      <c r="U26" t="s">
        <v>1173</v>
      </c>
      <c r="V26" t="s">
        <v>1251</v>
      </c>
      <c r="W26" t="s">
        <v>1178</v>
      </c>
      <c r="X26" t="s">
        <v>19</v>
      </c>
    </row>
    <row r="27" spans="2:24" x14ac:dyDescent="0.45">
      <c r="B27" t="s">
        <v>1252</v>
      </c>
      <c r="C27">
        <v>0.6</v>
      </c>
      <c r="D27">
        <v>310.20000000000005</v>
      </c>
      <c r="E27">
        <v>0.98307999999999995</v>
      </c>
      <c r="H27" t="s">
        <v>1201</v>
      </c>
      <c r="I27" t="s">
        <v>36</v>
      </c>
      <c r="J27">
        <v>3.7711390241672672E-2</v>
      </c>
      <c r="K27" t="s">
        <v>14</v>
      </c>
      <c r="P27" t="s">
        <v>1173</v>
      </c>
      <c r="Q27" t="s">
        <v>1253</v>
      </c>
      <c r="R27" t="s">
        <v>1206</v>
      </c>
      <c r="S27" t="s">
        <v>17</v>
      </c>
      <c r="U27" t="s">
        <v>1173</v>
      </c>
      <c r="V27" t="s">
        <v>1254</v>
      </c>
      <c r="W27" t="s">
        <v>1178</v>
      </c>
      <c r="X27" t="s">
        <v>19</v>
      </c>
    </row>
    <row r="28" spans="2:24" x14ac:dyDescent="0.45">
      <c r="H28" t="s">
        <v>1205</v>
      </c>
      <c r="I28" t="s">
        <v>13</v>
      </c>
      <c r="J28">
        <v>3.6057365639975344E-2</v>
      </c>
      <c r="K28" t="s">
        <v>14</v>
      </c>
      <c r="P28" t="s">
        <v>1173</v>
      </c>
      <c r="Q28" t="s">
        <v>1255</v>
      </c>
      <c r="R28" t="s">
        <v>1210</v>
      </c>
      <c r="S28" t="s">
        <v>17</v>
      </c>
      <c r="U28" t="s">
        <v>1173</v>
      </c>
      <c r="V28" t="s">
        <v>1256</v>
      </c>
      <c r="W28" t="s">
        <v>1178</v>
      </c>
      <c r="X28" t="s">
        <v>19</v>
      </c>
    </row>
    <row r="29" spans="2:24" x14ac:dyDescent="0.45">
      <c r="H29" t="s">
        <v>1205</v>
      </c>
      <c r="I29" t="s">
        <v>27</v>
      </c>
      <c r="J29">
        <v>3.6057365639975344E-2</v>
      </c>
      <c r="K29" t="s">
        <v>14</v>
      </c>
      <c r="P29" t="s">
        <v>1173</v>
      </c>
      <c r="Q29" t="s">
        <v>1257</v>
      </c>
      <c r="R29" t="s">
        <v>1214</v>
      </c>
      <c r="S29" t="s">
        <v>17</v>
      </c>
      <c r="U29" t="s">
        <v>1173</v>
      </c>
      <c r="V29" t="s">
        <v>1258</v>
      </c>
      <c r="W29" t="s">
        <v>1178</v>
      </c>
      <c r="X29" t="s">
        <v>19</v>
      </c>
    </row>
    <row r="30" spans="2:24" x14ac:dyDescent="0.45">
      <c r="H30" t="s">
        <v>1205</v>
      </c>
      <c r="I30" t="s">
        <v>36</v>
      </c>
      <c r="J30">
        <v>3.6057365639975344E-2</v>
      </c>
      <c r="K30" t="s">
        <v>14</v>
      </c>
      <c r="P30" t="s">
        <v>1173</v>
      </c>
      <c r="Q30" t="s">
        <v>1259</v>
      </c>
      <c r="R30" t="s">
        <v>1218</v>
      </c>
      <c r="S30" t="s">
        <v>17</v>
      </c>
      <c r="U30" t="s">
        <v>1173</v>
      </c>
      <c r="V30" t="s">
        <v>1260</v>
      </c>
      <c r="W30" t="s">
        <v>1178</v>
      </c>
      <c r="X30" t="s">
        <v>19</v>
      </c>
    </row>
    <row r="31" spans="2:24" x14ac:dyDescent="0.45">
      <c r="H31" t="s">
        <v>1209</v>
      </c>
      <c r="I31" t="s">
        <v>13</v>
      </c>
      <c r="J31">
        <v>0.1825379478489097</v>
      </c>
      <c r="K31" t="s">
        <v>14</v>
      </c>
      <c r="P31" t="s">
        <v>1173</v>
      </c>
      <c r="Q31" t="s">
        <v>1261</v>
      </c>
      <c r="R31" t="s">
        <v>1222</v>
      </c>
      <c r="S31" t="s">
        <v>17</v>
      </c>
      <c r="U31" t="s">
        <v>1173</v>
      </c>
      <c r="V31" t="s">
        <v>1262</v>
      </c>
      <c r="W31" t="s">
        <v>1178</v>
      </c>
      <c r="X31" t="s">
        <v>19</v>
      </c>
    </row>
    <row r="32" spans="2:24" x14ac:dyDescent="0.45">
      <c r="H32" t="s">
        <v>1209</v>
      </c>
      <c r="I32" t="s">
        <v>27</v>
      </c>
      <c r="J32">
        <v>0.1825379478489097</v>
      </c>
      <c r="K32" t="s">
        <v>14</v>
      </c>
      <c r="P32" t="s">
        <v>1173</v>
      </c>
      <c r="Q32" t="s">
        <v>1263</v>
      </c>
      <c r="R32" t="s">
        <v>1226</v>
      </c>
      <c r="S32" t="s">
        <v>17</v>
      </c>
      <c r="U32" t="s">
        <v>1173</v>
      </c>
      <c r="V32" t="s">
        <v>1264</v>
      </c>
      <c r="W32" t="s">
        <v>1178</v>
      </c>
      <c r="X32" t="s">
        <v>19</v>
      </c>
    </row>
    <row r="33" spans="8:24" x14ac:dyDescent="0.45">
      <c r="H33" t="s">
        <v>1209</v>
      </c>
      <c r="I33" t="s">
        <v>36</v>
      </c>
      <c r="J33">
        <v>0.1825379478489097</v>
      </c>
      <c r="K33" t="s">
        <v>14</v>
      </c>
      <c r="P33" t="s">
        <v>1173</v>
      </c>
      <c r="Q33" t="s">
        <v>1265</v>
      </c>
      <c r="R33" t="s">
        <v>1229</v>
      </c>
      <c r="S33" t="s">
        <v>17</v>
      </c>
      <c r="U33" t="s">
        <v>1173</v>
      </c>
      <c r="V33" t="s">
        <v>1266</v>
      </c>
      <c r="W33" t="s">
        <v>1178</v>
      </c>
      <c r="X33" t="s">
        <v>19</v>
      </c>
    </row>
    <row r="34" spans="8:24" x14ac:dyDescent="0.45">
      <c r="H34" t="s">
        <v>1213</v>
      </c>
      <c r="I34" t="s">
        <v>13</v>
      </c>
      <c r="J34">
        <v>2.2195078597178476E-3</v>
      </c>
      <c r="K34" t="s">
        <v>14</v>
      </c>
      <c r="P34" t="s">
        <v>1173</v>
      </c>
      <c r="Q34" t="s">
        <v>1267</v>
      </c>
      <c r="R34" t="s">
        <v>1174</v>
      </c>
      <c r="S34" t="s">
        <v>17</v>
      </c>
      <c r="U34" t="s">
        <v>1173</v>
      </c>
      <c r="V34" t="s">
        <v>1268</v>
      </c>
      <c r="W34" t="s">
        <v>1178</v>
      </c>
      <c r="X34" t="s">
        <v>19</v>
      </c>
    </row>
    <row r="35" spans="8:24" x14ac:dyDescent="0.45">
      <c r="H35" t="s">
        <v>1213</v>
      </c>
      <c r="I35" t="s">
        <v>27</v>
      </c>
      <c r="J35">
        <v>2.2195078597178476E-3</v>
      </c>
      <c r="K35" t="s">
        <v>14</v>
      </c>
      <c r="P35" t="s">
        <v>1173</v>
      </c>
      <c r="Q35" t="s">
        <v>1269</v>
      </c>
      <c r="R35" t="s">
        <v>1178</v>
      </c>
      <c r="S35" t="s">
        <v>17</v>
      </c>
      <c r="U35" t="s">
        <v>1173</v>
      </c>
      <c r="V35" t="s">
        <v>1270</v>
      </c>
      <c r="W35" t="s">
        <v>1178</v>
      </c>
      <c r="X35" t="s">
        <v>19</v>
      </c>
    </row>
    <row r="36" spans="8:24" x14ac:dyDescent="0.45">
      <c r="H36" t="s">
        <v>1213</v>
      </c>
      <c r="I36" t="s">
        <v>36</v>
      </c>
      <c r="J36">
        <v>2.2195078597178476E-3</v>
      </c>
      <c r="K36" t="s">
        <v>14</v>
      </c>
      <c r="P36" t="s">
        <v>1173</v>
      </c>
      <c r="Q36" t="s">
        <v>1271</v>
      </c>
      <c r="R36" t="s">
        <v>1182</v>
      </c>
      <c r="S36" t="s">
        <v>17</v>
      </c>
      <c r="U36" t="s">
        <v>1173</v>
      </c>
      <c r="V36" t="s">
        <v>1272</v>
      </c>
      <c r="W36" t="s">
        <v>1178</v>
      </c>
      <c r="X36" t="s">
        <v>19</v>
      </c>
    </row>
    <row r="37" spans="8:24" x14ac:dyDescent="0.45">
      <c r="H37" t="s">
        <v>1217</v>
      </c>
      <c r="I37" t="s">
        <v>13</v>
      </c>
      <c r="J37">
        <v>0.13233742448566777</v>
      </c>
      <c r="K37" t="s">
        <v>14</v>
      </c>
      <c r="P37" t="s">
        <v>1173</v>
      </c>
      <c r="Q37" t="s">
        <v>1273</v>
      </c>
      <c r="R37" t="s">
        <v>1186</v>
      </c>
      <c r="S37" t="s">
        <v>17</v>
      </c>
      <c r="U37" t="s">
        <v>1173</v>
      </c>
      <c r="V37" t="s">
        <v>1272</v>
      </c>
      <c r="W37" t="s">
        <v>1274</v>
      </c>
      <c r="X37" t="s">
        <v>19</v>
      </c>
    </row>
    <row r="38" spans="8:24" x14ac:dyDescent="0.45">
      <c r="H38" t="s">
        <v>1217</v>
      </c>
      <c r="I38" t="s">
        <v>27</v>
      </c>
      <c r="J38">
        <v>0.13233742448566777</v>
      </c>
      <c r="K38" t="s">
        <v>14</v>
      </c>
      <c r="P38" t="s">
        <v>1173</v>
      </c>
      <c r="Q38" t="s">
        <v>1275</v>
      </c>
      <c r="R38" t="s">
        <v>1190</v>
      </c>
      <c r="S38" t="s">
        <v>17</v>
      </c>
      <c r="U38" t="s">
        <v>1173</v>
      </c>
      <c r="V38" t="s">
        <v>1276</v>
      </c>
      <c r="W38" t="s">
        <v>1178</v>
      </c>
      <c r="X38" t="s">
        <v>19</v>
      </c>
    </row>
    <row r="39" spans="8:24" x14ac:dyDescent="0.45">
      <c r="H39" t="s">
        <v>1217</v>
      </c>
      <c r="I39" t="s">
        <v>36</v>
      </c>
      <c r="J39">
        <v>0.13233742448566777</v>
      </c>
      <c r="K39" t="s">
        <v>14</v>
      </c>
      <c r="P39" t="s">
        <v>1173</v>
      </c>
      <c r="Q39" t="s">
        <v>1277</v>
      </c>
      <c r="R39" t="s">
        <v>1194</v>
      </c>
      <c r="S39" t="s">
        <v>17</v>
      </c>
      <c r="U39" t="s">
        <v>1173</v>
      </c>
      <c r="V39" t="s">
        <v>1276</v>
      </c>
      <c r="W39" t="s">
        <v>1274</v>
      </c>
      <c r="X39" t="s">
        <v>19</v>
      </c>
    </row>
    <row r="40" spans="8:24" x14ac:dyDescent="0.45">
      <c r="H40" t="s">
        <v>1221</v>
      </c>
      <c r="I40" t="s">
        <v>13</v>
      </c>
      <c r="J40">
        <v>4.735852940197284E-2</v>
      </c>
      <c r="K40" t="s">
        <v>14</v>
      </c>
      <c r="P40" t="s">
        <v>1173</v>
      </c>
      <c r="Q40" t="s">
        <v>1278</v>
      </c>
      <c r="R40" t="s">
        <v>1198</v>
      </c>
      <c r="S40" t="s">
        <v>17</v>
      </c>
      <c r="U40" t="s">
        <v>1173</v>
      </c>
      <c r="V40" t="s">
        <v>1279</v>
      </c>
      <c r="W40" t="s">
        <v>1178</v>
      </c>
      <c r="X40" t="s">
        <v>19</v>
      </c>
    </row>
    <row r="41" spans="8:24" x14ac:dyDescent="0.45">
      <c r="H41" t="s">
        <v>1221</v>
      </c>
      <c r="I41" t="s">
        <v>27</v>
      </c>
      <c r="J41">
        <v>4.735852940197284E-2</v>
      </c>
      <c r="K41" t="s">
        <v>14</v>
      </c>
      <c r="P41" t="s">
        <v>1173</v>
      </c>
      <c r="Q41" t="s">
        <v>1280</v>
      </c>
      <c r="R41" t="s">
        <v>1202</v>
      </c>
      <c r="S41" t="s">
        <v>17</v>
      </c>
      <c r="U41" t="s">
        <v>1173</v>
      </c>
      <c r="V41" t="s">
        <v>1279</v>
      </c>
      <c r="W41" t="s">
        <v>1274</v>
      </c>
      <c r="X41" t="s">
        <v>19</v>
      </c>
    </row>
    <row r="42" spans="8:24" x14ac:dyDescent="0.45">
      <c r="H42" t="s">
        <v>1221</v>
      </c>
      <c r="I42" t="s">
        <v>36</v>
      </c>
      <c r="J42">
        <v>4.735852940197284E-2</v>
      </c>
      <c r="K42" t="s">
        <v>14</v>
      </c>
      <c r="P42" t="s">
        <v>1173</v>
      </c>
      <c r="Q42" t="s">
        <v>1281</v>
      </c>
      <c r="R42" t="s">
        <v>1206</v>
      </c>
      <c r="S42" t="s">
        <v>17</v>
      </c>
      <c r="U42" t="s">
        <v>1173</v>
      </c>
      <c r="V42" t="s">
        <v>1282</v>
      </c>
      <c r="W42" t="s">
        <v>1274</v>
      </c>
      <c r="X42" t="s">
        <v>19</v>
      </c>
    </row>
    <row r="43" spans="8:24" x14ac:dyDescent="0.45">
      <c r="H43" t="s">
        <v>1225</v>
      </c>
      <c r="I43" t="s">
        <v>13</v>
      </c>
      <c r="J43">
        <v>8.6134407268121896E-2</v>
      </c>
      <c r="K43" t="s">
        <v>14</v>
      </c>
      <c r="P43" t="s">
        <v>1173</v>
      </c>
      <c r="Q43" t="s">
        <v>1283</v>
      </c>
      <c r="R43" t="s">
        <v>1210</v>
      </c>
      <c r="S43" t="s">
        <v>17</v>
      </c>
      <c r="U43" t="s">
        <v>1173</v>
      </c>
      <c r="V43" t="s">
        <v>1284</v>
      </c>
      <c r="W43" t="s">
        <v>1274</v>
      </c>
      <c r="X43" t="s">
        <v>19</v>
      </c>
    </row>
    <row r="44" spans="8:24" x14ac:dyDescent="0.45">
      <c r="H44" t="s">
        <v>1225</v>
      </c>
      <c r="I44" t="s">
        <v>27</v>
      </c>
      <c r="J44">
        <v>8.6134407268121896E-2</v>
      </c>
      <c r="K44" t="s">
        <v>14</v>
      </c>
      <c r="P44" t="s">
        <v>1173</v>
      </c>
      <c r="Q44" t="s">
        <v>1285</v>
      </c>
      <c r="R44" t="s">
        <v>1214</v>
      </c>
      <c r="S44" t="s">
        <v>17</v>
      </c>
      <c r="U44" t="s">
        <v>1173</v>
      </c>
      <c r="V44" t="s">
        <v>1286</v>
      </c>
      <c r="W44" t="s">
        <v>1274</v>
      </c>
      <c r="X44" t="s">
        <v>19</v>
      </c>
    </row>
    <row r="45" spans="8:24" x14ac:dyDescent="0.45">
      <c r="H45" t="s">
        <v>1225</v>
      </c>
      <c r="I45" t="s">
        <v>36</v>
      </c>
      <c r="J45">
        <v>8.6134407268121896E-2</v>
      </c>
      <c r="K45" t="s">
        <v>14</v>
      </c>
      <c r="P45" t="s">
        <v>1173</v>
      </c>
      <c r="Q45" t="s">
        <v>1287</v>
      </c>
      <c r="R45" t="s">
        <v>1218</v>
      </c>
      <c r="S45" t="s">
        <v>17</v>
      </c>
      <c r="U45" t="s">
        <v>1173</v>
      </c>
      <c r="V45" t="s">
        <v>1286</v>
      </c>
      <c r="W45" t="s">
        <v>1178</v>
      </c>
      <c r="X45" t="s">
        <v>17</v>
      </c>
    </row>
    <row r="46" spans="8:24" x14ac:dyDescent="0.45">
      <c r="H46" t="s">
        <v>1232</v>
      </c>
      <c r="I46" t="s">
        <v>13</v>
      </c>
      <c r="J46">
        <v>0.10973748525668876</v>
      </c>
      <c r="K46" t="s">
        <v>14</v>
      </c>
      <c r="P46" t="s">
        <v>1173</v>
      </c>
      <c r="Q46" t="s">
        <v>1288</v>
      </c>
      <c r="R46" t="s">
        <v>1222</v>
      </c>
      <c r="S46" t="s">
        <v>17</v>
      </c>
      <c r="U46" t="s">
        <v>1173</v>
      </c>
      <c r="V46" t="s">
        <v>1289</v>
      </c>
      <c r="W46" t="s">
        <v>1274</v>
      </c>
      <c r="X46" t="s">
        <v>19</v>
      </c>
    </row>
    <row r="47" spans="8:24" x14ac:dyDescent="0.45">
      <c r="H47" t="s">
        <v>1232</v>
      </c>
      <c r="I47" t="s">
        <v>27</v>
      </c>
      <c r="J47">
        <v>0.10973748525668876</v>
      </c>
      <c r="K47" t="s">
        <v>14</v>
      </c>
      <c r="P47" t="s">
        <v>1173</v>
      </c>
      <c r="Q47" t="s">
        <v>1290</v>
      </c>
      <c r="R47" t="s">
        <v>1226</v>
      </c>
      <c r="S47" t="s">
        <v>17</v>
      </c>
      <c r="U47" t="s">
        <v>1173</v>
      </c>
      <c r="V47" t="s">
        <v>1289</v>
      </c>
      <c r="W47" t="s">
        <v>1178</v>
      </c>
      <c r="X47" t="s">
        <v>17</v>
      </c>
    </row>
    <row r="48" spans="8:24" x14ac:dyDescent="0.45">
      <c r="H48" t="s">
        <v>1232</v>
      </c>
      <c r="I48" t="s">
        <v>36</v>
      </c>
      <c r="J48">
        <v>0.10973748525668876</v>
      </c>
      <c r="K48" t="s">
        <v>14</v>
      </c>
      <c r="P48" t="s">
        <v>1173</v>
      </c>
      <c r="Q48" t="s">
        <v>1291</v>
      </c>
      <c r="R48" t="s">
        <v>1229</v>
      </c>
      <c r="S48" t="s">
        <v>17</v>
      </c>
      <c r="U48" t="s">
        <v>1173</v>
      </c>
      <c r="V48" t="s">
        <v>1292</v>
      </c>
      <c r="W48" t="s">
        <v>1182</v>
      </c>
      <c r="X48" t="s">
        <v>19</v>
      </c>
    </row>
    <row r="49" spans="8:24" x14ac:dyDescent="0.45">
      <c r="H49" t="s">
        <v>1234</v>
      </c>
      <c r="I49" t="s">
        <v>13</v>
      </c>
      <c r="J49">
        <v>0.31498583285149673</v>
      </c>
      <c r="K49" t="s">
        <v>14</v>
      </c>
      <c r="P49" t="s">
        <v>1173</v>
      </c>
      <c r="Q49" t="s">
        <v>1293</v>
      </c>
      <c r="R49" t="s">
        <v>1174</v>
      </c>
      <c r="S49" t="s">
        <v>17</v>
      </c>
      <c r="U49" t="s">
        <v>1173</v>
      </c>
      <c r="V49" t="s">
        <v>1294</v>
      </c>
      <c r="W49" t="s">
        <v>1182</v>
      </c>
      <c r="X49" t="s">
        <v>19</v>
      </c>
    </row>
    <row r="50" spans="8:24" x14ac:dyDescent="0.45">
      <c r="H50" t="s">
        <v>1234</v>
      </c>
      <c r="I50" t="s">
        <v>27</v>
      </c>
      <c r="J50">
        <v>0.31498583285149673</v>
      </c>
      <c r="K50" t="s">
        <v>14</v>
      </c>
      <c r="P50" t="s">
        <v>1173</v>
      </c>
      <c r="Q50" t="s">
        <v>1295</v>
      </c>
      <c r="R50" t="s">
        <v>1178</v>
      </c>
      <c r="S50" t="s">
        <v>17</v>
      </c>
      <c r="U50" t="s">
        <v>1173</v>
      </c>
      <c r="V50" t="s">
        <v>1296</v>
      </c>
      <c r="W50" t="s">
        <v>1182</v>
      </c>
      <c r="X50" t="s">
        <v>19</v>
      </c>
    </row>
    <row r="51" spans="8:24" x14ac:dyDescent="0.45">
      <c r="H51" t="s">
        <v>1234</v>
      </c>
      <c r="I51" t="s">
        <v>36</v>
      </c>
      <c r="J51">
        <v>0.31498583285149673</v>
      </c>
      <c r="K51" t="s">
        <v>14</v>
      </c>
      <c r="P51" t="s">
        <v>1173</v>
      </c>
      <c r="Q51" t="s">
        <v>1297</v>
      </c>
      <c r="R51" t="s">
        <v>1182</v>
      </c>
      <c r="S51" t="s">
        <v>17</v>
      </c>
      <c r="U51" t="s">
        <v>1173</v>
      </c>
      <c r="V51" t="s">
        <v>1298</v>
      </c>
      <c r="W51" t="s">
        <v>1182</v>
      </c>
      <c r="X51" t="s">
        <v>19</v>
      </c>
    </row>
    <row r="52" spans="8:24" x14ac:dyDescent="0.45">
      <c r="H52" t="s">
        <v>1237</v>
      </c>
      <c r="I52" t="s">
        <v>13</v>
      </c>
      <c r="J52">
        <v>9.0592368259793388E-3</v>
      </c>
      <c r="K52" t="s">
        <v>14</v>
      </c>
      <c r="P52" t="s">
        <v>1173</v>
      </c>
      <c r="Q52" t="s">
        <v>1299</v>
      </c>
      <c r="R52" t="s">
        <v>1186</v>
      </c>
      <c r="S52" t="s">
        <v>17</v>
      </c>
      <c r="U52" t="s">
        <v>1173</v>
      </c>
      <c r="V52" t="s">
        <v>1300</v>
      </c>
      <c r="W52" t="s">
        <v>1182</v>
      </c>
      <c r="X52" t="s">
        <v>19</v>
      </c>
    </row>
    <row r="53" spans="8:24" x14ac:dyDescent="0.45">
      <c r="H53" t="s">
        <v>1237</v>
      </c>
      <c r="I53" t="s">
        <v>27</v>
      </c>
      <c r="J53">
        <v>9.0592368259793388E-3</v>
      </c>
      <c r="K53" t="s">
        <v>14</v>
      </c>
      <c r="P53" t="s">
        <v>1173</v>
      </c>
      <c r="Q53" t="s">
        <v>1301</v>
      </c>
      <c r="R53" t="s">
        <v>1190</v>
      </c>
      <c r="S53" t="s">
        <v>17</v>
      </c>
      <c r="U53" t="s">
        <v>1173</v>
      </c>
      <c r="V53" t="s">
        <v>1302</v>
      </c>
      <c r="W53" t="s">
        <v>1182</v>
      </c>
      <c r="X53" t="s">
        <v>19</v>
      </c>
    </row>
    <row r="54" spans="8:24" x14ac:dyDescent="0.45">
      <c r="H54" t="s">
        <v>1237</v>
      </c>
      <c r="I54" t="s">
        <v>36</v>
      </c>
      <c r="J54">
        <v>9.0592368259793388E-3</v>
      </c>
      <c r="K54" t="s">
        <v>14</v>
      </c>
      <c r="P54" t="s">
        <v>1173</v>
      </c>
      <c r="Q54" t="s">
        <v>1303</v>
      </c>
      <c r="R54" t="s">
        <v>1194</v>
      </c>
      <c r="S54" t="s">
        <v>17</v>
      </c>
      <c r="U54" t="s">
        <v>1173</v>
      </c>
      <c r="V54" t="s">
        <v>1304</v>
      </c>
      <c r="W54" t="s">
        <v>1182</v>
      </c>
      <c r="X54" t="s">
        <v>19</v>
      </c>
    </row>
    <row r="55" spans="8:24" x14ac:dyDescent="0.45">
      <c r="H55" t="s">
        <v>1240</v>
      </c>
      <c r="I55" t="s">
        <v>13</v>
      </c>
      <c r="J55">
        <v>5.4827743214435553E-5</v>
      </c>
      <c r="K55" t="s">
        <v>14</v>
      </c>
      <c r="P55" t="s">
        <v>1173</v>
      </c>
      <c r="Q55" t="s">
        <v>1305</v>
      </c>
      <c r="R55" t="s">
        <v>1198</v>
      </c>
      <c r="S55" t="s">
        <v>17</v>
      </c>
      <c r="U55" t="s">
        <v>1173</v>
      </c>
      <c r="V55" t="s">
        <v>1306</v>
      </c>
      <c r="W55" t="s">
        <v>1182</v>
      </c>
      <c r="X55" t="s">
        <v>19</v>
      </c>
    </row>
    <row r="56" spans="8:24" x14ac:dyDescent="0.45">
      <c r="H56" t="s">
        <v>1240</v>
      </c>
      <c r="I56" t="s">
        <v>27</v>
      </c>
      <c r="J56">
        <v>5.4827743214435553E-5</v>
      </c>
      <c r="K56" t="s">
        <v>14</v>
      </c>
      <c r="P56" t="s">
        <v>1173</v>
      </c>
      <c r="Q56" t="s">
        <v>1307</v>
      </c>
      <c r="R56" t="s">
        <v>1202</v>
      </c>
      <c r="S56" t="s">
        <v>17</v>
      </c>
      <c r="U56" t="s">
        <v>1173</v>
      </c>
      <c r="V56" t="s">
        <v>1308</v>
      </c>
      <c r="W56" t="s">
        <v>1182</v>
      </c>
      <c r="X56" t="s">
        <v>19</v>
      </c>
    </row>
    <row r="57" spans="8:24" x14ac:dyDescent="0.45">
      <c r="H57" t="s">
        <v>1240</v>
      </c>
      <c r="I57" t="s">
        <v>36</v>
      </c>
      <c r="J57">
        <v>5.4827743214435553E-5</v>
      </c>
      <c r="K57" t="s">
        <v>14</v>
      </c>
      <c r="P57" t="s">
        <v>1173</v>
      </c>
      <c r="Q57" t="s">
        <v>1309</v>
      </c>
      <c r="R57" t="s">
        <v>1206</v>
      </c>
      <c r="S57" t="s">
        <v>17</v>
      </c>
      <c r="U57" t="s">
        <v>1173</v>
      </c>
      <c r="V57" t="s">
        <v>1310</v>
      </c>
      <c r="W57" t="s">
        <v>1182</v>
      </c>
      <c r="X57" t="s">
        <v>19</v>
      </c>
    </row>
    <row r="58" spans="8:24" x14ac:dyDescent="0.45">
      <c r="H58" t="s">
        <v>1243</v>
      </c>
      <c r="I58" t="s">
        <v>13</v>
      </c>
      <c r="J58">
        <v>7.9951818849885361E-3</v>
      </c>
      <c r="K58" t="s">
        <v>14</v>
      </c>
      <c r="P58" t="s">
        <v>1173</v>
      </c>
      <c r="Q58" t="s">
        <v>1311</v>
      </c>
      <c r="R58" t="s">
        <v>1210</v>
      </c>
      <c r="S58" t="s">
        <v>17</v>
      </c>
      <c r="U58" t="s">
        <v>1173</v>
      </c>
      <c r="V58" t="s">
        <v>1312</v>
      </c>
      <c r="W58" t="s">
        <v>1182</v>
      </c>
      <c r="X58" t="s">
        <v>19</v>
      </c>
    </row>
    <row r="59" spans="8:24" x14ac:dyDescent="0.45">
      <c r="H59" t="s">
        <v>1243</v>
      </c>
      <c r="I59" t="s">
        <v>27</v>
      </c>
      <c r="J59">
        <v>7.9951818849885361E-3</v>
      </c>
      <c r="K59" t="s">
        <v>14</v>
      </c>
      <c r="P59" t="s">
        <v>1173</v>
      </c>
      <c r="Q59" t="s">
        <v>1313</v>
      </c>
      <c r="R59" t="s">
        <v>1214</v>
      </c>
      <c r="S59" t="s">
        <v>17</v>
      </c>
      <c r="U59" t="s">
        <v>1173</v>
      </c>
      <c r="V59" t="s">
        <v>1312</v>
      </c>
      <c r="W59" t="s">
        <v>1314</v>
      </c>
      <c r="X59" t="s">
        <v>19</v>
      </c>
    </row>
    <row r="60" spans="8:24" x14ac:dyDescent="0.45">
      <c r="H60" t="s">
        <v>1243</v>
      </c>
      <c r="I60" t="s">
        <v>36</v>
      </c>
      <c r="J60">
        <v>7.9951818849885361E-3</v>
      </c>
      <c r="K60" t="s">
        <v>14</v>
      </c>
      <c r="P60" t="s">
        <v>1173</v>
      </c>
      <c r="Q60" t="s">
        <v>1315</v>
      </c>
      <c r="R60" t="s">
        <v>1218</v>
      </c>
      <c r="S60" t="s">
        <v>17</v>
      </c>
      <c r="U60" t="s">
        <v>1173</v>
      </c>
      <c r="V60" t="s">
        <v>1316</v>
      </c>
      <c r="W60" t="s">
        <v>1182</v>
      </c>
      <c r="X60" t="s">
        <v>19</v>
      </c>
    </row>
    <row r="61" spans="8:24" x14ac:dyDescent="0.45">
      <c r="H61" t="s">
        <v>1245</v>
      </c>
      <c r="I61" t="s">
        <v>13</v>
      </c>
      <c r="J61">
        <v>5.8630158889752104E-3</v>
      </c>
      <c r="K61" t="s">
        <v>14</v>
      </c>
      <c r="P61" t="s">
        <v>1173</v>
      </c>
      <c r="Q61" t="s">
        <v>1317</v>
      </c>
      <c r="R61" t="s">
        <v>1222</v>
      </c>
      <c r="S61" t="s">
        <v>17</v>
      </c>
      <c r="U61" t="s">
        <v>1173</v>
      </c>
      <c r="V61" t="s">
        <v>1316</v>
      </c>
      <c r="W61" t="s">
        <v>1314</v>
      </c>
      <c r="X61" t="s">
        <v>19</v>
      </c>
    </row>
    <row r="62" spans="8:24" x14ac:dyDescent="0.45">
      <c r="H62" t="s">
        <v>1245</v>
      </c>
      <c r="I62" t="s">
        <v>27</v>
      </c>
      <c r="J62">
        <v>5.8630158889752104E-3</v>
      </c>
      <c r="K62" t="s">
        <v>14</v>
      </c>
      <c r="P62" t="s">
        <v>1173</v>
      </c>
      <c r="Q62" t="s">
        <v>1318</v>
      </c>
      <c r="R62" t="s">
        <v>1226</v>
      </c>
      <c r="S62" t="s">
        <v>17</v>
      </c>
      <c r="U62" t="s">
        <v>1173</v>
      </c>
      <c r="V62" t="s">
        <v>1319</v>
      </c>
      <c r="W62" t="s">
        <v>1182</v>
      </c>
      <c r="X62" t="s">
        <v>19</v>
      </c>
    </row>
    <row r="63" spans="8:24" x14ac:dyDescent="0.45">
      <c r="H63" t="s">
        <v>1245</v>
      </c>
      <c r="I63" t="s">
        <v>36</v>
      </c>
      <c r="J63">
        <v>5.8630158889752104E-3</v>
      </c>
      <c r="K63" t="s">
        <v>14</v>
      </c>
      <c r="P63" t="s">
        <v>1173</v>
      </c>
      <c r="Q63" t="s">
        <v>1320</v>
      </c>
      <c r="R63" t="s">
        <v>1229</v>
      </c>
      <c r="S63" t="s">
        <v>17</v>
      </c>
      <c r="U63" t="s">
        <v>1173</v>
      </c>
      <c r="V63" t="s">
        <v>1319</v>
      </c>
      <c r="W63" t="s">
        <v>1314</v>
      </c>
      <c r="X63" t="s">
        <v>19</v>
      </c>
    </row>
    <row r="64" spans="8:24" x14ac:dyDescent="0.45">
      <c r="H64" t="s">
        <v>1248</v>
      </c>
      <c r="I64" t="s">
        <v>13</v>
      </c>
      <c r="J64">
        <v>7.947846802618324E-3</v>
      </c>
      <c r="K64" t="s">
        <v>14</v>
      </c>
      <c r="P64" t="s">
        <v>1173</v>
      </c>
      <c r="Q64" t="s">
        <v>1321</v>
      </c>
      <c r="R64" t="s">
        <v>1219</v>
      </c>
      <c r="S64" t="s">
        <v>17</v>
      </c>
      <c r="U64" t="s">
        <v>1173</v>
      </c>
      <c r="V64" t="s">
        <v>1322</v>
      </c>
      <c r="W64" t="s">
        <v>1314</v>
      </c>
      <c r="X64" t="s">
        <v>19</v>
      </c>
    </row>
    <row r="65" spans="8:24" x14ac:dyDescent="0.45">
      <c r="H65" t="s">
        <v>1248</v>
      </c>
      <c r="I65" t="s">
        <v>27</v>
      </c>
      <c r="J65">
        <v>7.947846802618324E-3</v>
      </c>
      <c r="K65" t="s">
        <v>14</v>
      </c>
      <c r="P65" t="s">
        <v>1173</v>
      </c>
      <c r="Q65" t="s">
        <v>1323</v>
      </c>
      <c r="R65" t="s">
        <v>1324</v>
      </c>
      <c r="S65" t="s">
        <v>17</v>
      </c>
      <c r="U65" t="s">
        <v>1173</v>
      </c>
      <c r="V65" t="s">
        <v>1325</v>
      </c>
      <c r="W65" t="s">
        <v>1314</v>
      </c>
      <c r="X65" t="s">
        <v>19</v>
      </c>
    </row>
    <row r="66" spans="8:24" x14ac:dyDescent="0.45">
      <c r="H66" t="s">
        <v>1248</v>
      </c>
      <c r="I66" t="s">
        <v>36</v>
      </c>
      <c r="J66">
        <v>7.947846802618324E-3</v>
      </c>
      <c r="K66" t="s">
        <v>14</v>
      </c>
      <c r="P66" t="s">
        <v>1173</v>
      </c>
      <c r="Q66" t="s">
        <v>1326</v>
      </c>
      <c r="R66" t="s">
        <v>1327</v>
      </c>
      <c r="S66" t="s">
        <v>17</v>
      </c>
      <c r="U66" t="s">
        <v>1173</v>
      </c>
      <c r="V66" t="s">
        <v>1328</v>
      </c>
      <c r="W66" t="s">
        <v>1314</v>
      </c>
      <c r="X66" t="s">
        <v>19</v>
      </c>
    </row>
    <row r="67" spans="8:24" x14ac:dyDescent="0.45">
      <c r="H67" t="s">
        <v>1250</v>
      </c>
      <c r="I67" t="s">
        <v>13</v>
      </c>
      <c r="J67">
        <v>3.7711390241672672E-2</v>
      </c>
      <c r="K67" t="s">
        <v>14</v>
      </c>
      <c r="P67" t="s">
        <v>1173</v>
      </c>
      <c r="Q67" t="s">
        <v>1329</v>
      </c>
      <c r="R67" t="s">
        <v>1330</v>
      </c>
      <c r="S67" t="s">
        <v>17</v>
      </c>
      <c r="U67" t="s">
        <v>1173</v>
      </c>
      <c r="V67" t="s">
        <v>1328</v>
      </c>
      <c r="W67" t="s">
        <v>1182</v>
      </c>
      <c r="X67" t="s">
        <v>17</v>
      </c>
    </row>
    <row r="68" spans="8:24" x14ac:dyDescent="0.45">
      <c r="H68" t="s">
        <v>1250</v>
      </c>
      <c r="I68" t="s">
        <v>27</v>
      </c>
      <c r="J68">
        <v>3.7711390241672672E-2</v>
      </c>
      <c r="K68" t="s">
        <v>14</v>
      </c>
      <c r="P68" t="s">
        <v>1173</v>
      </c>
      <c r="Q68" t="s">
        <v>1331</v>
      </c>
      <c r="R68" t="s">
        <v>1314</v>
      </c>
      <c r="S68" t="s">
        <v>17</v>
      </c>
      <c r="U68" t="s">
        <v>1173</v>
      </c>
      <c r="V68" t="s">
        <v>1332</v>
      </c>
      <c r="W68" t="s">
        <v>1314</v>
      </c>
      <c r="X68" t="s">
        <v>19</v>
      </c>
    </row>
    <row r="69" spans="8:24" x14ac:dyDescent="0.45">
      <c r="H69" t="s">
        <v>1250</v>
      </c>
      <c r="I69" t="s">
        <v>36</v>
      </c>
      <c r="J69">
        <v>3.7711390241672672E-2</v>
      </c>
      <c r="K69" t="s">
        <v>14</v>
      </c>
      <c r="P69" t="s">
        <v>1173</v>
      </c>
      <c r="Q69" t="s">
        <v>1333</v>
      </c>
      <c r="R69" t="s">
        <v>1274</v>
      </c>
      <c r="S69" t="s">
        <v>17</v>
      </c>
      <c r="U69" t="s">
        <v>1173</v>
      </c>
      <c r="V69" t="s">
        <v>1332</v>
      </c>
      <c r="W69" t="s">
        <v>1182</v>
      </c>
      <c r="X69" t="s">
        <v>17</v>
      </c>
    </row>
    <row r="70" spans="8:24" x14ac:dyDescent="0.45">
      <c r="H70" t="s">
        <v>1253</v>
      </c>
      <c r="I70" t="s">
        <v>13</v>
      </c>
      <c r="J70">
        <v>3.6057365639975344E-2</v>
      </c>
      <c r="K70" t="s">
        <v>14</v>
      </c>
      <c r="P70" t="s">
        <v>1173</v>
      </c>
      <c r="Q70" t="s">
        <v>1334</v>
      </c>
      <c r="R70" t="s">
        <v>1335</v>
      </c>
      <c r="S70" t="s">
        <v>17</v>
      </c>
      <c r="U70" t="s">
        <v>1173</v>
      </c>
      <c r="V70" t="s">
        <v>1336</v>
      </c>
      <c r="W70" t="s">
        <v>1186</v>
      </c>
      <c r="X70" t="s">
        <v>19</v>
      </c>
    </row>
    <row r="71" spans="8:24" x14ac:dyDescent="0.45">
      <c r="H71" t="s">
        <v>1253</v>
      </c>
      <c r="I71" t="s">
        <v>27</v>
      </c>
      <c r="J71">
        <v>3.6057365639975344E-2</v>
      </c>
      <c r="K71" t="s">
        <v>14</v>
      </c>
      <c r="P71" t="s">
        <v>1173</v>
      </c>
      <c r="Q71" t="s">
        <v>1337</v>
      </c>
      <c r="R71" t="s">
        <v>1338</v>
      </c>
      <c r="S71" t="s">
        <v>17</v>
      </c>
      <c r="U71" t="s">
        <v>1173</v>
      </c>
      <c r="V71" t="s">
        <v>1339</v>
      </c>
      <c r="W71" t="s">
        <v>1186</v>
      </c>
      <c r="X71" t="s">
        <v>19</v>
      </c>
    </row>
    <row r="72" spans="8:24" x14ac:dyDescent="0.45">
      <c r="H72" t="s">
        <v>1253</v>
      </c>
      <c r="I72" t="s">
        <v>36</v>
      </c>
      <c r="J72">
        <v>3.6057365639975344E-2</v>
      </c>
      <c r="K72" t="s">
        <v>14</v>
      </c>
      <c r="P72" t="s">
        <v>1173</v>
      </c>
      <c r="Q72" t="s">
        <v>1340</v>
      </c>
      <c r="R72" t="s">
        <v>1341</v>
      </c>
      <c r="S72" t="s">
        <v>17</v>
      </c>
      <c r="U72" t="s">
        <v>1173</v>
      </c>
      <c r="V72" t="s">
        <v>1342</v>
      </c>
      <c r="W72" t="s">
        <v>1186</v>
      </c>
      <c r="X72" t="s">
        <v>19</v>
      </c>
    </row>
    <row r="73" spans="8:24" x14ac:dyDescent="0.45">
      <c r="H73" t="s">
        <v>1255</v>
      </c>
      <c r="I73" t="s">
        <v>13</v>
      </c>
      <c r="J73">
        <v>0.1825379478489097</v>
      </c>
      <c r="K73" t="s">
        <v>14</v>
      </c>
      <c r="P73" t="s">
        <v>1173</v>
      </c>
      <c r="Q73" t="s">
        <v>1343</v>
      </c>
      <c r="R73" t="s">
        <v>1344</v>
      </c>
      <c r="S73" t="s">
        <v>17</v>
      </c>
      <c r="U73" t="s">
        <v>1173</v>
      </c>
      <c r="V73" t="s">
        <v>1345</v>
      </c>
      <c r="W73" t="s">
        <v>1186</v>
      </c>
      <c r="X73" t="s">
        <v>19</v>
      </c>
    </row>
    <row r="74" spans="8:24" x14ac:dyDescent="0.45">
      <c r="H74" t="s">
        <v>1255</v>
      </c>
      <c r="I74" t="s">
        <v>27</v>
      </c>
      <c r="J74">
        <v>0.1825379478489097</v>
      </c>
      <c r="K74" t="s">
        <v>14</v>
      </c>
      <c r="P74" t="s">
        <v>1173</v>
      </c>
      <c r="Q74" t="s">
        <v>1346</v>
      </c>
      <c r="R74" t="s">
        <v>1347</v>
      </c>
      <c r="S74" t="s">
        <v>17</v>
      </c>
      <c r="U74" t="s">
        <v>1173</v>
      </c>
      <c r="V74" t="s">
        <v>1348</v>
      </c>
      <c r="W74" t="s">
        <v>1186</v>
      </c>
      <c r="X74" t="s">
        <v>19</v>
      </c>
    </row>
    <row r="75" spans="8:24" x14ac:dyDescent="0.45">
      <c r="H75" t="s">
        <v>1255</v>
      </c>
      <c r="I75" t="s">
        <v>36</v>
      </c>
      <c r="J75">
        <v>0.1825379478489097</v>
      </c>
      <c r="K75" t="s">
        <v>14</v>
      </c>
      <c r="P75" t="s">
        <v>1173</v>
      </c>
      <c r="Q75" t="s">
        <v>1349</v>
      </c>
      <c r="R75" t="s">
        <v>1350</v>
      </c>
      <c r="S75" t="s">
        <v>17</v>
      </c>
      <c r="U75" t="s">
        <v>1173</v>
      </c>
      <c r="V75" t="s">
        <v>1351</v>
      </c>
      <c r="W75" t="s">
        <v>1186</v>
      </c>
      <c r="X75" t="s">
        <v>19</v>
      </c>
    </row>
    <row r="76" spans="8:24" x14ac:dyDescent="0.45">
      <c r="H76" t="s">
        <v>1257</v>
      </c>
      <c r="I76" t="s">
        <v>13</v>
      </c>
      <c r="J76">
        <v>2.2195078597178476E-3</v>
      </c>
      <c r="K76" t="s">
        <v>14</v>
      </c>
      <c r="U76" t="s">
        <v>1173</v>
      </c>
      <c r="V76" t="s">
        <v>1352</v>
      </c>
      <c r="W76" t="s">
        <v>1186</v>
      </c>
      <c r="X76" t="s">
        <v>19</v>
      </c>
    </row>
    <row r="77" spans="8:24" x14ac:dyDescent="0.45">
      <c r="H77" t="s">
        <v>1257</v>
      </c>
      <c r="I77" t="s">
        <v>27</v>
      </c>
      <c r="J77">
        <v>2.2195078597178476E-3</v>
      </c>
      <c r="K77" t="s">
        <v>14</v>
      </c>
      <c r="U77" t="s">
        <v>1173</v>
      </c>
      <c r="V77" t="s">
        <v>1353</v>
      </c>
      <c r="W77" t="s">
        <v>1186</v>
      </c>
      <c r="X77" t="s">
        <v>19</v>
      </c>
    </row>
    <row r="78" spans="8:24" x14ac:dyDescent="0.45">
      <c r="H78" t="s">
        <v>1257</v>
      </c>
      <c r="I78" t="s">
        <v>36</v>
      </c>
      <c r="J78">
        <v>2.2195078597178476E-3</v>
      </c>
      <c r="K78" t="s">
        <v>14</v>
      </c>
      <c r="U78" t="s">
        <v>1173</v>
      </c>
      <c r="V78" t="s">
        <v>1354</v>
      </c>
      <c r="W78" t="s">
        <v>1186</v>
      </c>
      <c r="X78" t="s">
        <v>19</v>
      </c>
    </row>
    <row r="79" spans="8:24" x14ac:dyDescent="0.45">
      <c r="H79" t="s">
        <v>1259</v>
      </c>
      <c r="I79" t="s">
        <v>13</v>
      </c>
      <c r="J79">
        <v>0.13233742448566777</v>
      </c>
      <c r="K79" t="s">
        <v>14</v>
      </c>
      <c r="U79" t="s">
        <v>1173</v>
      </c>
      <c r="V79" t="s">
        <v>1355</v>
      </c>
      <c r="W79" t="s">
        <v>1186</v>
      </c>
      <c r="X79" t="s">
        <v>19</v>
      </c>
    </row>
    <row r="80" spans="8:24" x14ac:dyDescent="0.45">
      <c r="H80" t="s">
        <v>1259</v>
      </c>
      <c r="I80" t="s">
        <v>27</v>
      </c>
      <c r="J80">
        <v>0.13233742448566777</v>
      </c>
      <c r="K80" t="s">
        <v>14</v>
      </c>
      <c r="U80" t="s">
        <v>1173</v>
      </c>
      <c r="V80" t="s">
        <v>1356</v>
      </c>
      <c r="W80" t="s">
        <v>1186</v>
      </c>
      <c r="X80" t="s">
        <v>19</v>
      </c>
    </row>
    <row r="81" spans="8:24" x14ac:dyDescent="0.45">
      <c r="H81" t="s">
        <v>1259</v>
      </c>
      <c r="I81" t="s">
        <v>36</v>
      </c>
      <c r="J81">
        <v>0.13233742448566777</v>
      </c>
      <c r="K81" t="s">
        <v>14</v>
      </c>
      <c r="U81" t="s">
        <v>1173</v>
      </c>
      <c r="V81" t="s">
        <v>1356</v>
      </c>
      <c r="W81" t="s">
        <v>1357</v>
      </c>
      <c r="X81" t="s">
        <v>19</v>
      </c>
    </row>
    <row r="82" spans="8:24" x14ac:dyDescent="0.45">
      <c r="H82" t="s">
        <v>1261</v>
      </c>
      <c r="I82" t="s">
        <v>13</v>
      </c>
      <c r="J82">
        <v>4.735852940197284E-2</v>
      </c>
      <c r="K82" t="s">
        <v>14</v>
      </c>
      <c r="U82" t="s">
        <v>1173</v>
      </c>
      <c r="V82" t="s">
        <v>1358</v>
      </c>
      <c r="W82" t="s">
        <v>1186</v>
      </c>
      <c r="X82" t="s">
        <v>19</v>
      </c>
    </row>
    <row r="83" spans="8:24" x14ac:dyDescent="0.45">
      <c r="H83" t="s">
        <v>1261</v>
      </c>
      <c r="I83" t="s">
        <v>27</v>
      </c>
      <c r="J83">
        <v>4.735852940197284E-2</v>
      </c>
      <c r="K83" t="s">
        <v>14</v>
      </c>
      <c r="U83" t="s">
        <v>1173</v>
      </c>
      <c r="V83" t="s">
        <v>1358</v>
      </c>
      <c r="W83" t="s">
        <v>1357</v>
      </c>
      <c r="X83" t="s">
        <v>19</v>
      </c>
    </row>
    <row r="84" spans="8:24" x14ac:dyDescent="0.45">
      <c r="H84" t="s">
        <v>1261</v>
      </c>
      <c r="I84" t="s">
        <v>36</v>
      </c>
      <c r="J84">
        <v>4.735852940197284E-2</v>
      </c>
      <c r="K84" t="s">
        <v>14</v>
      </c>
      <c r="U84" t="s">
        <v>1173</v>
      </c>
      <c r="V84" t="s">
        <v>1359</v>
      </c>
      <c r="W84" t="s">
        <v>1186</v>
      </c>
      <c r="X84" t="s">
        <v>19</v>
      </c>
    </row>
    <row r="85" spans="8:24" x14ac:dyDescent="0.45">
      <c r="H85" t="s">
        <v>1263</v>
      </c>
      <c r="I85" t="s">
        <v>13</v>
      </c>
      <c r="J85">
        <v>8.6134407268121896E-2</v>
      </c>
      <c r="K85" t="s">
        <v>14</v>
      </c>
      <c r="U85" t="s">
        <v>1173</v>
      </c>
      <c r="V85" t="s">
        <v>1359</v>
      </c>
      <c r="W85" t="s">
        <v>1357</v>
      </c>
      <c r="X85" t="s">
        <v>19</v>
      </c>
    </row>
    <row r="86" spans="8:24" x14ac:dyDescent="0.45">
      <c r="H86" t="s">
        <v>1263</v>
      </c>
      <c r="I86" t="s">
        <v>27</v>
      </c>
      <c r="J86">
        <v>8.6134407268121896E-2</v>
      </c>
      <c r="K86" t="s">
        <v>14</v>
      </c>
      <c r="U86" t="s">
        <v>1173</v>
      </c>
      <c r="V86" t="s">
        <v>1360</v>
      </c>
      <c r="W86" t="s">
        <v>1357</v>
      </c>
      <c r="X86" t="s">
        <v>19</v>
      </c>
    </row>
    <row r="87" spans="8:24" x14ac:dyDescent="0.45">
      <c r="H87" t="s">
        <v>1263</v>
      </c>
      <c r="I87" t="s">
        <v>36</v>
      </c>
      <c r="J87">
        <v>8.6134407268121896E-2</v>
      </c>
      <c r="K87" t="s">
        <v>14</v>
      </c>
      <c r="U87" t="s">
        <v>1173</v>
      </c>
      <c r="V87" t="s">
        <v>1361</v>
      </c>
      <c r="W87" t="s">
        <v>1357</v>
      </c>
      <c r="X87" t="s">
        <v>19</v>
      </c>
    </row>
    <row r="88" spans="8:24" x14ac:dyDescent="0.45">
      <c r="H88" t="s">
        <v>1267</v>
      </c>
      <c r="I88" t="s">
        <v>13</v>
      </c>
      <c r="J88">
        <v>0.10973748525668876</v>
      </c>
      <c r="K88" t="s">
        <v>14</v>
      </c>
      <c r="U88" t="s">
        <v>1173</v>
      </c>
      <c r="V88" t="s">
        <v>1362</v>
      </c>
      <c r="W88" t="s">
        <v>1357</v>
      </c>
      <c r="X88" t="s">
        <v>19</v>
      </c>
    </row>
    <row r="89" spans="8:24" x14ac:dyDescent="0.45">
      <c r="H89" t="s">
        <v>1267</v>
      </c>
      <c r="I89" t="s">
        <v>27</v>
      </c>
      <c r="J89">
        <v>0.10973748525668876</v>
      </c>
      <c r="K89" t="s">
        <v>14</v>
      </c>
      <c r="U89" t="s">
        <v>1173</v>
      </c>
      <c r="V89" t="s">
        <v>1362</v>
      </c>
      <c r="W89" t="s">
        <v>1186</v>
      </c>
      <c r="X89" t="s">
        <v>17</v>
      </c>
    </row>
    <row r="90" spans="8:24" x14ac:dyDescent="0.45">
      <c r="H90" t="s">
        <v>1267</v>
      </c>
      <c r="I90" t="s">
        <v>36</v>
      </c>
      <c r="J90">
        <v>0.10973748525668876</v>
      </c>
      <c r="K90" t="s">
        <v>14</v>
      </c>
      <c r="U90" t="s">
        <v>1173</v>
      </c>
      <c r="V90" t="s">
        <v>1363</v>
      </c>
      <c r="W90" t="s">
        <v>1357</v>
      </c>
      <c r="X90" t="s">
        <v>19</v>
      </c>
    </row>
    <row r="91" spans="8:24" x14ac:dyDescent="0.45">
      <c r="H91" t="s">
        <v>1269</v>
      </c>
      <c r="I91" t="s">
        <v>13</v>
      </c>
      <c r="J91">
        <v>0.31498583285149673</v>
      </c>
      <c r="K91" t="s">
        <v>14</v>
      </c>
      <c r="U91" t="s">
        <v>1173</v>
      </c>
      <c r="V91" t="s">
        <v>1363</v>
      </c>
      <c r="W91" t="s">
        <v>1186</v>
      </c>
      <c r="X91" t="s">
        <v>17</v>
      </c>
    </row>
    <row r="92" spans="8:24" x14ac:dyDescent="0.45">
      <c r="H92" t="s">
        <v>1269</v>
      </c>
      <c r="I92" t="s">
        <v>27</v>
      </c>
      <c r="J92">
        <v>0.31498583285149673</v>
      </c>
      <c r="K92" t="s">
        <v>14</v>
      </c>
      <c r="U92" t="s">
        <v>1173</v>
      </c>
      <c r="V92" t="s">
        <v>1364</v>
      </c>
      <c r="W92" t="s">
        <v>1190</v>
      </c>
      <c r="X92" t="s">
        <v>19</v>
      </c>
    </row>
    <row r="93" spans="8:24" x14ac:dyDescent="0.45">
      <c r="H93" t="s">
        <v>1269</v>
      </c>
      <c r="I93" t="s">
        <v>36</v>
      </c>
      <c r="J93">
        <v>0.31498583285149673</v>
      </c>
      <c r="K93" t="s">
        <v>14</v>
      </c>
      <c r="U93" t="s">
        <v>1173</v>
      </c>
      <c r="V93" t="s">
        <v>1365</v>
      </c>
      <c r="W93" t="s">
        <v>1190</v>
      </c>
      <c r="X93" t="s">
        <v>19</v>
      </c>
    </row>
    <row r="94" spans="8:24" x14ac:dyDescent="0.45">
      <c r="H94" t="s">
        <v>1271</v>
      </c>
      <c r="I94" t="s">
        <v>13</v>
      </c>
      <c r="J94">
        <v>9.0592368259793388E-3</v>
      </c>
      <c r="K94" t="s">
        <v>14</v>
      </c>
      <c r="U94" t="s">
        <v>1173</v>
      </c>
      <c r="V94" t="s">
        <v>1366</v>
      </c>
      <c r="W94" t="s">
        <v>1190</v>
      </c>
      <c r="X94" t="s">
        <v>19</v>
      </c>
    </row>
    <row r="95" spans="8:24" x14ac:dyDescent="0.45">
      <c r="H95" t="s">
        <v>1271</v>
      </c>
      <c r="I95" t="s">
        <v>27</v>
      </c>
      <c r="J95">
        <v>9.0592368259793388E-3</v>
      </c>
      <c r="K95" t="s">
        <v>14</v>
      </c>
      <c r="U95" t="s">
        <v>1173</v>
      </c>
      <c r="V95" t="s">
        <v>1367</v>
      </c>
      <c r="W95" t="s">
        <v>1190</v>
      </c>
      <c r="X95" t="s">
        <v>19</v>
      </c>
    </row>
    <row r="96" spans="8:24" x14ac:dyDescent="0.45">
      <c r="H96" t="s">
        <v>1271</v>
      </c>
      <c r="I96" t="s">
        <v>36</v>
      </c>
      <c r="J96">
        <v>9.0592368259793388E-3</v>
      </c>
      <c r="K96" t="s">
        <v>14</v>
      </c>
      <c r="U96" t="s">
        <v>1173</v>
      </c>
      <c r="V96" t="s">
        <v>1368</v>
      </c>
      <c r="W96" t="s">
        <v>1190</v>
      </c>
      <c r="X96" t="s">
        <v>19</v>
      </c>
    </row>
    <row r="97" spans="8:24" x14ac:dyDescent="0.45">
      <c r="H97" t="s">
        <v>1273</v>
      </c>
      <c r="I97" t="s">
        <v>13</v>
      </c>
      <c r="J97">
        <v>5.4827743214435553E-5</v>
      </c>
      <c r="K97" t="s">
        <v>14</v>
      </c>
      <c r="U97" t="s">
        <v>1173</v>
      </c>
      <c r="V97" t="s">
        <v>1369</v>
      </c>
      <c r="W97" t="s">
        <v>1190</v>
      </c>
      <c r="X97" t="s">
        <v>19</v>
      </c>
    </row>
    <row r="98" spans="8:24" x14ac:dyDescent="0.45">
      <c r="H98" t="s">
        <v>1273</v>
      </c>
      <c r="I98" t="s">
        <v>27</v>
      </c>
      <c r="J98">
        <v>5.4827743214435553E-5</v>
      </c>
      <c r="K98" t="s">
        <v>14</v>
      </c>
      <c r="U98" t="s">
        <v>1173</v>
      </c>
      <c r="V98" t="s">
        <v>1370</v>
      </c>
      <c r="W98" t="s">
        <v>1190</v>
      </c>
      <c r="X98" t="s">
        <v>19</v>
      </c>
    </row>
    <row r="99" spans="8:24" x14ac:dyDescent="0.45">
      <c r="H99" t="s">
        <v>1273</v>
      </c>
      <c r="I99" t="s">
        <v>36</v>
      </c>
      <c r="J99">
        <v>5.4827743214435553E-5</v>
      </c>
      <c r="K99" t="s">
        <v>14</v>
      </c>
      <c r="U99" t="s">
        <v>1173</v>
      </c>
      <c r="V99" t="s">
        <v>1371</v>
      </c>
      <c r="W99" t="s">
        <v>1190</v>
      </c>
      <c r="X99" t="s">
        <v>19</v>
      </c>
    </row>
    <row r="100" spans="8:24" x14ac:dyDescent="0.45">
      <c r="H100" t="s">
        <v>1275</v>
      </c>
      <c r="I100" t="s">
        <v>13</v>
      </c>
      <c r="J100">
        <v>7.9951818849885361E-3</v>
      </c>
      <c r="K100" t="s">
        <v>14</v>
      </c>
      <c r="U100" t="s">
        <v>1173</v>
      </c>
      <c r="V100" t="s">
        <v>1372</v>
      </c>
      <c r="W100" t="s">
        <v>1190</v>
      </c>
      <c r="X100" t="s">
        <v>19</v>
      </c>
    </row>
    <row r="101" spans="8:24" x14ac:dyDescent="0.45">
      <c r="H101" t="s">
        <v>1275</v>
      </c>
      <c r="I101" t="s">
        <v>27</v>
      </c>
      <c r="J101">
        <v>7.9951818849885361E-3</v>
      </c>
      <c r="K101" t="s">
        <v>14</v>
      </c>
      <c r="U101" t="s">
        <v>1173</v>
      </c>
      <c r="V101" t="s">
        <v>1373</v>
      </c>
      <c r="W101" t="s">
        <v>1190</v>
      </c>
      <c r="X101" t="s">
        <v>19</v>
      </c>
    </row>
    <row r="102" spans="8:24" x14ac:dyDescent="0.45">
      <c r="H102" t="s">
        <v>1275</v>
      </c>
      <c r="I102" t="s">
        <v>36</v>
      </c>
      <c r="J102">
        <v>7.9951818849885361E-3</v>
      </c>
      <c r="K102" t="s">
        <v>14</v>
      </c>
      <c r="U102" t="s">
        <v>1173</v>
      </c>
      <c r="V102" t="s">
        <v>1374</v>
      </c>
      <c r="W102" t="s">
        <v>1190</v>
      </c>
      <c r="X102" t="s">
        <v>19</v>
      </c>
    </row>
    <row r="103" spans="8:24" x14ac:dyDescent="0.45">
      <c r="H103" t="s">
        <v>1277</v>
      </c>
      <c r="I103" t="s">
        <v>13</v>
      </c>
      <c r="J103">
        <v>5.8630158889752104E-3</v>
      </c>
      <c r="K103" t="s">
        <v>14</v>
      </c>
      <c r="U103" t="s">
        <v>1173</v>
      </c>
      <c r="V103" t="s">
        <v>1374</v>
      </c>
      <c r="W103" t="s">
        <v>1344</v>
      </c>
      <c r="X103" t="s">
        <v>19</v>
      </c>
    </row>
    <row r="104" spans="8:24" x14ac:dyDescent="0.45">
      <c r="H104" t="s">
        <v>1277</v>
      </c>
      <c r="I104" t="s">
        <v>27</v>
      </c>
      <c r="J104">
        <v>5.8630158889752104E-3</v>
      </c>
      <c r="K104" t="s">
        <v>14</v>
      </c>
      <c r="U104" t="s">
        <v>1173</v>
      </c>
      <c r="V104" t="s">
        <v>1375</v>
      </c>
      <c r="W104" t="s">
        <v>1190</v>
      </c>
      <c r="X104" t="s">
        <v>19</v>
      </c>
    </row>
    <row r="105" spans="8:24" x14ac:dyDescent="0.45">
      <c r="H105" t="s">
        <v>1277</v>
      </c>
      <c r="I105" t="s">
        <v>36</v>
      </c>
      <c r="J105">
        <v>5.8630158889752104E-3</v>
      </c>
      <c r="K105" t="s">
        <v>14</v>
      </c>
      <c r="U105" t="s">
        <v>1173</v>
      </c>
      <c r="V105" t="s">
        <v>1375</v>
      </c>
      <c r="W105" t="s">
        <v>1344</v>
      </c>
      <c r="X105" t="s">
        <v>19</v>
      </c>
    </row>
    <row r="106" spans="8:24" x14ac:dyDescent="0.45">
      <c r="H106" t="s">
        <v>1278</v>
      </c>
      <c r="I106" t="s">
        <v>13</v>
      </c>
      <c r="J106">
        <v>7.947846802618324E-3</v>
      </c>
      <c r="K106" t="s">
        <v>14</v>
      </c>
      <c r="U106" t="s">
        <v>1173</v>
      </c>
      <c r="V106" t="s">
        <v>1376</v>
      </c>
      <c r="W106" t="s">
        <v>1190</v>
      </c>
      <c r="X106" t="s">
        <v>19</v>
      </c>
    </row>
    <row r="107" spans="8:24" x14ac:dyDescent="0.45">
      <c r="H107" t="s">
        <v>1278</v>
      </c>
      <c r="I107" t="s">
        <v>27</v>
      </c>
      <c r="J107">
        <v>7.947846802618324E-3</v>
      </c>
      <c r="K107" t="s">
        <v>14</v>
      </c>
      <c r="U107" t="s">
        <v>1173</v>
      </c>
      <c r="V107" t="s">
        <v>1376</v>
      </c>
      <c r="W107" t="s">
        <v>1344</v>
      </c>
      <c r="X107" t="s">
        <v>19</v>
      </c>
    </row>
    <row r="108" spans="8:24" x14ac:dyDescent="0.45">
      <c r="H108" t="s">
        <v>1278</v>
      </c>
      <c r="I108" t="s">
        <v>36</v>
      </c>
      <c r="J108">
        <v>7.947846802618324E-3</v>
      </c>
      <c r="K108" t="s">
        <v>14</v>
      </c>
      <c r="U108" t="s">
        <v>1173</v>
      </c>
      <c r="V108" t="s">
        <v>1377</v>
      </c>
      <c r="W108" t="s">
        <v>1344</v>
      </c>
      <c r="X108" t="s">
        <v>19</v>
      </c>
    </row>
    <row r="109" spans="8:24" x14ac:dyDescent="0.45">
      <c r="H109" t="s">
        <v>1280</v>
      </c>
      <c r="I109" t="s">
        <v>13</v>
      </c>
      <c r="J109">
        <v>3.7711390241672672E-2</v>
      </c>
      <c r="K109" t="s">
        <v>14</v>
      </c>
      <c r="U109" t="s">
        <v>1173</v>
      </c>
      <c r="V109" t="s">
        <v>1378</v>
      </c>
      <c r="W109" t="s">
        <v>1344</v>
      </c>
      <c r="X109" t="s">
        <v>19</v>
      </c>
    </row>
    <row r="110" spans="8:24" x14ac:dyDescent="0.45">
      <c r="H110" t="s">
        <v>1280</v>
      </c>
      <c r="I110" t="s">
        <v>27</v>
      </c>
      <c r="J110">
        <v>3.7711390241672672E-2</v>
      </c>
      <c r="K110" t="s">
        <v>14</v>
      </c>
      <c r="U110" t="s">
        <v>1173</v>
      </c>
      <c r="V110" t="s">
        <v>1379</v>
      </c>
      <c r="W110" t="s">
        <v>1344</v>
      </c>
      <c r="X110" t="s">
        <v>19</v>
      </c>
    </row>
    <row r="111" spans="8:24" x14ac:dyDescent="0.45">
      <c r="H111" t="s">
        <v>1280</v>
      </c>
      <c r="I111" t="s">
        <v>36</v>
      </c>
      <c r="J111">
        <v>3.7711390241672672E-2</v>
      </c>
      <c r="K111" t="s">
        <v>14</v>
      </c>
      <c r="U111" t="s">
        <v>1173</v>
      </c>
      <c r="V111" t="s">
        <v>1379</v>
      </c>
      <c r="W111" t="s">
        <v>1190</v>
      </c>
      <c r="X111" t="s">
        <v>17</v>
      </c>
    </row>
    <row r="112" spans="8:24" x14ac:dyDescent="0.45">
      <c r="H112" t="s">
        <v>1281</v>
      </c>
      <c r="I112" t="s">
        <v>13</v>
      </c>
      <c r="J112">
        <v>3.6057365639975344E-2</v>
      </c>
      <c r="K112" t="s">
        <v>14</v>
      </c>
      <c r="U112" t="s">
        <v>1173</v>
      </c>
      <c r="V112" t="s">
        <v>1380</v>
      </c>
      <c r="W112" t="s">
        <v>1344</v>
      </c>
      <c r="X112" t="s">
        <v>19</v>
      </c>
    </row>
    <row r="113" spans="8:24" x14ac:dyDescent="0.45">
      <c r="H113" t="s">
        <v>1281</v>
      </c>
      <c r="I113" t="s">
        <v>27</v>
      </c>
      <c r="J113">
        <v>3.6057365639975344E-2</v>
      </c>
      <c r="K113" t="s">
        <v>14</v>
      </c>
      <c r="U113" t="s">
        <v>1173</v>
      </c>
      <c r="V113" t="s">
        <v>1380</v>
      </c>
      <c r="W113" t="s">
        <v>1190</v>
      </c>
      <c r="X113" t="s">
        <v>17</v>
      </c>
    </row>
    <row r="114" spans="8:24" x14ac:dyDescent="0.45">
      <c r="H114" t="s">
        <v>1281</v>
      </c>
      <c r="I114" t="s">
        <v>36</v>
      </c>
      <c r="J114">
        <v>3.6057365639975344E-2</v>
      </c>
      <c r="K114" t="s">
        <v>14</v>
      </c>
      <c r="U114" t="s">
        <v>1173</v>
      </c>
      <c r="V114" t="s">
        <v>1381</v>
      </c>
      <c r="W114" t="s">
        <v>1194</v>
      </c>
      <c r="X114" t="s">
        <v>19</v>
      </c>
    </row>
    <row r="115" spans="8:24" x14ac:dyDescent="0.45">
      <c r="H115" t="s">
        <v>1283</v>
      </c>
      <c r="I115" t="s">
        <v>13</v>
      </c>
      <c r="J115">
        <v>0.1825379478489097</v>
      </c>
      <c r="K115" t="s">
        <v>14</v>
      </c>
      <c r="U115" t="s">
        <v>1173</v>
      </c>
      <c r="V115" t="s">
        <v>1382</v>
      </c>
      <c r="W115" t="s">
        <v>1194</v>
      </c>
      <c r="X115" t="s">
        <v>19</v>
      </c>
    </row>
    <row r="116" spans="8:24" x14ac:dyDescent="0.45">
      <c r="H116" t="s">
        <v>1283</v>
      </c>
      <c r="I116" t="s">
        <v>27</v>
      </c>
      <c r="J116">
        <v>0.1825379478489097</v>
      </c>
      <c r="K116" t="s">
        <v>14</v>
      </c>
      <c r="U116" t="s">
        <v>1173</v>
      </c>
      <c r="V116" t="s">
        <v>1383</v>
      </c>
      <c r="W116" t="s">
        <v>1194</v>
      </c>
      <c r="X116" t="s">
        <v>19</v>
      </c>
    </row>
    <row r="117" spans="8:24" x14ac:dyDescent="0.45">
      <c r="H117" t="s">
        <v>1283</v>
      </c>
      <c r="I117" t="s">
        <v>36</v>
      </c>
      <c r="J117">
        <v>0.1825379478489097</v>
      </c>
      <c r="K117" t="s">
        <v>14</v>
      </c>
      <c r="U117" t="s">
        <v>1173</v>
      </c>
      <c r="V117" t="s">
        <v>1384</v>
      </c>
      <c r="W117" t="s">
        <v>1194</v>
      </c>
      <c r="X117" t="s">
        <v>19</v>
      </c>
    </row>
    <row r="118" spans="8:24" x14ac:dyDescent="0.45">
      <c r="H118" t="s">
        <v>1285</v>
      </c>
      <c r="I118" t="s">
        <v>13</v>
      </c>
      <c r="J118">
        <v>2.2195078597178476E-3</v>
      </c>
      <c r="K118" t="s">
        <v>14</v>
      </c>
      <c r="U118" t="s">
        <v>1173</v>
      </c>
      <c r="V118" t="s">
        <v>1385</v>
      </c>
      <c r="W118" t="s">
        <v>1194</v>
      </c>
      <c r="X118" t="s">
        <v>19</v>
      </c>
    </row>
    <row r="119" spans="8:24" x14ac:dyDescent="0.45">
      <c r="H119" t="s">
        <v>1285</v>
      </c>
      <c r="I119" t="s">
        <v>27</v>
      </c>
      <c r="J119">
        <v>2.2195078597178476E-3</v>
      </c>
      <c r="K119" t="s">
        <v>14</v>
      </c>
      <c r="U119" t="s">
        <v>1173</v>
      </c>
      <c r="V119" t="s">
        <v>1386</v>
      </c>
      <c r="W119" t="s">
        <v>1194</v>
      </c>
      <c r="X119" t="s">
        <v>19</v>
      </c>
    </row>
    <row r="120" spans="8:24" x14ac:dyDescent="0.45">
      <c r="H120" t="s">
        <v>1285</v>
      </c>
      <c r="I120" t="s">
        <v>36</v>
      </c>
      <c r="J120">
        <v>2.2195078597178476E-3</v>
      </c>
      <c r="K120" t="s">
        <v>14</v>
      </c>
      <c r="U120" t="s">
        <v>1173</v>
      </c>
      <c r="V120" t="s">
        <v>1387</v>
      </c>
      <c r="W120" t="s">
        <v>1194</v>
      </c>
      <c r="X120" t="s">
        <v>19</v>
      </c>
    </row>
    <row r="121" spans="8:24" x14ac:dyDescent="0.45">
      <c r="H121" t="s">
        <v>1287</v>
      </c>
      <c r="I121" t="s">
        <v>13</v>
      </c>
      <c r="J121">
        <v>0.13233742448566777</v>
      </c>
      <c r="K121" t="s">
        <v>14</v>
      </c>
      <c r="U121" t="s">
        <v>1173</v>
      </c>
      <c r="V121" t="s">
        <v>1388</v>
      </c>
      <c r="W121" t="s">
        <v>1194</v>
      </c>
      <c r="X121" t="s">
        <v>19</v>
      </c>
    </row>
    <row r="122" spans="8:24" x14ac:dyDescent="0.45">
      <c r="H122" t="s">
        <v>1287</v>
      </c>
      <c r="I122" t="s">
        <v>27</v>
      </c>
      <c r="J122">
        <v>0.13233742448566777</v>
      </c>
      <c r="K122" t="s">
        <v>14</v>
      </c>
      <c r="U122" t="s">
        <v>1173</v>
      </c>
      <c r="V122" t="s">
        <v>1389</v>
      </c>
      <c r="W122" t="s">
        <v>1194</v>
      </c>
      <c r="X122" t="s">
        <v>19</v>
      </c>
    </row>
    <row r="123" spans="8:24" x14ac:dyDescent="0.45">
      <c r="H123" t="s">
        <v>1287</v>
      </c>
      <c r="I123" t="s">
        <v>36</v>
      </c>
      <c r="J123">
        <v>0.13233742448566777</v>
      </c>
      <c r="K123" t="s">
        <v>14</v>
      </c>
      <c r="U123" t="s">
        <v>1173</v>
      </c>
      <c r="V123" t="s">
        <v>1390</v>
      </c>
      <c r="W123" t="s">
        <v>1194</v>
      </c>
      <c r="X123" t="s">
        <v>19</v>
      </c>
    </row>
    <row r="124" spans="8:24" x14ac:dyDescent="0.45">
      <c r="H124" t="s">
        <v>1288</v>
      </c>
      <c r="I124" t="s">
        <v>13</v>
      </c>
      <c r="J124">
        <v>4.735852940197284E-2</v>
      </c>
      <c r="K124" t="s">
        <v>14</v>
      </c>
      <c r="U124" t="s">
        <v>1173</v>
      </c>
      <c r="V124" t="s">
        <v>1391</v>
      </c>
      <c r="W124" t="s">
        <v>1194</v>
      </c>
      <c r="X124" t="s">
        <v>19</v>
      </c>
    </row>
    <row r="125" spans="8:24" x14ac:dyDescent="0.45">
      <c r="H125" t="s">
        <v>1288</v>
      </c>
      <c r="I125" t="s">
        <v>27</v>
      </c>
      <c r="J125">
        <v>4.735852940197284E-2</v>
      </c>
      <c r="K125" t="s">
        <v>14</v>
      </c>
      <c r="U125" t="s">
        <v>1173</v>
      </c>
      <c r="V125" t="s">
        <v>1391</v>
      </c>
      <c r="W125" t="s">
        <v>1392</v>
      </c>
      <c r="X125" t="s">
        <v>19</v>
      </c>
    </row>
    <row r="126" spans="8:24" x14ac:dyDescent="0.45">
      <c r="H126" t="s">
        <v>1288</v>
      </c>
      <c r="I126" t="s">
        <v>36</v>
      </c>
      <c r="J126">
        <v>4.735852940197284E-2</v>
      </c>
      <c r="K126" t="s">
        <v>14</v>
      </c>
      <c r="U126" t="s">
        <v>1173</v>
      </c>
      <c r="V126" t="s">
        <v>1393</v>
      </c>
      <c r="W126" t="s">
        <v>1194</v>
      </c>
      <c r="X126" t="s">
        <v>19</v>
      </c>
    </row>
    <row r="127" spans="8:24" x14ac:dyDescent="0.45">
      <c r="H127" t="s">
        <v>1290</v>
      </c>
      <c r="I127" t="s">
        <v>13</v>
      </c>
      <c r="J127">
        <v>8.6134407268121896E-2</v>
      </c>
      <c r="K127" t="s">
        <v>14</v>
      </c>
      <c r="U127" t="s">
        <v>1173</v>
      </c>
      <c r="V127" t="s">
        <v>1393</v>
      </c>
      <c r="W127" t="s">
        <v>1392</v>
      </c>
      <c r="X127" t="s">
        <v>19</v>
      </c>
    </row>
    <row r="128" spans="8:24" x14ac:dyDescent="0.45">
      <c r="H128" t="s">
        <v>1290</v>
      </c>
      <c r="I128" t="s">
        <v>27</v>
      </c>
      <c r="J128">
        <v>8.6134407268121896E-2</v>
      </c>
      <c r="K128" t="s">
        <v>14</v>
      </c>
      <c r="U128" t="s">
        <v>1173</v>
      </c>
      <c r="V128" t="s">
        <v>1394</v>
      </c>
      <c r="W128" t="s">
        <v>1194</v>
      </c>
      <c r="X128" t="s">
        <v>19</v>
      </c>
    </row>
    <row r="129" spans="8:24" x14ac:dyDescent="0.45">
      <c r="H129" t="s">
        <v>1290</v>
      </c>
      <c r="I129" t="s">
        <v>36</v>
      </c>
      <c r="J129">
        <v>8.6134407268121896E-2</v>
      </c>
      <c r="K129" t="s">
        <v>14</v>
      </c>
      <c r="U129" t="s">
        <v>1173</v>
      </c>
      <c r="V129" t="s">
        <v>1394</v>
      </c>
      <c r="W129" t="s">
        <v>1392</v>
      </c>
      <c r="X129" t="s">
        <v>19</v>
      </c>
    </row>
    <row r="130" spans="8:24" x14ac:dyDescent="0.45">
      <c r="H130" t="s">
        <v>1293</v>
      </c>
      <c r="I130" t="s">
        <v>13</v>
      </c>
      <c r="J130">
        <v>0.10973748525668876</v>
      </c>
      <c r="K130" t="s">
        <v>14</v>
      </c>
      <c r="U130" t="s">
        <v>1173</v>
      </c>
      <c r="V130" t="s">
        <v>1395</v>
      </c>
      <c r="W130" t="s">
        <v>1392</v>
      </c>
      <c r="X130" t="s">
        <v>19</v>
      </c>
    </row>
    <row r="131" spans="8:24" x14ac:dyDescent="0.45">
      <c r="H131" t="s">
        <v>1293</v>
      </c>
      <c r="I131" t="s">
        <v>27</v>
      </c>
      <c r="J131">
        <v>0.10973748525668876</v>
      </c>
      <c r="K131" t="s">
        <v>14</v>
      </c>
      <c r="U131" t="s">
        <v>1173</v>
      </c>
      <c r="V131" t="s">
        <v>1396</v>
      </c>
      <c r="W131" t="s">
        <v>1392</v>
      </c>
      <c r="X131" t="s">
        <v>19</v>
      </c>
    </row>
    <row r="132" spans="8:24" x14ac:dyDescent="0.45">
      <c r="H132" t="s">
        <v>1293</v>
      </c>
      <c r="I132" t="s">
        <v>36</v>
      </c>
      <c r="J132">
        <v>0.10973748525668876</v>
      </c>
      <c r="K132" t="s">
        <v>14</v>
      </c>
      <c r="U132" t="s">
        <v>1173</v>
      </c>
      <c r="V132" t="s">
        <v>1397</v>
      </c>
      <c r="W132" t="s">
        <v>1392</v>
      </c>
      <c r="X132" t="s">
        <v>19</v>
      </c>
    </row>
    <row r="133" spans="8:24" x14ac:dyDescent="0.45">
      <c r="H133" t="s">
        <v>1295</v>
      </c>
      <c r="I133" t="s">
        <v>13</v>
      </c>
      <c r="J133">
        <v>0.31498583285149673</v>
      </c>
      <c r="K133" t="s">
        <v>14</v>
      </c>
      <c r="U133" t="s">
        <v>1173</v>
      </c>
      <c r="V133" t="s">
        <v>1397</v>
      </c>
      <c r="W133" t="s">
        <v>1194</v>
      </c>
      <c r="X133" t="s">
        <v>17</v>
      </c>
    </row>
    <row r="134" spans="8:24" x14ac:dyDescent="0.45">
      <c r="H134" t="s">
        <v>1295</v>
      </c>
      <c r="I134" t="s">
        <v>27</v>
      </c>
      <c r="J134">
        <v>0.31498583285149673</v>
      </c>
      <c r="K134" t="s">
        <v>14</v>
      </c>
      <c r="U134" t="s">
        <v>1173</v>
      </c>
      <c r="V134" t="s">
        <v>1398</v>
      </c>
      <c r="W134" t="s">
        <v>1392</v>
      </c>
      <c r="X134" t="s">
        <v>19</v>
      </c>
    </row>
    <row r="135" spans="8:24" x14ac:dyDescent="0.45">
      <c r="H135" t="s">
        <v>1295</v>
      </c>
      <c r="I135" t="s">
        <v>36</v>
      </c>
      <c r="J135">
        <v>0.31498583285149673</v>
      </c>
      <c r="K135" t="s">
        <v>14</v>
      </c>
      <c r="U135" t="s">
        <v>1173</v>
      </c>
      <c r="V135" t="s">
        <v>1398</v>
      </c>
      <c r="W135" t="s">
        <v>1194</v>
      </c>
      <c r="X135" t="s">
        <v>17</v>
      </c>
    </row>
    <row r="136" spans="8:24" x14ac:dyDescent="0.45">
      <c r="H136" t="s">
        <v>1297</v>
      </c>
      <c r="I136" t="s">
        <v>13</v>
      </c>
      <c r="J136">
        <v>9.0592368259793388E-3</v>
      </c>
      <c r="K136" t="s">
        <v>14</v>
      </c>
      <c r="U136" t="s">
        <v>1173</v>
      </c>
      <c r="V136" t="s">
        <v>1399</v>
      </c>
      <c r="W136" t="s">
        <v>1198</v>
      </c>
      <c r="X136" t="s">
        <v>19</v>
      </c>
    </row>
    <row r="137" spans="8:24" x14ac:dyDescent="0.45">
      <c r="H137" t="s">
        <v>1297</v>
      </c>
      <c r="I137" t="s">
        <v>27</v>
      </c>
      <c r="J137">
        <v>9.0592368259793388E-3</v>
      </c>
      <c r="K137" t="s">
        <v>14</v>
      </c>
      <c r="U137" t="s">
        <v>1173</v>
      </c>
      <c r="V137" t="s">
        <v>1400</v>
      </c>
      <c r="W137" t="s">
        <v>1198</v>
      </c>
      <c r="X137" t="s">
        <v>19</v>
      </c>
    </row>
    <row r="138" spans="8:24" x14ac:dyDescent="0.45">
      <c r="H138" t="s">
        <v>1297</v>
      </c>
      <c r="I138" t="s">
        <v>36</v>
      </c>
      <c r="J138">
        <v>9.0592368259793388E-3</v>
      </c>
      <c r="K138" t="s">
        <v>14</v>
      </c>
      <c r="U138" t="s">
        <v>1173</v>
      </c>
      <c r="V138" t="s">
        <v>1401</v>
      </c>
      <c r="W138" t="s">
        <v>1198</v>
      </c>
      <c r="X138" t="s">
        <v>19</v>
      </c>
    </row>
    <row r="139" spans="8:24" x14ac:dyDescent="0.45">
      <c r="H139" t="s">
        <v>1299</v>
      </c>
      <c r="I139" t="s">
        <v>13</v>
      </c>
      <c r="J139">
        <v>5.4827743214435553E-5</v>
      </c>
      <c r="K139" t="s">
        <v>14</v>
      </c>
      <c r="U139" t="s">
        <v>1173</v>
      </c>
      <c r="V139" t="s">
        <v>1402</v>
      </c>
      <c r="W139" t="s">
        <v>1198</v>
      </c>
      <c r="X139" t="s">
        <v>19</v>
      </c>
    </row>
    <row r="140" spans="8:24" x14ac:dyDescent="0.45">
      <c r="H140" t="s">
        <v>1299</v>
      </c>
      <c r="I140" t="s">
        <v>27</v>
      </c>
      <c r="J140">
        <v>5.4827743214435553E-5</v>
      </c>
      <c r="K140" t="s">
        <v>14</v>
      </c>
      <c r="U140" t="s">
        <v>1173</v>
      </c>
      <c r="V140" t="s">
        <v>1403</v>
      </c>
      <c r="W140" t="s">
        <v>1198</v>
      </c>
      <c r="X140" t="s">
        <v>19</v>
      </c>
    </row>
    <row r="141" spans="8:24" x14ac:dyDescent="0.45">
      <c r="H141" t="s">
        <v>1299</v>
      </c>
      <c r="I141" t="s">
        <v>36</v>
      </c>
      <c r="J141">
        <v>5.4827743214435553E-5</v>
      </c>
      <c r="K141" t="s">
        <v>14</v>
      </c>
      <c r="U141" t="s">
        <v>1173</v>
      </c>
      <c r="V141" t="s">
        <v>1404</v>
      </c>
      <c r="W141" t="s">
        <v>1198</v>
      </c>
      <c r="X141" t="s">
        <v>19</v>
      </c>
    </row>
    <row r="142" spans="8:24" x14ac:dyDescent="0.45">
      <c r="H142" t="s">
        <v>1301</v>
      </c>
      <c r="I142" t="s">
        <v>13</v>
      </c>
      <c r="J142">
        <v>7.9951818849885361E-3</v>
      </c>
      <c r="K142" t="s">
        <v>14</v>
      </c>
      <c r="U142" t="s">
        <v>1173</v>
      </c>
      <c r="V142" t="s">
        <v>1405</v>
      </c>
      <c r="W142" t="s">
        <v>1198</v>
      </c>
      <c r="X142" t="s">
        <v>19</v>
      </c>
    </row>
    <row r="143" spans="8:24" x14ac:dyDescent="0.45">
      <c r="H143" t="s">
        <v>1301</v>
      </c>
      <c r="I143" t="s">
        <v>27</v>
      </c>
      <c r="J143">
        <v>7.9951818849885361E-3</v>
      </c>
      <c r="K143" t="s">
        <v>14</v>
      </c>
      <c r="U143" t="s">
        <v>1173</v>
      </c>
      <c r="V143" t="s">
        <v>1406</v>
      </c>
      <c r="W143" t="s">
        <v>1198</v>
      </c>
      <c r="X143" t="s">
        <v>19</v>
      </c>
    </row>
    <row r="144" spans="8:24" x14ac:dyDescent="0.45">
      <c r="H144" t="s">
        <v>1301</v>
      </c>
      <c r="I144" t="s">
        <v>36</v>
      </c>
      <c r="J144">
        <v>7.9951818849885361E-3</v>
      </c>
      <c r="K144" t="s">
        <v>14</v>
      </c>
      <c r="U144" t="s">
        <v>1173</v>
      </c>
      <c r="V144" t="s">
        <v>1407</v>
      </c>
      <c r="W144" t="s">
        <v>1198</v>
      </c>
      <c r="X144" t="s">
        <v>19</v>
      </c>
    </row>
    <row r="145" spans="8:24" x14ac:dyDescent="0.45">
      <c r="H145" t="s">
        <v>1303</v>
      </c>
      <c r="I145" t="s">
        <v>13</v>
      </c>
      <c r="J145">
        <v>5.8630158889752104E-3</v>
      </c>
      <c r="K145" t="s">
        <v>14</v>
      </c>
      <c r="U145" t="s">
        <v>1173</v>
      </c>
      <c r="V145" t="s">
        <v>1408</v>
      </c>
      <c r="W145" t="s">
        <v>1198</v>
      </c>
      <c r="X145" t="s">
        <v>19</v>
      </c>
    </row>
    <row r="146" spans="8:24" x14ac:dyDescent="0.45">
      <c r="H146" t="s">
        <v>1303</v>
      </c>
      <c r="I146" t="s">
        <v>27</v>
      </c>
      <c r="J146">
        <v>5.8630158889752104E-3</v>
      </c>
      <c r="K146" t="s">
        <v>14</v>
      </c>
      <c r="U146" t="s">
        <v>1173</v>
      </c>
      <c r="V146" t="s">
        <v>1409</v>
      </c>
      <c r="W146" t="s">
        <v>1198</v>
      </c>
      <c r="X146" t="s">
        <v>19</v>
      </c>
    </row>
    <row r="147" spans="8:24" x14ac:dyDescent="0.45">
      <c r="H147" t="s">
        <v>1303</v>
      </c>
      <c r="I147" t="s">
        <v>36</v>
      </c>
      <c r="J147">
        <v>5.8630158889752104E-3</v>
      </c>
      <c r="K147" t="s">
        <v>14</v>
      </c>
      <c r="U147" t="s">
        <v>1173</v>
      </c>
      <c r="V147" t="s">
        <v>1409</v>
      </c>
      <c r="W147" t="s">
        <v>1347</v>
      </c>
      <c r="X147" t="s">
        <v>19</v>
      </c>
    </row>
    <row r="148" spans="8:24" x14ac:dyDescent="0.45">
      <c r="H148" t="s">
        <v>1305</v>
      </c>
      <c r="I148" t="s">
        <v>13</v>
      </c>
      <c r="J148">
        <v>7.947846802618324E-3</v>
      </c>
      <c r="K148" t="s">
        <v>14</v>
      </c>
      <c r="U148" t="s">
        <v>1173</v>
      </c>
      <c r="V148" t="s">
        <v>1410</v>
      </c>
      <c r="W148" t="s">
        <v>1198</v>
      </c>
      <c r="X148" t="s">
        <v>19</v>
      </c>
    </row>
    <row r="149" spans="8:24" x14ac:dyDescent="0.45">
      <c r="H149" t="s">
        <v>1305</v>
      </c>
      <c r="I149" t="s">
        <v>27</v>
      </c>
      <c r="J149">
        <v>7.947846802618324E-3</v>
      </c>
      <c r="K149" t="s">
        <v>14</v>
      </c>
      <c r="U149" t="s">
        <v>1173</v>
      </c>
      <c r="V149" t="s">
        <v>1410</v>
      </c>
      <c r="W149" t="s">
        <v>1347</v>
      </c>
      <c r="X149" t="s">
        <v>19</v>
      </c>
    </row>
    <row r="150" spans="8:24" x14ac:dyDescent="0.45">
      <c r="H150" t="s">
        <v>1305</v>
      </c>
      <c r="I150" t="s">
        <v>36</v>
      </c>
      <c r="J150">
        <v>7.947846802618324E-3</v>
      </c>
      <c r="K150" t="s">
        <v>14</v>
      </c>
      <c r="U150" t="s">
        <v>1173</v>
      </c>
      <c r="V150" t="s">
        <v>1411</v>
      </c>
      <c r="W150" t="s">
        <v>1198</v>
      </c>
      <c r="X150" t="s">
        <v>19</v>
      </c>
    </row>
    <row r="151" spans="8:24" x14ac:dyDescent="0.45">
      <c r="H151" t="s">
        <v>1307</v>
      </c>
      <c r="I151" t="s">
        <v>13</v>
      </c>
      <c r="J151">
        <v>3.7711390241672672E-2</v>
      </c>
      <c r="K151" t="s">
        <v>14</v>
      </c>
      <c r="U151" t="s">
        <v>1173</v>
      </c>
      <c r="V151" t="s">
        <v>1411</v>
      </c>
      <c r="W151" t="s">
        <v>1347</v>
      </c>
      <c r="X151" t="s">
        <v>19</v>
      </c>
    </row>
    <row r="152" spans="8:24" x14ac:dyDescent="0.45">
      <c r="H152" t="s">
        <v>1307</v>
      </c>
      <c r="I152" t="s">
        <v>27</v>
      </c>
      <c r="J152">
        <v>3.7711390241672672E-2</v>
      </c>
      <c r="K152" t="s">
        <v>14</v>
      </c>
      <c r="U152" t="s">
        <v>1173</v>
      </c>
      <c r="V152" t="s">
        <v>1412</v>
      </c>
      <c r="W152" t="s">
        <v>1347</v>
      </c>
      <c r="X152" t="s">
        <v>19</v>
      </c>
    </row>
    <row r="153" spans="8:24" x14ac:dyDescent="0.45">
      <c r="H153" t="s">
        <v>1307</v>
      </c>
      <c r="I153" t="s">
        <v>36</v>
      </c>
      <c r="J153">
        <v>3.7711390241672672E-2</v>
      </c>
      <c r="K153" t="s">
        <v>14</v>
      </c>
      <c r="U153" t="s">
        <v>1173</v>
      </c>
      <c r="V153" t="s">
        <v>1413</v>
      </c>
      <c r="W153" t="s">
        <v>1347</v>
      </c>
      <c r="X153" t="s">
        <v>19</v>
      </c>
    </row>
    <row r="154" spans="8:24" x14ac:dyDescent="0.45">
      <c r="H154" t="s">
        <v>1309</v>
      </c>
      <c r="I154" t="s">
        <v>13</v>
      </c>
      <c r="J154">
        <v>3.6057365639975344E-2</v>
      </c>
      <c r="K154" t="s">
        <v>14</v>
      </c>
      <c r="U154" t="s">
        <v>1173</v>
      </c>
      <c r="V154" t="s">
        <v>1414</v>
      </c>
      <c r="W154" t="s">
        <v>1347</v>
      </c>
      <c r="X154" t="s">
        <v>19</v>
      </c>
    </row>
    <row r="155" spans="8:24" x14ac:dyDescent="0.45">
      <c r="H155" t="s">
        <v>1309</v>
      </c>
      <c r="I155" t="s">
        <v>27</v>
      </c>
      <c r="J155">
        <v>3.6057365639975344E-2</v>
      </c>
      <c r="K155" t="s">
        <v>14</v>
      </c>
      <c r="U155" t="s">
        <v>1173</v>
      </c>
      <c r="V155" t="s">
        <v>1414</v>
      </c>
      <c r="W155" t="s">
        <v>1198</v>
      </c>
      <c r="X155" t="s">
        <v>17</v>
      </c>
    </row>
    <row r="156" spans="8:24" x14ac:dyDescent="0.45">
      <c r="H156" t="s">
        <v>1309</v>
      </c>
      <c r="I156" t="s">
        <v>36</v>
      </c>
      <c r="J156">
        <v>3.6057365639975344E-2</v>
      </c>
      <c r="K156" t="s">
        <v>14</v>
      </c>
      <c r="U156" t="s">
        <v>1173</v>
      </c>
      <c r="V156" t="s">
        <v>1415</v>
      </c>
      <c r="W156" t="s">
        <v>1347</v>
      </c>
      <c r="X156" t="s">
        <v>19</v>
      </c>
    </row>
    <row r="157" spans="8:24" x14ac:dyDescent="0.45">
      <c r="H157" t="s">
        <v>1311</v>
      </c>
      <c r="I157" t="s">
        <v>13</v>
      </c>
      <c r="J157">
        <v>0.1825379478489097</v>
      </c>
      <c r="K157" t="s">
        <v>14</v>
      </c>
      <c r="U157" t="s">
        <v>1173</v>
      </c>
      <c r="V157" t="s">
        <v>1415</v>
      </c>
      <c r="W157" t="s">
        <v>1198</v>
      </c>
      <c r="X157" t="s">
        <v>17</v>
      </c>
    </row>
    <row r="158" spans="8:24" x14ac:dyDescent="0.45">
      <c r="H158" t="s">
        <v>1311</v>
      </c>
      <c r="I158" t="s">
        <v>27</v>
      </c>
      <c r="J158">
        <v>0.1825379478489097</v>
      </c>
      <c r="K158" t="s">
        <v>14</v>
      </c>
      <c r="U158" t="s">
        <v>1173</v>
      </c>
      <c r="V158" t="s">
        <v>1416</v>
      </c>
      <c r="W158" t="s">
        <v>1202</v>
      </c>
      <c r="X158" t="s">
        <v>19</v>
      </c>
    </row>
    <row r="159" spans="8:24" x14ac:dyDescent="0.45">
      <c r="H159" t="s">
        <v>1311</v>
      </c>
      <c r="I159" t="s">
        <v>36</v>
      </c>
      <c r="J159">
        <v>0.1825379478489097</v>
      </c>
      <c r="K159" t="s">
        <v>14</v>
      </c>
      <c r="U159" t="s">
        <v>1173</v>
      </c>
      <c r="V159" t="s">
        <v>1417</v>
      </c>
      <c r="W159" t="s">
        <v>1202</v>
      </c>
      <c r="X159" t="s">
        <v>19</v>
      </c>
    </row>
    <row r="160" spans="8:24" x14ac:dyDescent="0.45">
      <c r="H160" t="s">
        <v>1313</v>
      </c>
      <c r="I160" t="s">
        <v>13</v>
      </c>
      <c r="J160">
        <v>2.2195078597178476E-3</v>
      </c>
      <c r="K160" t="s">
        <v>14</v>
      </c>
      <c r="U160" t="s">
        <v>1173</v>
      </c>
      <c r="V160" t="s">
        <v>1418</v>
      </c>
      <c r="W160" t="s">
        <v>1202</v>
      </c>
      <c r="X160" t="s">
        <v>19</v>
      </c>
    </row>
    <row r="161" spans="8:24" x14ac:dyDescent="0.45">
      <c r="H161" t="s">
        <v>1313</v>
      </c>
      <c r="I161" t="s">
        <v>27</v>
      </c>
      <c r="J161">
        <v>2.2195078597178476E-3</v>
      </c>
      <c r="K161" t="s">
        <v>14</v>
      </c>
      <c r="U161" t="s">
        <v>1173</v>
      </c>
      <c r="V161" t="s">
        <v>1419</v>
      </c>
      <c r="W161" t="s">
        <v>1202</v>
      </c>
      <c r="X161" t="s">
        <v>19</v>
      </c>
    </row>
    <row r="162" spans="8:24" x14ac:dyDescent="0.45">
      <c r="H162" t="s">
        <v>1313</v>
      </c>
      <c r="I162" t="s">
        <v>36</v>
      </c>
      <c r="J162">
        <v>2.2195078597178476E-3</v>
      </c>
      <c r="K162" t="s">
        <v>14</v>
      </c>
      <c r="U162" t="s">
        <v>1173</v>
      </c>
      <c r="V162" t="s">
        <v>1420</v>
      </c>
      <c r="W162" t="s">
        <v>1202</v>
      </c>
      <c r="X162" t="s">
        <v>19</v>
      </c>
    </row>
    <row r="163" spans="8:24" x14ac:dyDescent="0.45">
      <c r="H163" t="s">
        <v>1315</v>
      </c>
      <c r="I163" t="s">
        <v>13</v>
      </c>
      <c r="J163">
        <v>0.13233742448566777</v>
      </c>
      <c r="K163" t="s">
        <v>14</v>
      </c>
      <c r="U163" t="s">
        <v>1173</v>
      </c>
      <c r="V163" t="s">
        <v>1421</v>
      </c>
      <c r="W163" t="s">
        <v>1202</v>
      </c>
      <c r="X163" t="s">
        <v>19</v>
      </c>
    </row>
    <row r="164" spans="8:24" x14ac:dyDescent="0.45">
      <c r="H164" t="s">
        <v>1315</v>
      </c>
      <c r="I164" t="s">
        <v>27</v>
      </c>
      <c r="J164">
        <v>0.13233742448566777</v>
      </c>
      <c r="K164" t="s">
        <v>14</v>
      </c>
      <c r="U164" t="s">
        <v>1173</v>
      </c>
      <c r="V164" t="s">
        <v>1422</v>
      </c>
      <c r="W164" t="s">
        <v>1202</v>
      </c>
      <c r="X164" t="s">
        <v>19</v>
      </c>
    </row>
    <row r="165" spans="8:24" x14ac:dyDescent="0.45">
      <c r="H165" t="s">
        <v>1315</v>
      </c>
      <c r="I165" t="s">
        <v>36</v>
      </c>
      <c r="J165">
        <v>0.13233742448566777</v>
      </c>
      <c r="K165" t="s">
        <v>14</v>
      </c>
      <c r="U165" t="s">
        <v>1173</v>
      </c>
      <c r="V165" t="s">
        <v>1423</v>
      </c>
      <c r="W165" t="s">
        <v>1202</v>
      </c>
      <c r="X165" t="s">
        <v>19</v>
      </c>
    </row>
    <row r="166" spans="8:24" x14ac:dyDescent="0.45">
      <c r="H166" t="s">
        <v>1317</v>
      </c>
      <c r="I166" t="s">
        <v>13</v>
      </c>
      <c r="J166">
        <v>4.735852940197284E-2</v>
      </c>
      <c r="K166" t="s">
        <v>14</v>
      </c>
      <c r="U166" t="s">
        <v>1173</v>
      </c>
      <c r="V166" t="s">
        <v>1424</v>
      </c>
      <c r="W166" t="s">
        <v>1202</v>
      </c>
      <c r="X166" t="s">
        <v>19</v>
      </c>
    </row>
    <row r="167" spans="8:24" x14ac:dyDescent="0.45">
      <c r="H167" t="s">
        <v>1317</v>
      </c>
      <c r="I167" t="s">
        <v>27</v>
      </c>
      <c r="J167">
        <v>4.735852940197284E-2</v>
      </c>
      <c r="K167" t="s">
        <v>14</v>
      </c>
      <c r="U167" t="s">
        <v>1173</v>
      </c>
      <c r="V167" t="s">
        <v>1425</v>
      </c>
      <c r="W167" t="s">
        <v>1202</v>
      </c>
      <c r="X167" t="s">
        <v>19</v>
      </c>
    </row>
    <row r="168" spans="8:24" x14ac:dyDescent="0.45">
      <c r="H168" t="s">
        <v>1317</v>
      </c>
      <c r="I168" t="s">
        <v>36</v>
      </c>
      <c r="J168">
        <v>4.735852940197284E-2</v>
      </c>
      <c r="K168" t="s">
        <v>14</v>
      </c>
      <c r="U168" t="s">
        <v>1173</v>
      </c>
      <c r="V168" t="s">
        <v>1426</v>
      </c>
      <c r="W168" t="s">
        <v>1202</v>
      </c>
      <c r="X168" t="s">
        <v>19</v>
      </c>
    </row>
    <row r="169" spans="8:24" x14ac:dyDescent="0.45">
      <c r="H169" t="s">
        <v>1318</v>
      </c>
      <c r="I169" t="s">
        <v>13</v>
      </c>
      <c r="J169">
        <v>8.6134407268121896E-2</v>
      </c>
      <c r="K169" t="s">
        <v>14</v>
      </c>
      <c r="U169" t="s">
        <v>1173</v>
      </c>
      <c r="V169" t="s">
        <v>1426</v>
      </c>
      <c r="W169" t="s">
        <v>1327</v>
      </c>
      <c r="X169" t="s">
        <v>19</v>
      </c>
    </row>
    <row r="170" spans="8:24" x14ac:dyDescent="0.45">
      <c r="H170" t="s">
        <v>1318</v>
      </c>
      <c r="I170" t="s">
        <v>27</v>
      </c>
      <c r="J170">
        <v>8.6134407268121896E-2</v>
      </c>
      <c r="K170" t="s">
        <v>14</v>
      </c>
      <c r="U170" t="s">
        <v>1173</v>
      </c>
      <c r="V170" t="s">
        <v>1427</v>
      </c>
      <c r="W170" t="s">
        <v>1202</v>
      </c>
      <c r="X170" t="s">
        <v>19</v>
      </c>
    </row>
    <row r="171" spans="8:24" x14ac:dyDescent="0.45">
      <c r="H171" t="s">
        <v>1318</v>
      </c>
      <c r="I171" t="s">
        <v>36</v>
      </c>
      <c r="J171">
        <v>8.6134407268121896E-2</v>
      </c>
      <c r="K171" t="s">
        <v>14</v>
      </c>
      <c r="U171" t="s">
        <v>1173</v>
      </c>
      <c r="V171" t="s">
        <v>1427</v>
      </c>
      <c r="W171" t="s">
        <v>1327</v>
      </c>
      <c r="X171" t="s">
        <v>19</v>
      </c>
    </row>
    <row r="172" spans="8:24" x14ac:dyDescent="0.45">
      <c r="H172" t="s">
        <v>1172</v>
      </c>
      <c r="I172" t="s">
        <v>632</v>
      </c>
      <c r="J172">
        <v>0.41186385992792418</v>
      </c>
      <c r="K172" t="s">
        <v>14</v>
      </c>
      <c r="U172" t="s">
        <v>1173</v>
      </c>
      <c r="V172" t="s">
        <v>1428</v>
      </c>
      <c r="W172" t="s">
        <v>1202</v>
      </c>
      <c r="X172" t="s">
        <v>19</v>
      </c>
    </row>
    <row r="173" spans="8:24" x14ac:dyDescent="0.45">
      <c r="H173" t="s">
        <v>1177</v>
      </c>
      <c r="I173" t="s">
        <v>632</v>
      </c>
      <c r="J173">
        <v>0.18529049565834077</v>
      </c>
      <c r="K173" t="s">
        <v>14</v>
      </c>
      <c r="U173" t="s">
        <v>1173</v>
      </c>
      <c r="V173" t="s">
        <v>1428</v>
      </c>
      <c r="W173" t="s">
        <v>1327</v>
      </c>
      <c r="X173" t="s">
        <v>19</v>
      </c>
    </row>
    <row r="174" spans="8:24" x14ac:dyDescent="0.45">
      <c r="H174" t="s">
        <v>1181</v>
      </c>
      <c r="I174" t="s">
        <v>632</v>
      </c>
      <c r="J174">
        <v>6.7123923888975793E-4</v>
      </c>
      <c r="K174" t="s">
        <v>14</v>
      </c>
      <c r="U174" t="s">
        <v>1173</v>
      </c>
      <c r="V174" t="s">
        <v>1429</v>
      </c>
      <c r="W174" t="s">
        <v>1327</v>
      </c>
      <c r="X174" t="s">
        <v>19</v>
      </c>
    </row>
    <row r="175" spans="8:24" x14ac:dyDescent="0.45">
      <c r="H175" t="s">
        <v>1185</v>
      </c>
      <c r="I175" t="s">
        <v>632</v>
      </c>
      <c r="J175">
        <v>1.1363904487957458E-9</v>
      </c>
      <c r="K175" t="s">
        <v>14</v>
      </c>
      <c r="U175" t="s">
        <v>1173</v>
      </c>
      <c r="V175" t="s">
        <v>1430</v>
      </c>
      <c r="W175" t="s">
        <v>1327</v>
      </c>
      <c r="X175" t="s">
        <v>19</v>
      </c>
    </row>
    <row r="176" spans="8:24" x14ac:dyDescent="0.45">
      <c r="H176" t="s">
        <v>1189</v>
      </c>
      <c r="I176" t="s">
        <v>632</v>
      </c>
      <c r="J176">
        <v>2.8409590763030893E-9</v>
      </c>
      <c r="K176" t="s">
        <v>14</v>
      </c>
      <c r="U176" t="s">
        <v>1173</v>
      </c>
      <c r="V176" t="s">
        <v>1431</v>
      </c>
      <c r="W176" t="s">
        <v>1327</v>
      </c>
      <c r="X176" t="s">
        <v>19</v>
      </c>
    </row>
    <row r="177" spans="8:24" x14ac:dyDescent="0.45">
      <c r="H177" t="s">
        <v>1193</v>
      </c>
      <c r="I177" t="s">
        <v>632</v>
      </c>
      <c r="J177">
        <v>1.3485581059745198E-4</v>
      </c>
      <c r="K177" t="s">
        <v>14</v>
      </c>
      <c r="U177" t="s">
        <v>1173</v>
      </c>
      <c r="V177" t="s">
        <v>1431</v>
      </c>
      <c r="W177" t="s">
        <v>1202</v>
      </c>
      <c r="X177" t="s">
        <v>17</v>
      </c>
    </row>
    <row r="178" spans="8:24" x14ac:dyDescent="0.45">
      <c r="H178" t="s">
        <v>1197</v>
      </c>
      <c r="I178" t="s">
        <v>632</v>
      </c>
      <c r="J178">
        <v>1.7102506365702766E-7</v>
      </c>
      <c r="K178" t="s">
        <v>14</v>
      </c>
      <c r="U178" t="s">
        <v>1173</v>
      </c>
      <c r="V178" t="s">
        <v>1432</v>
      </c>
      <c r="W178" t="s">
        <v>1327</v>
      </c>
      <c r="X178" t="s">
        <v>19</v>
      </c>
    </row>
    <row r="179" spans="8:24" x14ac:dyDescent="0.45">
      <c r="H179" t="s">
        <v>1201</v>
      </c>
      <c r="I179" t="s">
        <v>632</v>
      </c>
      <c r="J179">
        <v>3.7591022400412598E-4</v>
      </c>
      <c r="K179" t="s">
        <v>14</v>
      </c>
      <c r="U179" t="s">
        <v>1173</v>
      </c>
      <c r="V179" t="s">
        <v>1432</v>
      </c>
      <c r="W179" t="s">
        <v>1202</v>
      </c>
      <c r="X179" t="s">
        <v>17</v>
      </c>
    </row>
    <row r="180" spans="8:24" x14ac:dyDescent="0.45">
      <c r="H180" t="s">
        <v>1205</v>
      </c>
      <c r="I180" t="s">
        <v>632</v>
      </c>
      <c r="J180">
        <v>3.0910917381262209E-2</v>
      </c>
      <c r="K180" t="s">
        <v>14</v>
      </c>
      <c r="U180" t="s">
        <v>1173</v>
      </c>
      <c r="V180" t="s">
        <v>1433</v>
      </c>
      <c r="W180" t="s">
        <v>1206</v>
      </c>
      <c r="X180" t="s">
        <v>19</v>
      </c>
    </row>
    <row r="181" spans="8:24" x14ac:dyDescent="0.45">
      <c r="H181" t="s">
        <v>1209</v>
      </c>
      <c r="I181" t="s">
        <v>632</v>
      </c>
      <c r="J181">
        <v>8.3510023923373963E-2</v>
      </c>
      <c r="K181" t="s">
        <v>14</v>
      </c>
      <c r="U181" t="s">
        <v>1173</v>
      </c>
      <c r="V181" t="s">
        <v>1434</v>
      </c>
      <c r="W181" t="s">
        <v>1206</v>
      </c>
      <c r="X181" t="s">
        <v>19</v>
      </c>
    </row>
    <row r="182" spans="8:24" x14ac:dyDescent="0.45">
      <c r="H182" t="s">
        <v>1213</v>
      </c>
      <c r="I182" t="s">
        <v>632</v>
      </c>
      <c r="J182">
        <v>1.1363790850048956E-14</v>
      </c>
      <c r="K182" t="s">
        <v>14</v>
      </c>
      <c r="U182" t="s">
        <v>1173</v>
      </c>
      <c r="V182" t="s">
        <v>1435</v>
      </c>
      <c r="W182" t="s">
        <v>1206</v>
      </c>
      <c r="X182" t="s">
        <v>19</v>
      </c>
    </row>
    <row r="183" spans="8:24" x14ac:dyDescent="0.45">
      <c r="H183" t="s">
        <v>1217</v>
      </c>
      <c r="I183" t="s">
        <v>632</v>
      </c>
      <c r="J183">
        <v>6.0301236249645736E-2</v>
      </c>
      <c r="K183" t="s">
        <v>14</v>
      </c>
      <c r="U183" t="s">
        <v>1173</v>
      </c>
      <c r="V183" t="s">
        <v>1436</v>
      </c>
      <c r="W183" t="s">
        <v>1206</v>
      </c>
      <c r="X183" t="s">
        <v>19</v>
      </c>
    </row>
    <row r="184" spans="8:24" x14ac:dyDescent="0.45">
      <c r="H184" t="s">
        <v>1221</v>
      </c>
      <c r="I184" t="s">
        <v>632</v>
      </c>
      <c r="J184">
        <v>0.20694128487894556</v>
      </c>
      <c r="K184" t="s">
        <v>14</v>
      </c>
      <c r="U184" t="s">
        <v>1173</v>
      </c>
      <c r="V184" t="s">
        <v>1437</v>
      </c>
      <c r="W184" t="s">
        <v>1206</v>
      </c>
      <c r="X184" t="s">
        <v>19</v>
      </c>
    </row>
    <row r="185" spans="8:24" x14ac:dyDescent="0.45">
      <c r="H185" t="s">
        <v>1225</v>
      </c>
      <c r="I185" t="s">
        <v>632</v>
      </c>
      <c r="J185">
        <v>1.7045799912981939E-9</v>
      </c>
      <c r="K185" t="s">
        <v>14</v>
      </c>
      <c r="U185" t="s">
        <v>1173</v>
      </c>
      <c r="V185" t="s">
        <v>1438</v>
      </c>
      <c r="W185" t="s">
        <v>1206</v>
      </c>
      <c r="X185" t="s">
        <v>19</v>
      </c>
    </row>
    <row r="186" spans="8:24" x14ac:dyDescent="0.45">
      <c r="H186" t="s">
        <v>1228</v>
      </c>
      <c r="I186" t="s">
        <v>632</v>
      </c>
      <c r="J186">
        <v>1.1363790850048956E-14</v>
      </c>
      <c r="K186" t="s">
        <v>14</v>
      </c>
      <c r="U186" t="s">
        <v>1173</v>
      </c>
      <c r="V186" t="s">
        <v>1439</v>
      </c>
      <c r="W186" t="s">
        <v>1206</v>
      </c>
      <c r="X186" t="s">
        <v>19</v>
      </c>
    </row>
    <row r="187" spans="8:24" x14ac:dyDescent="0.45">
      <c r="H187" t="s">
        <v>1232</v>
      </c>
      <c r="I187" t="s">
        <v>632</v>
      </c>
      <c r="J187">
        <v>0.41186385992792418</v>
      </c>
      <c r="K187" t="s">
        <v>14</v>
      </c>
      <c r="U187" t="s">
        <v>1173</v>
      </c>
      <c r="V187" t="s">
        <v>1440</v>
      </c>
      <c r="W187" t="s">
        <v>1206</v>
      </c>
      <c r="X187" t="s">
        <v>19</v>
      </c>
    </row>
    <row r="188" spans="8:24" x14ac:dyDescent="0.45">
      <c r="H188" t="s">
        <v>1234</v>
      </c>
      <c r="I188" t="s">
        <v>632</v>
      </c>
      <c r="J188">
        <v>0.18529049565834077</v>
      </c>
      <c r="K188" t="s">
        <v>14</v>
      </c>
      <c r="U188" t="s">
        <v>1173</v>
      </c>
      <c r="V188" t="s">
        <v>1441</v>
      </c>
      <c r="W188" t="s">
        <v>1206</v>
      </c>
      <c r="X188" t="s">
        <v>19</v>
      </c>
    </row>
    <row r="189" spans="8:24" x14ac:dyDescent="0.45">
      <c r="H189" t="s">
        <v>1237</v>
      </c>
      <c r="I189" t="s">
        <v>632</v>
      </c>
      <c r="J189">
        <v>6.7123923888975793E-4</v>
      </c>
      <c r="K189" t="s">
        <v>14</v>
      </c>
      <c r="U189" t="s">
        <v>1173</v>
      </c>
      <c r="V189" t="s">
        <v>1442</v>
      </c>
      <c r="W189" t="s">
        <v>1206</v>
      </c>
      <c r="X189" t="s">
        <v>19</v>
      </c>
    </row>
    <row r="190" spans="8:24" x14ac:dyDescent="0.45">
      <c r="H190" t="s">
        <v>1240</v>
      </c>
      <c r="I190" t="s">
        <v>632</v>
      </c>
      <c r="J190">
        <v>1.1363904487957458E-9</v>
      </c>
      <c r="K190" t="s">
        <v>14</v>
      </c>
      <c r="U190" t="s">
        <v>1173</v>
      </c>
      <c r="V190" t="s">
        <v>1443</v>
      </c>
      <c r="W190" t="s">
        <v>1206</v>
      </c>
      <c r="X190" t="s">
        <v>19</v>
      </c>
    </row>
    <row r="191" spans="8:24" x14ac:dyDescent="0.45">
      <c r="H191" t="s">
        <v>1243</v>
      </c>
      <c r="I191" t="s">
        <v>632</v>
      </c>
      <c r="J191">
        <v>2.8409590763030893E-9</v>
      </c>
      <c r="K191" t="s">
        <v>14</v>
      </c>
      <c r="U191" t="s">
        <v>1173</v>
      </c>
      <c r="V191" t="s">
        <v>1443</v>
      </c>
      <c r="W191" t="s">
        <v>1341</v>
      </c>
      <c r="X191" t="s">
        <v>19</v>
      </c>
    </row>
    <row r="192" spans="8:24" x14ac:dyDescent="0.45">
      <c r="H192" t="s">
        <v>1245</v>
      </c>
      <c r="I192" t="s">
        <v>632</v>
      </c>
      <c r="J192">
        <v>1.3485581059745198E-4</v>
      </c>
      <c r="K192" t="s">
        <v>14</v>
      </c>
      <c r="U192" t="s">
        <v>1173</v>
      </c>
      <c r="V192" t="s">
        <v>1444</v>
      </c>
      <c r="W192" t="s">
        <v>1206</v>
      </c>
      <c r="X192" t="s">
        <v>19</v>
      </c>
    </row>
    <row r="193" spans="8:24" x14ac:dyDescent="0.45">
      <c r="H193" t="s">
        <v>1248</v>
      </c>
      <c r="I193" t="s">
        <v>632</v>
      </c>
      <c r="J193">
        <v>1.7102506365702766E-7</v>
      </c>
      <c r="K193" t="s">
        <v>14</v>
      </c>
      <c r="U193" t="s">
        <v>1173</v>
      </c>
      <c r="V193" t="s">
        <v>1444</v>
      </c>
      <c r="W193" t="s">
        <v>1341</v>
      </c>
      <c r="X193" t="s">
        <v>19</v>
      </c>
    </row>
    <row r="194" spans="8:24" x14ac:dyDescent="0.45">
      <c r="H194" t="s">
        <v>1250</v>
      </c>
      <c r="I194" t="s">
        <v>632</v>
      </c>
      <c r="J194">
        <v>3.7591022400412598E-4</v>
      </c>
      <c r="K194" t="s">
        <v>14</v>
      </c>
      <c r="U194" t="s">
        <v>1173</v>
      </c>
      <c r="V194" t="s">
        <v>1445</v>
      </c>
      <c r="W194" t="s">
        <v>1206</v>
      </c>
      <c r="X194" t="s">
        <v>19</v>
      </c>
    </row>
    <row r="195" spans="8:24" x14ac:dyDescent="0.45">
      <c r="H195" t="s">
        <v>1253</v>
      </c>
      <c r="I195" t="s">
        <v>632</v>
      </c>
      <c r="J195">
        <v>3.0910917381262209E-2</v>
      </c>
      <c r="K195" t="s">
        <v>14</v>
      </c>
      <c r="U195" t="s">
        <v>1173</v>
      </c>
      <c r="V195" t="s">
        <v>1445</v>
      </c>
      <c r="W195" t="s">
        <v>1341</v>
      </c>
      <c r="X195" t="s">
        <v>19</v>
      </c>
    </row>
    <row r="196" spans="8:24" x14ac:dyDescent="0.45">
      <c r="H196" t="s">
        <v>1255</v>
      </c>
      <c r="I196" t="s">
        <v>632</v>
      </c>
      <c r="J196">
        <v>8.3510023923373963E-2</v>
      </c>
      <c r="K196" t="s">
        <v>14</v>
      </c>
      <c r="U196" t="s">
        <v>1173</v>
      </c>
      <c r="V196" t="s">
        <v>1446</v>
      </c>
      <c r="W196" t="s">
        <v>1341</v>
      </c>
      <c r="X196" t="s">
        <v>19</v>
      </c>
    </row>
    <row r="197" spans="8:24" x14ac:dyDescent="0.45">
      <c r="H197" t="s">
        <v>1257</v>
      </c>
      <c r="I197" t="s">
        <v>632</v>
      </c>
      <c r="J197">
        <v>1.1363790850048956E-14</v>
      </c>
      <c r="K197" t="s">
        <v>14</v>
      </c>
      <c r="U197" t="s">
        <v>1173</v>
      </c>
      <c r="V197" t="s">
        <v>1447</v>
      </c>
      <c r="W197" t="s">
        <v>1341</v>
      </c>
      <c r="X197" t="s">
        <v>19</v>
      </c>
    </row>
    <row r="198" spans="8:24" x14ac:dyDescent="0.45">
      <c r="H198" t="s">
        <v>1259</v>
      </c>
      <c r="I198" t="s">
        <v>632</v>
      </c>
      <c r="J198">
        <v>6.0301236249645736E-2</v>
      </c>
      <c r="K198" t="s">
        <v>14</v>
      </c>
      <c r="U198" t="s">
        <v>1173</v>
      </c>
      <c r="V198" t="s">
        <v>1448</v>
      </c>
      <c r="W198" t="s">
        <v>1341</v>
      </c>
      <c r="X198" t="s">
        <v>19</v>
      </c>
    </row>
    <row r="199" spans="8:24" x14ac:dyDescent="0.45">
      <c r="H199" t="s">
        <v>1261</v>
      </c>
      <c r="I199" t="s">
        <v>632</v>
      </c>
      <c r="J199">
        <v>0.20694128487894556</v>
      </c>
      <c r="K199" t="s">
        <v>14</v>
      </c>
      <c r="U199" t="s">
        <v>1173</v>
      </c>
      <c r="V199" t="s">
        <v>1448</v>
      </c>
      <c r="W199" t="s">
        <v>1206</v>
      </c>
      <c r="X199" t="s">
        <v>17</v>
      </c>
    </row>
    <row r="200" spans="8:24" x14ac:dyDescent="0.45">
      <c r="H200" t="s">
        <v>1263</v>
      </c>
      <c r="I200" t="s">
        <v>632</v>
      </c>
      <c r="J200">
        <v>1.7045799912981939E-9</v>
      </c>
      <c r="K200" t="s">
        <v>14</v>
      </c>
      <c r="U200" t="s">
        <v>1173</v>
      </c>
      <c r="V200" t="s">
        <v>1449</v>
      </c>
      <c r="W200" t="s">
        <v>1341</v>
      </c>
      <c r="X200" t="s">
        <v>19</v>
      </c>
    </row>
    <row r="201" spans="8:24" x14ac:dyDescent="0.45">
      <c r="H201" t="s">
        <v>1265</v>
      </c>
      <c r="I201" t="s">
        <v>632</v>
      </c>
      <c r="J201">
        <v>1.1363790850048956E-14</v>
      </c>
      <c r="K201" t="s">
        <v>14</v>
      </c>
      <c r="U201" t="s">
        <v>1173</v>
      </c>
      <c r="V201" t="s">
        <v>1449</v>
      </c>
      <c r="W201" t="s">
        <v>1206</v>
      </c>
      <c r="X201" t="s">
        <v>17</v>
      </c>
    </row>
    <row r="202" spans="8:24" x14ac:dyDescent="0.45">
      <c r="H202" t="s">
        <v>1267</v>
      </c>
      <c r="I202" t="s">
        <v>632</v>
      </c>
      <c r="J202">
        <v>0.41186385992792418</v>
      </c>
      <c r="K202" t="s">
        <v>14</v>
      </c>
      <c r="U202" t="s">
        <v>1173</v>
      </c>
      <c r="V202" t="s">
        <v>1450</v>
      </c>
      <c r="W202" t="s">
        <v>1210</v>
      </c>
      <c r="X202" t="s">
        <v>19</v>
      </c>
    </row>
    <row r="203" spans="8:24" x14ac:dyDescent="0.45">
      <c r="H203" t="s">
        <v>1269</v>
      </c>
      <c r="I203" t="s">
        <v>632</v>
      </c>
      <c r="J203">
        <v>0.18529049565834077</v>
      </c>
      <c r="K203" t="s">
        <v>14</v>
      </c>
      <c r="U203" t="s">
        <v>1173</v>
      </c>
      <c r="V203" t="s">
        <v>1451</v>
      </c>
      <c r="W203" t="s">
        <v>1210</v>
      </c>
      <c r="X203" t="s">
        <v>19</v>
      </c>
    </row>
    <row r="204" spans="8:24" x14ac:dyDescent="0.45">
      <c r="H204" t="s">
        <v>1271</v>
      </c>
      <c r="I204" t="s">
        <v>632</v>
      </c>
      <c r="J204">
        <v>6.7123923888975793E-4</v>
      </c>
      <c r="K204" t="s">
        <v>14</v>
      </c>
      <c r="U204" t="s">
        <v>1173</v>
      </c>
      <c r="V204" t="s">
        <v>1452</v>
      </c>
      <c r="W204" t="s">
        <v>1210</v>
      </c>
      <c r="X204" t="s">
        <v>19</v>
      </c>
    </row>
    <row r="205" spans="8:24" x14ac:dyDescent="0.45">
      <c r="H205" t="s">
        <v>1273</v>
      </c>
      <c r="I205" t="s">
        <v>632</v>
      </c>
      <c r="J205">
        <v>1.1363904487957458E-9</v>
      </c>
      <c r="K205" t="s">
        <v>14</v>
      </c>
      <c r="U205" t="s">
        <v>1173</v>
      </c>
      <c r="V205" t="s">
        <v>1453</v>
      </c>
      <c r="W205" t="s">
        <v>1210</v>
      </c>
      <c r="X205" t="s">
        <v>19</v>
      </c>
    </row>
    <row r="206" spans="8:24" x14ac:dyDescent="0.45">
      <c r="H206" t="s">
        <v>1275</v>
      </c>
      <c r="I206" t="s">
        <v>632</v>
      </c>
      <c r="J206">
        <v>2.8409590763030893E-9</v>
      </c>
      <c r="K206" t="s">
        <v>14</v>
      </c>
      <c r="U206" t="s">
        <v>1173</v>
      </c>
      <c r="V206" t="s">
        <v>1454</v>
      </c>
      <c r="W206" t="s">
        <v>1210</v>
      </c>
      <c r="X206" t="s">
        <v>19</v>
      </c>
    </row>
    <row r="207" spans="8:24" x14ac:dyDescent="0.45">
      <c r="H207" t="s">
        <v>1277</v>
      </c>
      <c r="I207" t="s">
        <v>632</v>
      </c>
      <c r="J207">
        <v>1.3485581059745198E-4</v>
      </c>
      <c r="K207" t="s">
        <v>14</v>
      </c>
      <c r="U207" t="s">
        <v>1173</v>
      </c>
      <c r="V207" t="s">
        <v>1455</v>
      </c>
      <c r="W207" t="s">
        <v>1210</v>
      </c>
      <c r="X207" t="s">
        <v>19</v>
      </c>
    </row>
    <row r="208" spans="8:24" x14ac:dyDescent="0.45">
      <c r="H208" t="s">
        <v>1278</v>
      </c>
      <c r="I208" t="s">
        <v>632</v>
      </c>
      <c r="J208">
        <v>1.7102506365702766E-7</v>
      </c>
      <c r="K208" t="s">
        <v>14</v>
      </c>
      <c r="U208" t="s">
        <v>1173</v>
      </c>
      <c r="V208" t="s">
        <v>1456</v>
      </c>
      <c r="W208" t="s">
        <v>1210</v>
      </c>
      <c r="X208" t="s">
        <v>19</v>
      </c>
    </row>
    <row r="209" spans="8:24" x14ac:dyDescent="0.45">
      <c r="H209" t="s">
        <v>1280</v>
      </c>
      <c r="I209" t="s">
        <v>632</v>
      </c>
      <c r="J209">
        <v>3.7591022400412598E-4</v>
      </c>
      <c r="K209" t="s">
        <v>14</v>
      </c>
      <c r="U209" t="s">
        <v>1173</v>
      </c>
      <c r="V209" t="s">
        <v>1457</v>
      </c>
      <c r="W209" t="s">
        <v>1210</v>
      </c>
      <c r="X209" t="s">
        <v>19</v>
      </c>
    </row>
    <row r="210" spans="8:24" x14ac:dyDescent="0.45">
      <c r="H210" t="s">
        <v>1281</v>
      </c>
      <c r="I210" t="s">
        <v>632</v>
      </c>
      <c r="J210">
        <v>3.0910917381262209E-2</v>
      </c>
      <c r="K210" t="s">
        <v>14</v>
      </c>
      <c r="U210" t="s">
        <v>1173</v>
      </c>
      <c r="V210" t="s">
        <v>1458</v>
      </c>
      <c r="W210" t="s">
        <v>1210</v>
      </c>
      <c r="X210" t="s">
        <v>19</v>
      </c>
    </row>
    <row r="211" spans="8:24" x14ac:dyDescent="0.45">
      <c r="H211" t="s">
        <v>1283</v>
      </c>
      <c r="I211" t="s">
        <v>632</v>
      </c>
      <c r="J211">
        <v>8.3510023923373963E-2</v>
      </c>
      <c r="K211" t="s">
        <v>14</v>
      </c>
      <c r="U211" t="s">
        <v>1173</v>
      </c>
      <c r="V211" t="s">
        <v>1459</v>
      </c>
      <c r="W211" t="s">
        <v>1210</v>
      </c>
      <c r="X211" t="s">
        <v>19</v>
      </c>
    </row>
    <row r="212" spans="8:24" x14ac:dyDescent="0.45">
      <c r="H212" t="s">
        <v>1285</v>
      </c>
      <c r="I212" t="s">
        <v>632</v>
      </c>
      <c r="J212">
        <v>1.1363790850048956E-14</v>
      </c>
      <c r="K212" t="s">
        <v>14</v>
      </c>
      <c r="U212" t="s">
        <v>1173</v>
      </c>
      <c r="V212" t="s">
        <v>1460</v>
      </c>
      <c r="W212" t="s">
        <v>1210</v>
      </c>
      <c r="X212" t="s">
        <v>19</v>
      </c>
    </row>
    <row r="213" spans="8:24" x14ac:dyDescent="0.45">
      <c r="H213" t="s">
        <v>1287</v>
      </c>
      <c r="I213" t="s">
        <v>632</v>
      </c>
      <c r="J213">
        <v>6.0301236249645736E-2</v>
      </c>
      <c r="K213" t="s">
        <v>14</v>
      </c>
      <c r="U213" t="s">
        <v>1173</v>
      </c>
      <c r="V213" t="s">
        <v>1460</v>
      </c>
      <c r="W213" t="s">
        <v>1330</v>
      </c>
      <c r="X213" t="s">
        <v>19</v>
      </c>
    </row>
    <row r="214" spans="8:24" x14ac:dyDescent="0.45">
      <c r="H214" t="s">
        <v>1288</v>
      </c>
      <c r="I214" t="s">
        <v>632</v>
      </c>
      <c r="J214">
        <v>0.20694128487894556</v>
      </c>
      <c r="K214" t="s">
        <v>14</v>
      </c>
      <c r="U214" t="s">
        <v>1173</v>
      </c>
      <c r="V214" t="s">
        <v>1461</v>
      </c>
      <c r="W214" t="s">
        <v>1210</v>
      </c>
      <c r="X214" t="s">
        <v>19</v>
      </c>
    </row>
    <row r="215" spans="8:24" x14ac:dyDescent="0.45">
      <c r="H215" t="s">
        <v>1290</v>
      </c>
      <c r="I215" t="s">
        <v>632</v>
      </c>
      <c r="J215">
        <v>1.7045799912981939E-9</v>
      </c>
      <c r="K215" t="s">
        <v>14</v>
      </c>
      <c r="U215" t="s">
        <v>1173</v>
      </c>
      <c r="V215" t="s">
        <v>1461</v>
      </c>
      <c r="W215" t="s">
        <v>1330</v>
      </c>
      <c r="X215" t="s">
        <v>19</v>
      </c>
    </row>
    <row r="216" spans="8:24" x14ac:dyDescent="0.45">
      <c r="H216" t="s">
        <v>1291</v>
      </c>
      <c r="I216" t="s">
        <v>632</v>
      </c>
      <c r="J216">
        <v>1.1363790850048956E-14</v>
      </c>
      <c r="K216" t="s">
        <v>14</v>
      </c>
      <c r="U216" t="s">
        <v>1173</v>
      </c>
      <c r="V216" t="s">
        <v>1462</v>
      </c>
      <c r="W216" t="s">
        <v>1210</v>
      </c>
      <c r="X216" t="s">
        <v>19</v>
      </c>
    </row>
    <row r="217" spans="8:24" x14ac:dyDescent="0.45">
      <c r="H217" t="s">
        <v>1293</v>
      </c>
      <c r="I217" t="s">
        <v>632</v>
      </c>
      <c r="J217">
        <v>0.41186385992792418</v>
      </c>
      <c r="K217" t="s">
        <v>14</v>
      </c>
      <c r="U217" t="s">
        <v>1173</v>
      </c>
      <c r="V217" t="s">
        <v>1462</v>
      </c>
      <c r="W217" t="s">
        <v>1330</v>
      </c>
      <c r="X217" t="s">
        <v>19</v>
      </c>
    </row>
    <row r="218" spans="8:24" x14ac:dyDescent="0.45">
      <c r="H218" t="s">
        <v>1295</v>
      </c>
      <c r="I218" t="s">
        <v>632</v>
      </c>
      <c r="J218">
        <v>0.18529049565834077</v>
      </c>
      <c r="K218" t="s">
        <v>14</v>
      </c>
      <c r="U218" t="s">
        <v>1173</v>
      </c>
      <c r="V218" t="s">
        <v>1463</v>
      </c>
      <c r="W218" t="s">
        <v>1330</v>
      </c>
      <c r="X218" t="s">
        <v>19</v>
      </c>
    </row>
    <row r="219" spans="8:24" x14ac:dyDescent="0.45">
      <c r="H219" t="s">
        <v>1297</v>
      </c>
      <c r="I219" t="s">
        <v>632</v>
      </c>
      <c r="J219">
        <v>6.7123923888975793E-4</v>
      </c>
      <c r="K219" t="s">
        <v>14</v>
      </c>
      <c r="U219" t="s">
        <v>1173</v>
      </c>
      <c r="V219" t="s">
        <v>1464</v>
      </c>
      <c r="W219" t="s">
        <v>1330</v>
      </c>
      <c r="X219" t="s">
        <v>19</v>
      </c>
    </row>
    <row r="220" spans="8:24" x14ac:dyDescent="0.45">
      <c r="H220" t="s">
        <v>1299</v>
      </c>
      <c r="I220" t="s">
        <v>632</v>
      </c>
      <c r="J220">
        <v>1.1363904487957458E-9</v>
      </c>
      <c r="K220" t="s">
        <v>14</v>
      </c>
      <c r="U220" t="s">
        <v>1173</v>
      </c>
      <c r="V220" t="s">
        <v>1465</v>
      </c>
      <c r="W220" t="s">
        <v>1330</v>
      </c>
      <c r="X220" t="s">
        <v>19</v>
      </c>
    </row>
    <row r="221" spans="8:24" x14ac:dyDescent="0.45">
      <c r="H221" t="s">
        <v>1301</v>
      </c>
      <c r="I221" t="s">
        <v>632</v>
      </c>
      <c r="J221">
        <v>2.8409590763030893E-9</v>
      </c>
      <c r="K221" t="s">
        <v>14</v>
      </c>
      <c r="U221" t="s">
        <v>1173</v>
      </c>
      <c r="V221" t="s">
        <v>1465</v>
      </c>
      <c r="W221" t="s">
        <v>1210</v>
      </c>
      <c r="X221" t="s">
        <v>17</v>
      </c>
    </row>
    <row r="222" spans="8:24" x14ac:dyDescent="0.45">
      <c r="H222" t="s">
        <v>1303</v>
      </c>
      <c r="I222" t="s">
        <v>632</v>
      </c>
      <c r="J222">
        <v>1.3485581059745198E-4</v>
      </c>
      <c r="K222" t="s">
        <v>14</v>
      </c>
      <c r="U222" t="s">
        <v>1173</v>
      </c>
      <c r="V222" t="s">
        <v>1466</v>
      </c>
      <c r="W222" t="s">
        <v>1330</v>
      </c>
      <c r="X222" t="s">
        <v>19</v>
      </c>
    </row>
    <row r="223" spans="8:24" x14ac:dyDescent="0.45">
      <c r="H223" t="s">
        <v>1305</v>
      </c>
      <c r="I223" t="s">
        <v>632</v>
      </c>
      <c r="J223">
        <v>1.7102506365702766E-7</v>
      </c>
      <c r="K223" t="s">
        <v>14</v>
      </c>
      <c r="U223" t="s">
        <v>1173</v>
      </c>
      <c r="V223" t="s">
        <v>1466</v>
      </c>
      <c r="W223" t="s">
        <v>1210</v>
      </c>
      <c r="X223" t="s">
        <v>17</v>
      </c>
    </row>
    <row r="224" spans="8:24" x14ac:dyDescent="0.45">
      <c r="H224" t="s">
        <v>1307</v>
      </c>
      <c r="I224" t="s">
        <v>632</v>
      </c>
      <c r="J224">
        <v>3.7591022400412598E-4</v>
      </c>
      <c r="K224" t="s">
        <v>14</v>
      </c>
      <c r="U224" t="s">
        <v>1173</v>
      </c>
      <c r="V224" t="s">
        <v>1467</v>
      </c>
      <c r="W224" t="s">
        <v>1214</v>
      </c>
      <c r="X224" t="s">
        <v>19</v>
      </c>
    </row>
    <row r="225" spans="8:24" x14ac:dyDescent="0.45">
      <c r="H225" t="s">
        <v>1309</v>
      </c>
      <c r="I225" t="s">
        <v>632</v>
      </c>
      <c r="J225">
        <v>3.0910917381262209E-2</v>
      </c>
      <c r="K225" t="s">
        <v>14</v>
      </c>
      <c r="U225" t="s">
        <v>1173</v>
      </c>
      <c r="V225" t="s">
        <v>1468</v>
      </c>
      <c r="W225" t="s">
        <v>1214</v>
      </c>
      <c r="X225" t="s">
        <v>19</v>
      </c>
    </row>
    <row r="226" spans="8:24" x14ac:dyDescent="0.45">
      <c r="H226" t="s">
        <v>1311</v>
      </c>
      <c r="I226" t="s">
        <v>632</v>
      </c>
      <c r="J226">
        <v>8.3510023923373963E-2</v>
      </c>
      <c r="K226" t="s">
        <v>14</v>
      </c>
      <c r="U226" t="s">
        <v>1173</v>
      </c>
      <c r="V226" t="s">
        <v>1469</v>
      </c>
      <c r="W226" t="s">
        <v>1214</v>
      </c>
      <c r="X226" t="s">
        <v>19</v>
      </c>
    </row>
    <row r="227" spans="8:24" x14ac:dyDescent="0.45">
      <c r="H227" t="s">
        <v>1313</v>
      </c>
      <c r="I227" t="s">
        <v>632</v>
      </c>
      <c r="J227">
        <v>1.1363790850048956E-14</v>
      </c>
      <c r="K227" t="s">
        <v>14</v>
      </c>
      <c r="U227" t="s">
        <v>1173</v>
      </c>
      <c r="V227" t="s">
        <v>1470</v>
      </c>
      <c r="W227" t="s">
        <v>1214</v>
      </c>
      <c r="X227" t="s">
        <v>19</v>
      </c>
    </row>
    <row r="228" spans="8:24" x14ac:dyDescent="0.45">
      <c r="H228" t="s">
        <v>1315</v>
      </c>
      <c r="I228" t="s">
        <v>632</v>
      </c>
      <c r="J228">
        <v>6.0301236249645736E-2</v>
      </c>
      <c r="K228" t="s">
        <v>14</v>
      </c>
      <c r="U228" t="s">
        <v>1173</v>
      </c>
      <c r="V228" t="s">
        <v>1471</v>
      </c>
      <c r="W228" t="s">
        <v>1214</v>
      </c>
      <c r="X228" t="s">
        <v>19</v>
      </c>
    </row>
    <row r="229" spans="8:24" x14ac:dyDescent="0.45">
      <c r="H229" t="s">
        <v>1317</v>
      </c>
      <c r="I229" t="s">
        <v>632</v>
      </c>
      <c r="J229">
        <v>0.20694128487894556</v>
      </c>
      <c r="K229" t="s">
        <v>14</v>
      </c>
      <c r="U229" t="s">
        <v>1173</v>
      </c>
      <c r="V229" t="s">
        <v>1472</v>
      </c>
      <c r="W229" t="s">
        <v>1214</v>
      </c>
      <c r="X229" t="s">
        <v>19</v>
      </c>
    </row>
    <row r="230" spans="8:24" x14ac:dyDescent="0.45">
      <c r="H230" t="s">
        <v>1318</v>
      </c>
      <c r="I230" t="s">
        <v>632</v>
      </c>
      <c r="J230">
        <v>1.7045799912981939E-9</v>
      </c>
      <c r="K230" t="s">
        <v>14</v>
      </c>
      <c r="U230" t="s">
        <v>1173</v>
      </c>
      <c r="V230" t="s">
        <v>1473</v>
      </c>
      <c r="W230" t="s">
        <v>1214</v>
      </c>
      <c r="X230" t="s">
        <v>19</v>
      </c>
    </row>
    <row r="231" spans="8:24" x14ac:dyDescent="0.45">
      <c r="H231" t="s">
        <v>1320</v>
      </c>
      <c r="I231" t="s">
        <v>632</v>
      </c>
      <c r="J231">
        <v>1.1363790850048956E-14</v>
      </c>
      <c r="K231" t="s">
        <v>14</v>
      </c>
      <c r="U231" t="s">
        <v>1173</v>
      </c>
      <c r="V231" t="s">
        <v>1474</v>
      </c>
      <c r="W231" t="s">
        <v>1214</v>
      </c>
      <c r="X231" t="s">
        <v>19</v>
      </c>
    </row>
    <row r="232" spans="8:24" x14ac:dyDescent="0.45">
      <c r="H232" t="s">
        <v>1321</v>
      </c>
      <c r="I232" t="s">
        <v>738</v>
      </c>
      <c r="J232">
        <v>0.24919063507671901</v>
      </c>
      <c r="K232" t="s">
        <v>14</v>
      </c>
      <c r="U232" t="s">
        <v>1173</v>
      </c>
      <c r="V232" t="s">
        <v>1475</v>
      </c>
      <c r="W232" t="s">
        <v>1214</v>
      </c>
      <c r="X232" t="s">
        <v>19</v>
      </c>
    </row>
    <row r="233" spans="8:24" x14ac:dyDescent="0.45">
      <c r="H233" t="s">
        <v>1321</v>
      </c>
      <c r="I233" t="s">
        <v>740</v>
      </c>
      <c r="J233">
        <v>0.66337237415643713</v>
      </c>
      <c r="K233" t="s">
        <v>14</v>
      </c>
      <c r="U233" t="s">
        <v>1173</v>
      </c>
      <c r="V233" t="s">
        <v>1476</v>
      </c>
      <c r="W233" t="s">
        <v>1214</v>
      </c>
      <c r="X233" t="s">
        <v>19</v>
      </c>
    </row>
    <row r="234" spans="8:24" x14ac:dyDescent="0.45">
      <c r="H234" t="s">
        <v>1323</v>
      </c>
      <c r="I234" t="s">
        <v>738</v>
      </c>
      <c r="J234">
        <v>2.06826688341267E-2</v>
      </c>
      <c r="K234" t="s">
        <v>14</v>
      </c>
      <c r="U234" t="s">
        <v>1173</v>
      </c>
      <c r="V234" t="s">
        <v>1477</v>
      </c>
      <c r="W234" t="s">
        <v>1214</v>
      </c>
      <c r="X234" t="s">
        <v>19</v>
      </c>
    </row>
    <row r="235" spans="8:24" x14ac:dyDescent="0.45">
      <c r="H235" t="s">
        <v>1323</v>
      </c>
      <c r="I235" t="s">
        <v>740</v>
      </c>
      <c r="J235">
        <v>6.4103611017998996E-2</v>
      </c>
      <c r="K235" t="s">
        <v>14</v>
      </c>
      <c r="U235" t="s">
        <v>1173</v>
      </c>
      <c r="V235" t="s">
        <v>1477</v>
      </c>
      <c r="W235" t="s">
        <v>1478</v>
      </c>
      <c r="X235" t="s">
        <v>19</v>
      </c>
    </row>
    <row r="236" spans="8:24" x14ac:dyDescent="0.45">
      <c r="H236" t="s">
        <v>1326</v>
      </c>
      <c r="I236" t="s">
        <v>738</v>
      </c>
      <c r="J236">
        <v>3.6734986421416999E-3</v>
      </c>
      <c r="K236" t="s">
        <v>14</v>
      </c>
      <c r="U236" t="s">
        <v>1173</v>
      </c>
      <c r="V236" t="s">
        <v>1479</v>
      </c>
      <c r="W236" t="s">
        <v>1214</v>
      </c>
      <c r="X236" t="s">
        <v>19</v>
      </c>
    </row>
    <row r="237" spans="8:24" x14ac:dyDescent="0.45">
      <c r="H237" t="s">
        <v>1326</v>
      </c>
      <c r="I237" t="s">
        <v>740</v>
      </c>
      <c r="J237">
        <v>2.5972781464577423E-5</v>
      </c>
      <c r="K237" t="s">
        <v>14</v>
      </c>
      <c r="U237" t="s">
        <v>1173</v>
      </c>
      <c r="V237" t="s">
        <v>1479</v>
      </c>
      <c r="W237" t="s">
        <v>1478</v>
      </c>
      <c r="X237" t="s">
        <v>19</v>
      </c>
    </row>
    <row r="238" spans="8:24" x14ac:dyDescent="0.45">
      <c r="H238" t="s">
        <v>1329</v>
      </c>
      <c r="I238" t="s">
        <v>738</v>
      </c>
      <c r="J238">
        <v>0.37069227858616921</v>
      </c>
      <c r="K238" t="s">
        <v>14</v>
      </c>
      <c r="U238" t="s">
        <v>1173</v>
      </c>
      <c r="V238" t="s">
        <v>1480</v>
      </c>
      <c r="W238" t="s">
        <v>1214</v>
      </c>
      <c r="X238" t="s">
        <v>19</v>
      </c>
    </row>
    <row r="239" spans="8:24" x14ac:dyDescent="0.45">
      <c r="H239" t="s">
        <v>1329</v>
      </c>
      <c r="I239" t="s">
        <v>740</v>
      </c>
      <c r="J239">
        <v>0.1202890146203283</v>
      </c>
      <c r="K239" t="s">
        <v>14</v>
      </c>
      <c r="U239" t="s">
        <v>1173</v>
      </c>
      <c r="V239" t="s">
        <v>1480</v>
      </c>
      <c r="W239" t="s">
        <v>1478</v>
      </c>
      <c r="X239" t="s">
        <v>19</v>
      </c>
    </row>
    <row r="240" spans="8:24" x14ac:dyDescent="0.45">
      <c r="H240" t="s">
        <v>1331</v>
      </c>
      <c r="I240" t="s">
        <v>738</v>
      </c>
      <c r="J240">
        <v>7.8726839946950005E-4</v>
      </c>
      <c r="K240" t="s">
        <v>14</v>
      </c>
      <c r="U240" t="s">
        <v>1173</v>
      </c>
      <c r="V240" t="s">
        <v>1481</v>
      </c>
      <c r="W240" t="s">
        <v>1478</v>
      </c>
      <c r="X240" t="s">
        <v>19</v>
      </c>
    </row>
    <row r="241" spans="8:24" x14ac:dyDescent="0.45">
      <c r="H241" t="s">
        <v>1331</v>
      </c>
      <c r="I241" t="s">
        <v>740</v>
      </c>
      <c r="J241">
        <v>4.1374763622603749E-5</v>
      </c>
      <c r="K241" t="s">
        <v>14</v>
      </c>
      <c r="U241" t="s">
        <v>1173</v>
      </c>
      <c r="V241" t="s">
        <v>1482</v>
      </c>
      <c r="W241" t="s">
        <v>1478</v>
      </c>
      <c r="X241" t="s">
        <v>19</v>
      </c>
    </row>
    <row r="242" spans="8:24" x14ac:dyDescent="0.45">
      <c r="H242" t="s">
        <v>1333</v>
      </c>
      <c r="I242" t="s">
        <v>738</v>
      </c>
      <c r="J242">
        <v>0.26320468084908349</v>
      </c>
      <c r="K242" t="s">
        <v>14</v>
      </c>
      <c r="U242" t="s">
        <v>1173</v>
      </c>
      <c r="V242" t="s">
        <v>1483</v>
      </c>
      <c r="W242" t="s">
        <v>1478</v>
      </c>
      <c r="X242" t="s">
        <v>19</v>
      </c>
    </row>
    <row r="243" spans="8:24" x14ac:dyDescent="0.45">
      <c r="H243" t="s">
        <v>1333</v>
      </c>
      <c r="I243" t="s">
        <v>740</v>
      </c>
      <c r="J243">
        <v>0.1098203222359125</v>
      </c>
      <c r="K243" t="s">
        <v>14</v>
      </c>
      <c r="U243" t="s">
        <v>1173</v>
      </c>
      <c r="V243" t="s">
        <v>1483</v>
      </c>
      <c r="W243" t="s">
        <v>1214</v>
      </c>
      <c r="X243" t="s">
        <v>17</v>
      </c>
    </row>
    <row r="244" spans="8:24" x14ac:dyDescent="0.45">
      <c r="H244" t="s">
        <v>1334</v>
      </c>
      <c r="I244" t="s">
        <v>738</v>
      </c>
      <c r="J244">
        <v>5.6322393194851599E-2</v>
      </c>
      <c r="K244" t="s">
        <v>14</v>
      </c>
      <c r="U244" t="s">
        <v>1173</v>
      </c>
      <c r="V244" t="s">
        <v>1484</v>
      </c>
      <c r="W244" t="s">
        <v>1478</v>
      </c>
      <c r="X244" t="s">
        <v>19</v>
      </c>
    </row>
    <row r="245" spans="8:24" x14ac:dyDescent="0.45">
      <c r="H245" t="s">
        <v>1334</v>
      </c>
      <c r="I245" t="s">
        <v>740</v>
      </c>
      <c r="J245">
        <v>1.82033626258318E-2</v>
      </c>
      <c r="K245" t="s">
        <v>14</v>
      </c>
      <c r="U245" t="s">
        <v>1173</v>
      </c>
      <c r="V245" t="s">
        <v>1484</v>
      </c>
      <c r="W245" t="s">
        <v>1214</v>
      </c>
      <c r="X245" t="s">
        <v>17</v>
      </c>
    </row>
    <row r="246" spans="8:24" x14ac:dyDescent="0.45">
      <c r="H246" t="s">
        <v>1337</v>
      </c>
      <c r="I246" t="s">
        <v>738</v>
      </c>
      <c r="J246">
        <v>3.1578512296332002E-3</v>
      </c>
      <c r="K246" t="s">
        <v>14</v>
      </c>
      <c r="U246" t="s">
        <v>1173</v>
      </c>
      <c r="V246" t="s">
        <v>1485</v>
      </c>
      <c r="W246" t="s">
        <v>1218</v>
      </c>
      <c r="X246" t="s">
        <v>19</v>
      </c>
    </row>
    <row r="247" spans="8:24" x14ac:dyDescent="0.45">
      <c r="H247" t="s">
        <v>1337</v>
      </c>
      <c r="I247" t="s">
        <v>740</v>
      </c>
      <c r="J247">
        <v>4.4326084071002791E-11</v>
      </c>
      <c r="K247" t="s">
        <v>14</v>
      </c>
      <c r="U247" t="s">
        <v>1173</v>
      </c>
      <c r="V247" t="s">
        <v>1486</v>
      </c>
      <c r="W247" t="s">
        <v>1218</v>
      </c>
      <c r="X247" t="s">
        <v>19</v>
      </c>
    </row>
    <row r="248" spans="8:24" x14ac:dyDescent="0.45">
      <c r="H248" t="s">
        <v>1340</v>
      </c>
      <c r="I248" t="s">
        <v>738</v>
      </c>
      <c r="J248">
        <v>6.8150790292863996E-3</v>
      </c>
      <c r="K248" t="s">
        <v>14</v>
      </c>
      <c r="U248" t="s">
        <v>1173</v>
      </c>
      <c r="V248" t="s">
        <v>1487</v>
      </c>
      <c r="W248" t="s">
        <v>1218</v>
      </c>
      <c r="X248" t="s">
        <v>19</v>
      </c>
    </row>
    <row r="249" spans="8:24" x14ac:dyDescent="0.45">
      <c r="H249" t="s">
        <v>1340</v>
      </c>
      <c r="I249" t="s">
        <v>740</v>
      </c>
      <c r="J249">
        <v>4.1439621485129998E-3</v>
      </c>
      <c r="K249" t="s">
        <v>14</v>
      </c>
      <c r="U249" t="s">
        <v>1173</v>
      </c>
      <c r="V249" t="s">
        <v>1488</v>
      </c>
      <c r="W249" t="s">
        <v>1218</v>
      </c>
      <c r="X249" t="s">
        <v>19</v>
      </c>
    </row>
    <row r="250" spans="8:24" x14ac:dyDescent="0.45">
      <c r="H250" t="s">
        <v>1343</v>
      </c>
      <c r="I250" t="s">
        <v>738</v>
      </c>
      <c r="J250">
        <v>5.1921165126260996E-3</v>
      </c>
      <c r="K250" t="s">
        <v>14</v>
      </c>
      <c r="U250" t="s">
        <v>1173</v>
      </c>
      <c r="V250" t="s">
        <v>1489</v>
      </c>
      <c r="W250" t="s">
        <v>1218</v>
      </c>
      <c r="X250" t="s">
        <v>19</v>
      </c>
    </row>
    <row r="251" spans="8:24" x14ac:dyDescent="0.45">
      <c r="H251" t="s">
        <v>1343</v>
      </c>
      <c r="I251" t="s">
        <v>740</v>
      </c>
      <c r="J251">
        <v>1.3086033938751995E-9</v>
      </c>
      <c r="K251" t="s">
        <v>14</v>
      </c>
      <c r="U251" t="s">
        <v>1173</v>
      </c>
      <c r="V251" t="s">
        <v>1490</v>
      </c>
      <c r="W251" t="s">
        <v>1218</v>
      </c>
      <c r="X251" t="s">
        <v>19</v>
      </c>
    </row>
    <row r="252" spans="8:24" x14ac:dyDescent="0.45">
      <c r="H252" t="s">
        <v>1346</v>
      </c>
      <c r="I252" t="s">
        <v>738</v>
      </c>
      <c r="J252">
        <v>2.8152964589269998E-4</v>
      </c>
      <c r="K252" t="s">
        <v>14</v>
      </c>
      <c r="U252" t="s">
        <v>1173</v>
      </c>
      <c r="V252" t="s">
        <v>1491</v>
      </c>
      <c r="W252" t="s">
        <v>1218</v>
      </c>
      <c r="X252" t="s">
        <v>19</v>
      </c>
    </row>
    <row r="253" spans="8:24" x14ac:dyDescent="0.45">
      <c r="H253" t="s">
        <v>1346</v>
      </c>
      <c r="I253" t="s">
        <v>740</v>
      </c>
      <c r="J253">
        <v>4.2969607873768817E-9</v>
      </c>
      <c r="K253" t="s">
        <v>14</v>
      </c>
      <c r="U253" t="s">
        <v>1173</v>
      </c>
      <c r="V253" t="s">
        <v>1492</v>
      </c>
      <c r="W253" t="s">
        <v>1218</v>
      </c>
      <c r="X253" t="s">
        <v>19</v>
      </c>
    </row>
    <row r="254" spans="8:24" x14ac:dyDescent="0.45">
      <c r="H254" t="s">
        <v>1349</v>
      </c>
      <c r="I254" t="s">
        <v>740</v>
      </c>
      <c r="J254">
        <v>4.7585387617547702E-16</v>
      </c>
      <c r="K254" t="s">
        <v>14</v>
      </c>
      <c r="U254" t="s">
        <v>1173</v>
      </c>
      <c r="V254" t="s">
        <v>1493</v>
      </c>
      <c r="W254" t="s">
        <v>1218</v>
      </c>
      <c r="X254" t="s">
        <v>19</v>
      </c>
    </row>
    <row r="255" spans="8:24" x14ac:dyDescent="0.45">
      <c r="U255" t="s">
        <v>1173</v>
      </c>
      <c r="V255" t="s">
        <v>1494</v>
      </c>
      <c r="W255" t="s">
        <v>1218</v>
      </c>
      <c r="X255" t="s">
        <v>19</v>
      </c>
    </row>
    <row r="256" spans="8:24" x14ac:dyDescent="0.45">
      <c r="U256" t="s">
        <v>1173</v>
      </c>
      <c r="V256" t="s">
        <v>1495</v>
      </c>
      <c r="W256" t="s">
        <v>1218</v>
      </c>
      <c r="X256" t="s">
        <v>19</v>
      </c>
    </row>
    <row r="257" spans="21:24" x14ac:dyDescent="0.45">
      <c r="U257" t="s">
        <v>1173</v>
      </c>
      <c r="V257" t="s">
        <v>1495</v>
      </c>
      <c r="W257" t="s">
        <v>1335</v>
      </c>
      <c r="X257" t="s">
        <v>19</v>
      </c>
    </row>
    <row r="258" spans="21:24" x14ac:dyDescent="0.45">
      <c r="U258" t="s">
        <v>1173</v>
      </c>
      <c r="V258" t="s">
        <v>1496</v>
      </c>
      <c r="W258" t="s">
        <v>1218</v>
      </c>
      <c r="X258" t="s">
        <v>19</v>
      </c>
    </row>
    <row r="259" spans="21:24" x14ac:dyDescent="0.45">
      <c r="U259" t="s">
        <v>1173</v>
      </c>
      <c r="V259" t="s">
        <v>1496</v>
      </c>
      <c r="W259" t="s">
        <v>1335</v>
      </c>
      <c r="X259" t="s">
        <v>19</v>
      </c>
    </row>
    <row r="260" spans="21:24" x14ac:dyDescent="0.45">
      <c r="U260" t="s">
        <v>1173</v>
      </c>
      <c r="V260" t="s">
        <v>1497</v>
      </c>
      <c r="W260" t="s">
        <v>1218</v>
      </c>
      <c r="X260" t="s">
        <v>19</v>
      </c>
    </row>
    <row r="261" spans="21:24" x14ac:dyDescent="0.45">
      <c r="U261" t="s">
        <v>1173</v>
      </c>
      <c r="V261" t="s">
        <v>1497</v>
      </c>
      <c r="W261" t="s">
        <v>1335</v>
      </c>
      <c r="X261" t="s">
        <v>19</v>
      </c>
    </row>
    <row r="262" spans="21:24" x14ac:dyDescent="0.45">
      <c r="U262" t="s">
        <v>1173</v>
      </c>
      <c r="V262" t="s">
        <v>1498</v>
      </c>
      <c r="W262" t="s">
        <v>1335</v>
      </c>
      <c r="X262" t="s">
        <v>19</v>
      </c>
    </row>
    <row r="263" spans="21:24" x14ac:dyDescent="0.45">
      <c r="U263" t="s">
        <v>1173</v>
      </c>
      <c r="V263" t="s">
        <v>1499</v>
      </c>
      <c r="W263" t="s">
        <v>1335</v>
      </c>
      <c r="X263" t="s">
        <v>19</v>
      </c>
    </row>
    <row r="264" spans="21:24" x14ac:dyDescent="0.45">
      <c r="U264" t="s">
        <v>1173</v>
      </c>
      <c r="V264" t="s">
        <v>1500</v>
      </c>
      <c r="W264" t="s">
        <v>1335</v>
      </c>
      <c r="X264" t="s">
        <v>19</v>
      </c>
    </row>
    <row r="265" spans="21:24" x14ac:dyDescent="0.45">
      <c r="U265" t="s">
        <v>1173</v>
      </c>
      <c r="V265" t="s">
        <v>1500</v>
      </c>
      <c r="W265" t="s">
        <v>1218</v>
      </c>
      <c r="X265" t="s">
        <v>17</v>
      </c>
    </row>
    <row r="266" spans="21:24" x14ac:dyDescent="0.45">
      <c r="U266" t="s">
        <v>1173</v>
      </c>
      <c r="V266" t="s">
        <v>1501</v>
      </c>
      <c r="W266" t="s">
        <v>1335</v>
      </c>
      <c r="X266" t="s">
        <v>19</v>
      </c>
    </row>
    <row r="267" spans="21:24" x14ac:dyDescent="0.45">
      <c r="U267" t="s">
        <v>1173</v>
      </c>
      <c r="V267" t="s">
        <v>1501</v>
      </c>
      <c r="W267" t="s">
        <v>1218</v>
      </c>
      <c r="X267" t="s">
        <v>17</v>
      </c>
    </row>
    <row r="268" spans="21:24" x14ac:dyDescent="0.45">
      <c r="U268" t="s">
        <v>1173</v>
      </c>
      <c r="V268" t="s">
        <v>1502</v>
      </c>
      <c r="W268" t="s">
        <v>1222</v>
      </c>
      <c r="X268" t="s">
        <v>19</v>
      </c>
    </row>
    <row r="269" spans="21:24" x14ac:dyDescent="0.45">
      <c r="U269" t="s">
        <v>1173</v>
      </c>
      <c r="V269" t="s">
        <v>1503</v>
      </c>
      <c r="W269" t="s">
        <v>1222</v>
      </c>
      <c r="X269" t="s">
        <v>19</v>
      </c>
    </row>
    <row r="270" spans="21:24" x14ac:dyDescent="0.45">
      <c r="U270" t="s">
        <v>1173</v>
      </c>
      <c r="V270" t="s">
        <v>1504</v>
      </c>
      <c r="W270" t="s">
        <v>1222</v>
      </c>
      <c r="X270" t="s">
        <v>19</v>
      </c>
    </row>
    <row r="271" spans="21:24" x14ac:dyDescent="0.45">
      <c r="U271" t="s">
        <v>1173</v>
      </c>
      <c r="V271" t="s">
        <v>1505</v>
      </c>
      <c r="W271" t="s">
        <v>1222</v>
      </c>
      <c r="X271" t="s">
        <v>19</v>
      </c>
    </row>
    <row r="272" spans="21:24" x14ac:dyDescent="0.45">
      <c r="U272" t="s">
        <v>1173</v>
      </c>
      <c r="V272" t="s">
        <v>1506</v>
      </c>
      <c r="W272" t="s">
        <v>1222</v>
      </c>
      <c r="X272" t="s">
        <v>19</v>
      </c>
    </row>
    <row r="273" spans="21:24" x14ac:dyDescent="0.45">
      <c r="U273" t="s">
        <v>1173</v>
      </c>
      <c r="V273" t="s">
        <v>1507</v>
      </c>
      <c r="W273" t="s">
        <v>1222</v>
      </c>
      <c r="X273" t="s">
        <v>19</v>
      </c>
    </row>
    <row r="274" spans="21:24" x14ac:dyDescent="0.45">
      <c r="U274" t="s">
        <v>1173</v>
      </c>
      <c r="V274" t="s">
        <v>1508</v>
      </c>
      <c r="W274" t="s">
        <v>1222</v>
      </c>
      <c r="X274" t="s">
        <v>19</v>
      </c>
    </row>
    <row r="275" spans="21:24" x14ac:dyDescent="0.45">
      <c r="U275" t="s">
        <v>1173</v>
      </c>
      <c r="V275" t="s">
        <v>1509</v>
      </c>
      <c r="W275" t="s">
        <v>1222</v>
      </c>
      <c r="X275" t="s">
        <v>19</v>
      </c>
    </row>
    <row r="276" spans="21:24" x14ac:dyDescent="0.45">
      <c r="U276" t="s">
        <v>1173</v>
      </c>
      <c r="V276" t="s">
        <v>1510</v>
      </c>
      <c r="W276" t="s">
        <v>1222</v>
      </c>
      <c r="X276" t="s">
        <v>19</v>
      </c>
    </row>
    <row r="277" spans="21:24" x14ac:dyDescent="0.45">
      <c r="U277" t="s">
        <v>1173</v>
      </c>
      <c r="V277" t="s">
        <v>1511</v>
      </c>
      <c r="W277" t="s">
        <v>1222</v>
      </c>
      <c r="X277" t="s">
        <v>19</v>
      </c>
    </row>
    <row r="278" spans="21:24" x14ac:dyDescent="0.45">
      <c r="U278" t="s">
        <v>1173</v>
      </c>
      <c r="V278" t="s">
        <v>1512</v>
      </c>
      <c r="W278" t="s">
        <v>1222</v>
      </c>
      <c r="X278" t="s">
        <v>19</v>
      </c>
    </row>
    <row r="279" spans="21:24" x14ac:dyDescent="0.45">
      <c r="U279" t="s">
        <v>1173</v>
      </c>
      <c r="V279" t="s">
        <v>1512</v>
      </c>
      <c r="W279" t="s">
        <v>1324</v>
      </c>
      <c r="X279" t="s">
        <v>19</v>
      </c>
    </row>
    <row r="280" spans="21:24" x14ac:dyDescent="0.45">
      <c r="U280" t="s">
        <v>1173</v>
      </c>
      <c r="V280" t="s">
        <v>1513</v>
      </c>
      <c r="W280" t="s">
        <v>1222</v>
      </c>
      <c r="X280" t="s">
        <v>19</v>
      </c>
    </row>
    <row r="281" spans="21:24" x14ac:dyDescent="0.45">
      <c r="U281" t="s">
        <v>1173</v>
      </c>
      <c r="V281" t="s">
        <v>1513</v>
      </c>
      <c r="W281" t="s">
        <v>1324</v>
      </c>
      <c r="X281" t="s">
        <v>19</v>
      </c>
    </row>
    <row r="282" spans="21:24" x14ac:dyDescent="0.45">
      <c r="U282" t="s">
        <v>1173</v>
      </c>
      <c r="V282" t="s">
        <v>1514</v>
      </c>
      <c r="W282" t="s">
        <v>1222</v>
      </c>
      <c r="X282" t="s">
        <v>19</v>
      </c>
    </row>
    <row r="283" spans="21:24" x14ac:dyDescent="0.45">
      <c r="U283" t="s">
        <v>1173</v>
      </c>
      <c r="V283" t="s">
        <v>1514</v>
      </c>
      <c r="W283" t="s">
        <v>1324</v>
      </c>
      <c r="X283" t="s">
        <v>19</v>
      </c>
    </row>
    <row r="284" spans="21:24" x14ac:dyDescent="0.45">
      <c r="U284" t="s">
        <v>1173</v>
      </c>
      <c r="V284" t="s">
        <v>1515</v>
      </c>
      <c r="W284" t="s">
        <v>1324</v>
      </c>
      <c r="X284" t="s">
        <v>19</v>
      </c>
    </row>
    <row r="285" spans="21:24" x14ac:dyDescent="0.45">
      <c r="U285" t="s">
        <v>1173</v>
      </c>
      <c r="V285" t="s">
        <v>1516</v>
      </c>
      <c r="W285" t="s">
        <v>1324</v>
      </c>
      <c r="X285" t="s">
        <v>19</v>
      </c>
    </row>
    <row r="286" spans="21:24" x14ac:dyDescent="0.45">
      <c r="U286" t="s">
        <v>1173</v>
      </c>
      <c r="V286" t="s">
        <v>1517</v>
      </c>
      <c r="W286" t="s">
        <v>1324</v>
      </c>
      <c r="X286" t="s">
        <v>19</v>
      </c>
    </row>
    <row r="287" spans="21:24" x14ac:dyDescent="0.45">
      <c r="U287" t="s">
        <v>1173</v>
      </c>
      <c r="V287" t="s">
        <v>1517</v>
      </c>
      <c r="W287" t="s">
        <v>1222</v>
      </c>
      <c r="X287" t="s">
        <v>17</v>
      </c>
    </row>
    <row r="288" spans="21:24" x14ac:dyDescent="0.45">
      <c r="U288" t="s">
        <v>1173</v>
      </c>
      <c r="V288" t="s">
        <v>1518</v>
      </c>
      <c r="W288" t="s">
        <v>1324</v>
      </c>
      <c r="X288" t="s">
        <v>19</v>
      </c>
    </row>
    <row r="289" spans="21:24" x14ac:dyDescent="0.45">
      <c r="U289" t="s">
        <v>1173</v>
      </c>
      <c r="V289" t="s">
        <v>1518</v>
      </c>
      <c r="W289" t="s">
        <v>1222</v>
      </c>
      <c r="X289" t="s">
        <v>17</v>
      </c>
    </row>
    <row r="290" spans="21:24" x14ac:dyDescent="0.45">
      <c r="U290" t="s">
        <v>1173</v>
      </c>
      <c r="V290" t="s">
        <v>1519</v>
      </c>
      <c r="W290" t="s">
        <v>1226</v>
      </c>
      <c r="X290" t="s">
        <v>19</v>
      </c>
    </row>
    <row r="291" spans="21:24" x14ac:dyDescent="0.45">
      <c r="U291" t="s">
        <v>1173</v>
      </c>
      <c r="V291" t="s">
        <v>1520</v>
      </c>
      <c r="W291" t="s">
        <v>1226</v>
      </c>
      <c r="X291" t="s">
        <v>19</v>
      </c>
    </row>
    <row r="292" spans="21:24" x14ac:dyDescent="0.45">
      <c r="U292" t="s">
        <v>1173</v>
      </c>
      <c r="V292" t="s">
        <v>1521</v>
      </c>
      <c r="W292" t="s">
        <v>1226</v>
      </c>
      <c r="X292" t="s">
        <v>19</v>
      </c>
    </row>
    <row r="293" spans="21:24" x14ac:dyDescent="0.45">
      <c r="U293" t="s">
        <v>1173</v>
      </c>
      <c r="V293" t="s">
        <v>1522</v>
      </c>
      <c r="W293" t="s">
        <v>1226</v>
      </c>
      <c r="X293" t="s">
        <v>19</v>
      </c>
    </row>
    <row r="294" spans="21:24" x14ac:dyDescent="0.45">
      <c r="U294" t="s">
        <v>1173</v>
      </c>
      <c r="V294" t="s">
        <v>1523</v>
      </c>
      <c r="W294" t="s">
        <v>1226</v>
      </c>
      <c r="X294" t="s">
        <v>19</v>
      </c>
    </row>
    <row r="295" spans="21:24" x14ac:dyDescent="0.45">
      <c r="U295" t="s">
        <v>1173</v>
      </c>
      <c r="V295" t="s">
        <v>1524</v>
      </c>
      <c r="W295" t="s">
        <v>1226</v>
      </c>
      <c r="X295" t="s">
        <v>19</v>
      </c>
    </row>
    <row r="296" spans="21:24" x14ac:dyDescent="0.45">
      <c r="U296" t="s">
        <v>1173</v>
      </c>
      <c r="V296" t="s">
        <v>1525</v>
      </c>
      <c r="W296" t="s">
        <v>1226</v>
      </c>
      <c r="X296" t="s">
        <v>19</v>
      </c>
    </row>
    <row r="297" spans="21:24" x14ac:dyDescent="0.45">
      <c r="U297" t="s">
        <v>1173</v>
      </c>
      <c r="V297" t="s">
        <v>1526</v>
      </c>
      <c r="W297" t="s">
        <v>1226</v>
      </c>
      <c r="X297" t="s">
        <v>19</v>
      </c>
    </row>
    <row r="298" spans="21:24" x14ac:dyDescent="0.45">
      <c r="U298" t="s">
        <v>1173</v>
      </c>
      <c r="V298" t="s">
        <v>1527</v>
      </c>
      <c r="W298" t="s">
        <v>1226</v>
      </c>
      <c r="X298" t="s">
        <v>19</v>
      </c>
    </row>
    <row r="299" spans="21:24" x14ac:dyDescent="0.45">
      <c r="U299" t="s">
        <v>1173</v>
      </c>
      <c r="V299" t="s">
        <v>1528</v>
      </c>
      <c r="W299" t="s">
        <v>1226</v>
      </c>
      <c r="X299" t="s">
        <v>19</v>
      </c>
    </row>
    <row r="300" spans="21:24" x14ac:dyDescent="0.45">
      <c r="U300" t="s">
        <v>1173</v>
      </c>
      <c r="V300" t="s">
        <v>1529</v>
      </c>
      <c r="W300" t="s">
        <v>1226</v>
      </c>
      <c r="X300" t="s">
        <v>19</v>
      </c>
    </row>
    <row r="301" spans="21:24" x14ac:dyDescent="0.45">
      <c r="U301" t="s">
        <v>1173</v>
      </c>
      <c r="V301" t="s">
        <v>1529</v>
      </c>
      <c r="W301" t="s">
        <v>1338</v>
      </c>
      <c r="X301" t="s">
        <v>19</v>
      </c>
    </row>
    <row r="302" spans="21:24" x14ac:dyDescent="0.45">
      <c r="U302" t="s">
        <v>1173</v>
      </c>
      <c r="V302" t="s">
        <v>1530</v>
      </c>
      <c r="W302" t="s">
        <v>1226</v>
      </c>
      <c r="X302" t="s">
        <v>19</v>
      </c>
    </row>
    <row r="303" spans="21:24" x14ac:dyDescent="0.45">
      <c r="U303" t="s">
        <v>1173</v>
      </c>
      <c r="V303" t="s">
        <v>1530</v>
      </c>
      <c r="W303" t="s">
        <v>1338</v>
      </c>
      <c r="X303" t="s">
        <v>19</v>
      </c>
    </row>
    <row r="304" spans="21:24" x14ac:dyDescent="0.45">
      <c r="U304" t="s">
        <v>1173</v>
      </c>
      <c r="V304" t="s">
        <v>1531</v>
      </c>
      <c r="W304" t="s">
        <v>1226</v>
      </c>
      <c r="X304" t="s">
        <v>19</v>
      </c>
    </row>
    <row r="305" spans="21:24" x14ac:dyDescent="0.45">
      <c r="U305" t="s">
        <v>1173</v>
      </c>
      <c r="V305" t="s">
        <v>1531</v>
      </c>
      <c r="W305" t="s">
        <v>1338</v>
      </c>
      <c r="X305" t="s">
        <v>19</v>
      </c>
    </row>
    <row r="306" spans="21:24" x14ac:dyDescent="0.45">
      <c r="U306" t="s">
        <v>1173</v>
      </c>
      <c r="V306" t="s">
        <v>1532</v>
      </c>
      <c r="W306" t="s">
        <v>1338</v>
      </c>
      <c r="X306" t="s">
        <v>19</v>
      </c>
    </row>
    <row r="307" spans="21:24" x14ac:dyDescent="0.45">
      <c r="U307" t="s">
        <v>1173</v>
      </c>
      <c r="V307" t="s">
        <v>1533</v>
      </c>
      <c r="W307" t="s">
        <v>1338</v>
      </c>
      <c r="X307" t="s">
        <v>19</v>
      </c>
    </row>
    <row r="308" spans="21:24" x14ac:dyDescent="0.45">
      <c r="U308" t="s">
        <v>1173</v>
      </c>
      <c r="V308" t="s">
        <v>1534</v>
      </c>
      <c r="W308" t="s">
        <v>1338</v>
      </c>
      <c r="X308" t="s">
        <v>19</v>
      </c>
    </row>
    <row r="309" spans="21:24" x14ac:dyDescent="0.45">
      <c r="U309" t="s">
        <v>1173</v>
      </c>
      <c r="V309" t="s">
        <v>1534</v>
      </c>
      <c r="W309" t="s">
        <v>1226</v>
      </c>
      <c r="X309" t="s">
        <v>17</v>
      </c>
    </row>
    <row r="310" spans="21:24" x14ac:dyDescent="0.45">
      <c r="U310" t="s">
        <v>1173</v>
      </c>
      <c r="V310" t="s">
        <v>1535</v>
      </c>
      <c r="W310" t="s">
        <v>1338</v>
      </c>
      <c r="X310" t="s">
        <v>19</v>
      </c>
    </row>
    <row r="311" spans="21:24" x14ac:dyDescent="0.45">
      <c r="U311" t="s">
        <v>1173</v>
      </c>
      <c r="V311" t="s">
        <v>1535</v>
      </c>
      <c r="W311" t="s">
        <v>1226</v>
      </c>
      <c r="X311" t="s">
        <v>17</v>
      </c>
    </row>
    <row r="312" spans="21:24" x14ac:dyDescent="0.45">
      <c r="U312" t="s">
        <v>1173</v>
      </c>
      <c r="V312" t="s">
        <v>1536</v>
      </c>
      <c r="W312" t="s">
        <v>1229</v>
      </c>
      <c r="X312" t="s">
        <v>19</v>
      </c>
    </row>
    <row r="313" spans="21:24" x14ac:dyDescent="0.45">
      <c r="U313" t="s">
        <v>1173</v>
      </c>
      <c r="V313" t="s">
        <v>1537</v>
      </c>
      <c r="W313" t="s">
        <v>1229</v>
      </c>
      <c r="X313" t="s">
        <v>19</v>
      </c>
    </row>
    <row r="314" spans="21:24" x14ac:dyDescent="0.45">
      <c r="U314" t="s">
        <v>1173</v>
      </c>
      <c r="V314" t="s">
        <v>1538</v>
      </c>
      <c r="W314" t="s">
        <v>1229</v>
      </c>
      <c r="X314" t="s">
        <v>19</v>
      </c>
    </row>
    <row r="315" spans="21:24" x14ac:dyDescent="0.45">
      <c r="U315" t="s">
        <v>1173</v>
      </c>
      <c r="V315" t="s">
        <v>1539</v>
      </c>
      <c r="W315" t="s">
        <v>1229</v>
      </c>
      <c r="X315" t="s">
        <v>19</v>
      </c>
    </row>
    <row r="316" spans="21:24" x14ac:dyDescent="0.45">
      <c r="U316" t="s">
        <v>1173</v>
      </c>
      <c r="V316" t="s">
        <v>1540</v>
      </c>
      <c r="W316" t="s">
        <v>1229</v>
      </c>
      <c r="X316" t="s">
        <v>19</v>
      </c>
    </row>
    <row r="317" spans="21:24" x14ac:dyDescent="0.45">
      <c r="U317" t="s">
        <v>1173</v>
      </c>
      <c r="V317" t="s">
        <v>1541</v>
      </c>
      <c r="W317" t="s">
        <v>1229</v>
      </c>
      <c r="X317" t="s">
        <v>19</v>
      </c>
    </row>
    <row r="318" spans="21:24" x14ac:dyDescent="0.45">
      <c r="U318" t="s">
        <v>1173</v>
      </c>
      <c r="V318" t="s">
        <v>1542</v>
      </c>
      <c r="W318" t="s">
        <v>1229</v>
      </c>
      <c r="X318" t="s">
        <v>19</v>
      </c>
    </row>
    <row r="319" spans="21:24" x14ac:dyDescent="0.45">
      <c r="U319" t="s">
        <v>1173</v>
      </c>
      <c r="V319" t="s">
        <v>1543</v>
      </c>
      <c r="W319" t="s">
        <v>1229</v>
      </c>
      <c r="X319" t="s">
        <v>19</v>
      </c>
    </row>
    <row r="320" spans="21:24" x14ac:dyDescent="0.45">
      <c r="U320" t="s">
        <v>1173</v>
      </c>
      <c r="V320" t="s">
        <v>1544</v>
      </c>
      <c r="W320" t="s">
        <v>1229</v>
      </c>
      <c r="X320" t="s">
        <v>19</v>
      </c>
    </row>
    <row r="321" spans="21:24" x14ac:dyDescent="0.45">
      <c r="U321" t="s">
        <v>1173</v>
      </c>
      <c r="V321" t="s">
        <v>1545</v>
      </c>
      <c r="W321" t="s">
        <v>1229</v>
      </c>
      <c r="X321" t="s">
        <v>19</v>
      </c>
    </row>
    <row r="322" spans="21:24" x14ac:dyDescent="0.45">
      <c r="U322" t="s">
        <v>1173</v>
      </c>
      <c r="V322" t="s">
        <v>1546</v>
      </c>
      <c r="W322" t="s">
        <v>1229</v>
      </c>
      <c r="X322" t="s">
        <v>19</v>
      </c>
    </row>
    <row r="323" spans="21:24" x14ac:dyDescent="0.45">
      <c r="U323" t="s">
        <v>1173</v>
      </c>
      <c r="V323" t="s">
        <v>1546</v>
      </c>
      <c r="W323" t="s">
        <v>1350</v>
      </c>
      <c r="X323" t="s">
        <v>19</v>
      </c>
    </row>
    <row r="324" spans="21:24" x14ac:dyDescent="0.45">
      <c r="U324" t="s">
        <v>1173</v>
      </c>
      <c r="V324" t="s">
        <v>1547</v>
      </c>
      <c r="W324" t="s">
        <v>1229</v>
      </c>
      <c r="X324" t="s">
        <v>19</v>
      </c>
    </row>
    <row r="325" spans="21:24" x14ac:dyDescent="0.45">
      <c r="U325" t="s">
        <v>1173</v>
      </c>
      <c r="V325" t="s">
        <v>1547</v>
      </c>
      <c r="W325" t="s">
        <v>1350</v>
      </c>
      <c r="X325" t="s">
        <v>19</v>
      </c>
    </row>
    <row r="326" spans="21:24" x14ac:dyDescent="0.45">
      <c r="U326" t="s">
        <v>1173</v>
      </c>
      <c r="V326" t="s">
        <v>1548</v>
      </c>
      <c r="W326" t="s">
        <v>1229</v>
      </c>
      <c r="X326" t="s">
        <v>19</v>
      </c>
    </row>
    <row r="327" spans="21:24" x14ac:dyDescent="0.45">
      <c r="U327" t="s">
        <v>1173</v>
      </c>
      <c r="V327" t="s">
        <v>1548</v>
      </c>
      <c r="W327" t="s">
        <v>1350</v>
      </c>
      <c r="X327" t="s">
        <v>19</v>
      </c>
    </row>
    <row r="328" spans="21:24" x14ac:dyDescent="0.45">
      <c r="U328" t="s">
        <v>1173</v>
      </c>
      <c r="V328" t="s">
        <v>1549</v>
      </c>
      <c r="W328" t="s">
        <v>1350</v>
      </c>
      <c r="X328" t="s">
        <v>19</v>
      </c>
    </row>
    <row r="329" spans="21:24" x14ac:dyDescent="0.45">
      <c r="U329" t="s">
        <v>1173</v>
      </c>
      <c r="V329" t="s">
        <v>1550</v>
      </c>
      <c r="W329" t="s">
        <v>1350</v>
      </c>
      <c r="X329" t="s">
        <v>19</v>
      </c>
    </row>
    <row r="330" spans="21:24" x14ac:dyDescent="0.45">
      <c r="U330" t="s">
        <v>1173</v>
      </c>
      <c r="V330" t="s">
        <v>1551</v>
      </c>
      <c r="W330" t="s">
        <v>1350</v>
      </c>
      <c r="X330" t="s">
        <v>19</v>
      </c>
    </row>
    <row r="331" spans="21:24" x14ac:dyDescent="0.45">
      <c r="U331" t="s">
        <v>1173</v>
      </c>
      <c r="V331" t="s">
        <v>1551</v>
      </c>
      <c r="W331" t="s">
        <v>1229</v>
      </c>
      <c r="X331" t="s">
        <v>17</v>
      </c>
    </row>
    <row r="332" spans="21:24" x14ac:dyDescent="0.45">
      <c r="U332" t="s">
        <v>1173</v>
      </c>
      <c r="V332" t="s">
        <v>1552</v>
      </c>
      <c r="W332" t="s">
        <v>1350</v>
      </c>
      <c r="X332" t="s">
        <v>19</v>
      </c>
    </row>
    <row r="333" spans="21:24" x14ac:dyDescent="0.45">
      <c r="U333" t="s">
        <v>1173</v>
      </c>
      <c r="V333" t="s">
        <v>1552</v>
      </c>
      <c r="W333" t="s">
        <v>1229</v>
      </c>
      <c r="X333" t="s">
        <v>17</v>
      </c>
    </row>
    <row r="334" spans="21:24" x14ac:dyDescent="0.45">
      <c r="U334" t="s">
        <v>1173</v>
      </c>
      <c r="V334" t="s">
        <v>1553</v>
      </c>
      <c r="W334" t="s">
        <v>1174</v>
      </c>
      <c r="X334" t="s">
        <v>19</v>
      </c>
    </row>
    <row r="335" spans="21:24" x14ac:dyDescent="0.45">
      <c r="U335" t="s">
        <v>1173</v>
      </c>
      <c r="V335" t="s">
        <v>1553</v>
      </c>
      <c r="W335" t="s">
        <v>1174</v>
      </c>
      <c r="X335" t="s">
        <v>17</v>
      </c>
    </row>
    <row r="336" spans="21:24" x14ac:dyDescent="0.45">
      <c r="U336" t="s">
        <v>1173</v>
      </c>
      <c r="V336" t="s">
        <v>1554</v>
      </c>
      <c r="W336" t="s">
        <v>1174</v>
      </c>
      <c r="X336" t="s">
        <v>19</v>
      </c>
    </row>
    <row r="337" spans="21:24" x14ac:dyDescent="0.45">
      <c r="U337" t="s">
        <v>1173</v>
      </c>
      <c r="V337" t="s">
        <v>1554</v>
      </c>
      <c r="W337" t="s">
        <v>1174</v>
      </c>
      <c r="X337" t="s">
        <v>17</v>
      </c>
    </row>
    <row r="338" spans="21:24" x14ac:dyDescent="0.45">
      <c r="U338" t="s">
        <v>1173</v>
      </c>
      <c r="V338" t="s">
        <v>1555</v>
      </c>
      <c r="W338" t="s">
        <v>1178</v>
      </c>
      <c r="X338" t="s">
        <v>19</v>
      </c>
    </row>
    <row r="339" spans="21:24" x14ac:dyDescent="0.45">
      <c r="U339" t="s">
        <v>1173</v>
      </c>
      <c r="V339" t="s">
        <v>1555</v>
      </c>
      <c r="W339" t="s">
        <v>1178</v>
      </c>
      <c r="X339" t="s">
        <v>17</v>
      </c>
    </row>
    <row r="340" spans="21:24" x14ac:dyDescent="0.45">
      <c r="U340" t="s">
        <v>1173</v>
      </c>
      <c r="V340" t="s">
        <v>1556</v>
      </c>
      <c r="W340" t="s">
        <v>1178</v>
      </c>
      <c r="X340" t="s">
        <v>19</v>
      </c>
    </row>
    <row r="341" spans="21:24" x14ac:dyDescent="0.45">
      <c r="U341" t="s">
        <v>1173</v>
      </c>
      <c r="V341" t="s">
        <v>1556</v>
      </c>
      <c r="W341" t="s">
        <v>1178</v>
      </c>
      <c r="X341" t="s">
        <v>17</v>
      </c>
    </row>
    <row r="342" spans="21:24" x14ac:dyDescent="0.45">
      <c r="U342" t="s">
        <v>1173</v>
      </c>
      <c r="V342" t="s">
        <v>1557</v>
      </c>
      <c r="W342" t="s">
        <v>1182</v>
      </c>
      <c r="X342" t="s">
        <v>19</v>
      </c>
    </row>
    <row r="343" spans="21:24" x14ac:dyDescent="0.45">
      <c r="U343" t="s">
        <v>1173</v>
      </c>
      <c r="V343" t="s">
        <v>1557</v>
      </c>
      <c r="W343" t="s">
        <v>1182</v>
      </c>
      <c r="X343" t="s">
        <v>17</v>
      </c>
    </row>
    <row r="344" spans="21:24" x14ac:dyDescent="0.45">
      <c r="U344" t="s">
        <v>1173</v>
      </c>
      <c r="V344" t="s">
        <v>1558</v>
      </c>
      <c r="W344" t="s">
        <v>1182</v>
      </c>
      <c r="X344" t="s">
        <v>19</v>
      </c>
    </row>
    <row r="345" spans="21:24" x14ac:dyDescent="0.45">
      <c r="U345" t="s">
        <v>1173</v>
      </c>
      <c r="V345" t="s">
        <v>1558</v>
      </c>
      <c r="W345" t="s">
        <v>1182</v>
      </c>
      <c r="X345" t="s">
        <v>17</v>
      </c>
    </row>
    <row r="346" spans="21:24" x14ac:dyDescent="0.45">
      <c r="U346" t="s">
        <v>1173</v>
      </c>
      <c r="V346" t="s">
        <v>1559</v>
      </c>
      <c r="W346" t="s">
        <v>1186</v>
      </c>
      <c r="X346" t="s">
        <v>19</v>
      </c>
    </row>
    <row r="347" spans="21:24" x14ac:dyDescent="0.45">
      <c r="U347" t="s">
        <v>1173</v>
      </c>
      <c r="V347" t="s">
        <v>1559</v>
      </c>
      <c r="W347" t="s">
        <v>1186</v>
      </c>
      <c r="X347" t="s">
        <v>17</v>
      </c>
    </row>
    <row r="348" spans="21:24" x14ac:dyDescent="0.45">
      <c r="U348" t="s">
        <v>1173</v>
      </c>
      <c r="V348" t="s">
        <v>1560</v>
      </c>
      <c r="W348" t="s">
        <v>1186</v>
      </c>
      <c r="X348" t="s">
        <v>19</v>
      </c>
    </row>
    <row r="349" spans="21:24" x14ac:dyDescent="0.45">
      <c r="U349" t="s">
        <v>1173</v>
      </c>
      <c r="V349" t="s">
        <v>1560</v>
      </c>
      <c r="W349" t="s">
        <v>1186</v>
      </c>
      <c r="X349" t="s">
        <v>17</v>
      </c>
    </row>
    <row r="350" spans="21:24" x14ac:dyDescent="0.45">
      <c r="U350" t="s">
        <v>1173</v>
      </c>
      <c r="V350" t="s">
        <v>1561</v>
      </c>
      <c r="W350" t="s">
        <v>1190</v>
      </c>
      <c r="X350" t="s">
        <v>19</v>
      </c>
    </row>
    <row r="351" spans="21:24" x14ac:dyDescent="0.45">
      <c r="U351" t="s">
        <v>1173</v>
      </c>
      <c r="V351" t="s">
        <v>1561</v>
      </c>
      <c r="W351" t="s">
        <v>1190</v>
      </c>
      <c r="X351" t="s">
        <v>17</v>
      </c>
    </row>
    <row r="352" spans="21:24" x14ac:dyDescent="0.45">
      <c r="U352" t="s">
        <v>1173</v>
      </c>
      <c r="V352" t="s">
        <v>1562</v>
      </c>
      <c r="W352" t="s">
        <v>1190</v>
      </c>
      <c r="X352" t="s">
        <v>19</v>
      </c>
    </row>
    <row r="353" spans="21:24" x14ac:dyDescent="0.45">
      <c r="U353" t="s">
        <v>1173</v>
      </c>
      <c r="V353" t="s">
        <v>1562</v>
      </c>
      <c r="W353" t="s">
        <v>1190</v>
      </c>
      <c r="X353" t="s">
        <v>17</v>
      </c>
    </row>
    <row r="354" spans="21:24" x14ac:dyDescent="0.45">
      <c r="U354" t="s">
        <v>1173</v>
      </c>
      <c r="V354" t="s">
        <v>1563</v>
      </c>
      <c r="W354" t="s">
        <v>1194</v>
      </c>
      <c r="X354" t="s">
        <v>19</v>
      </c>
    </row>
    <row r="355" spans="21:24" x14ac:dyDescent="0.45">
      <c r="U355" t="s">
        <v>1173</v>
      </c>
      <c r="V355" t="s">
        <v>1563</v>
      </c>
      <c r="W355" t="s">
        <v>1194</v>
      </c>
      <c r="X355" t="s">
        <v>17</v>
      </c>
    </row>
    <row r="356" spans="21:24" x14ac:dyDescent="0.45">
      <c r="U356" t="s">
        <v>1173</v>
      </c>
      <c r="V356" t="s">
        <v>1564</v>
      </c>
      <c r="W356" t="s">
        <v>1194</v>
      </c>
      <c r="X356" t="s">
        <v>19</v>
      </c>
    </row>
    <row r="357" spans="21:24" x14ac:dyDescent="0.45">
      <c r="U357" t="s">
        <v>1173</v>
      </c>
      <c r="V357" t="s">
        <v>1564</v>
      </c>
      <c r="W357" t="s">
        <v>1194</v>
      </c>
      <c r="X357" t="s">
        <v>17</v>
      </c>
    </row>
    <row r="358" spans="21:24" x14ac:dyDescent="0.45">
      <c r="U358" t="s">
        <v>1173</v>
      </c>
      <c r="V358" t="s">
        <v>1565</v>
      </c>
      <c r="W358" t="s">
        <v>1198</v>
      </c>
      <c r="X358" t="s">
        <v>19</v>
      </c>
    </row>
    <row r="359" spans="21:24" x14ac:dyDescent="0.45">
      <c r="U359" t="s">
        <v>1173</v>
      </c>
      <c r="V359" t="s">
        <v>1565</v>
      </c>
      <c r="W359" t="s">
        <v>1198</v>
      </c>
      <c r="X359" t="s">
        <v>17</v>
      </c>
    </row>
    <row r="360" spans="21:24" x14ac:dyDescent="0.45">
      <c r="U360" t="s">
        <v>1173</v>
      </c>
      <c r="V360" t="s">
        <v>1566</v>
      </c>
      <c r="W360" t="s">
        <v>1198</v>
      </c>
      <c r="X360" t="s">
        <v>19</v>
      </c>
    </row>
    <row r="361" spans="21:24" x14ac:dyDescent="0.45">
      <c r="U361" t="s">
        <v>1173</v>
      </c>
      <c r="V361" t="s">
        <v>1566</v>
      </c>
      <c r="W361" t="s">
        <v>1198</v>
      </c>
      <c r="X361" t="s">
        <v>17</v>
      </c>
    </row>
    <row r="362" spans="21:24" x14ac:dyDescent="0.45">
      <c r="U362" t="s">
        <v>1173</v>
      </c>
      <c r="V362" t="s">
        <v>1567</v>
      </c>
      <c r="W362" t="s">
        <v>1202</v>
      </c>
      <c r="X362" t="s">
        <v>19</v>
      </c>
    </row>
    <row r="363" spans="21:24" x14ac:dyDescent="0.45">
      <c r="U363" t="s">
        <v>1173</v>
      </c>
      <c r="V363" t="s">
        <v>1567</v>
      </c>
      <c r="W363" t="s">
        <v>1202</v>
      </c>
      <c r="X363" t="s">
        <v>17</v>
      </c>
    </row>
    <row r="364" spans="21:24" x14ac:dyDescent="0.45">
      <c r="U364" t="s">
        <v>1173</v>
      </c>
      <c r="V364" t="s">
        <v>1568</v>
      </c>
      <c r="W364" t="s">
        <v>1202</v>
      </c>
      <c r="X364" t="s">
        <v>19</v>
      </c>
    </row>
    <row r="365" spans="21:24" x14ac:dyDescent="0.45">
      <c r="U365" t="s">
        <v>1173</v>
      </c>
      <c r="V365" t="s">
        <v>1568</v>
      </c>
      <c r="W365" t="s">
        <v>1202</v>
      </c>
      <c r="X365" t="s">
        <v>17</v>
      </c>
    </row>
    <row r="366" spans="21:24" x14ac:dyDescent="0.45">
      <c r="U366" t="s">
        <v>1173</v>
      </c>
      <c r="V366" t="s">
        <v>1569</v>
      </c>
      <c r="W366" t="s">
        <v>1206</v>
      </c>
      <c r="X366" t="s">
        <v>19</v>
      </c>
    </row>
    <row r="367" spans="21:24" x14ac:dyDescent="0.45">
      <c r="U367" t="s">
        <v>1173</v>
      </c>
      <c r="V367" t="s">
        <v>1569</v>
      </c>
      <c r="W367" t="s">
        <v>1206</v>
      </c>
      <c r="X367" t="s">
        <v>17</v>
      </c>
    </row>
    <row r="368" spans="21:24" x14ac:dyDescent="0.45">
      <c r="U368" t="s">
        <v>1173</v>
      </c>
      <c r="V368" t="s">
        <v>1570</v>
      </c>
      <c r="W368" t="s">
        <v>1206</v>
      </c>
      <c r="X368" t="s">
        <v>19</v>
      </c>
    </row>
    <row r="369" spans="21:24" x14ac:dyDescent="0.45">
      <c r="U369" t="s">
        <v>1173</v>
      </c>
      <c r="V369" t="s">
        <v>1570</v>
      </c>
      <c r="W369" t="s">
        <v>1206</v>
      </c>
      <c r="X369" t="s">
        <v>17</v>
      </c>
    </row>
    <row r="370" spans="21:24" x14ac:dyDescent="0.45">
      <c r="U370" t="s">
        <v>1173</v>
      </c>
      <c r="V370" t="s">
        <v>1571</v>
      </c>
      <c r="W370" t="s">
        <v>1210</v>
      </c>
      <c r="X370" t="s">
        <v>19</v>
      </c>
    </row>
    <row r="371" spans="21:24" x14ac:dyDescent="0.45">
      <c r="U371" t="s">
        <v>1173</v>
      </c>
      <c r="V371" t="s">
        <v>1571</v>
      </c>
      <c r="W371" t="s">
        <v>1210</v>
      </c>
      <c r="X371" t="s">
        <v>17</v>
      </c>
    </row>
    <row r="372" spans="21:24" x14ac:dyDescent="0.45">
      <c r="U372" t="s">
        <v>1173</v>
      </c>
      <c r="V372" t="s">
        <v>1572</v>
      </c>
      <c r="W372" t="s">
        <v>1210</v>
      </c>
      <c r="X372" t="s">
        <v>19</v>
      </c>
    </row>
    <row r="373" spans="21:24" x14ac:dyDescent="0.45">
      <c r="U373" t="s">
        <v>1173</v>
      </c>
      <c r="V373" t="s">
        <v>1572</v>
      </c>
      <c r="W373" t="s">
        <v>1210</v>
      </c>
      <c r="X373" t="s">
        <v>17</v>
      </c>
    </row>
    <row r="374" spans="21:24" x14ac:dyDescent="0.45">
      <c r="U374" t="s">
        <v>1173</v>
      </c>
      <c r="V374" t="s">
        <v>1573</v>
      </c>
      <c r="W374" t="s">
        <v>1214</v>
      </c>
      <c r="X374" t="s">
        <v>19</v>
      </c>
    </row>
    <row r="375" spans="21:24" x14ac:dyDescent="0.45">
      <c r="U375" t="s">
        <v>1173</v>
      </c>
      <c r="V375" t="s">
        <v>1573</v>
      </c>
      <c r="W375" t="s">
        <v>1214</v>
      </c>
      <c r="X375" t="s">
        <v>17</v>
      </c>
    </row>
    <row r="376" spans="21:24" x14ac:dyDescent="0.45">
      <c r="U376" t="s">
        <v>1173</v>
      </c>
      <c r="V376" t="s">
        <v>1574</v>
      </c>
      <c r="W376" t="s">
        <v>1214</v>
      </c>
      <c r="X376" t="s">
        <v>19</v>
      </c>
    </row>
    <row r="377" spans="21:24" x14ac:dyDescent="0.45">
      <c r="U377" t="s">
        <v>1173</v>
      </c>
      <c r="V377" t="s">
        <v>1574</v>
      </c>
      <c r="W377" t="s">
        <v>1214</v>
      </c>
      <c r="X377" t="s">
        <v>17</v>
      </c>
    </row>
    <row r="378" spans="21:24" x14ac:dyDescent="0.45">
      <c r="U378" t="s">
        <v>1173</v>
      </c>
      <c r="V378" t="s">
        <v>1575</v>
      </c>
      <c r="W378" t="s">
        <v>1218</v>
      </c>
      <c r="X378" t="s">
        <v>19</v>
      </c>
    </row>
    <row r="379" spans="21:24" x14ac:dyDescent="0.45">
      <c r="U379" t="s">
        <v>1173</v>
      </c>
      <c r="V379" t="s">
        <v>1575</v>
      </c>
      <c r="W379" t="s">
        <v>1218</v>
      </c>
      <c r="X379" t="s">
        <v>17</v>
      </c>
    </row>
    <row r="380" spans="21:24" x14ac:dyDescent="0.45">
      <c r="U380" t="s">
        <v>1173</v>
      </c>
      <c r="V380" t="s">
        <v>1576</v>
      </c>
      <c r="W380" t="s">
        <v>1218</v>
      </c>
      <c r="X380" t="s">
        <v>19</v>
      </c>
    </row>
    <row r="381" spans="21:24" x14ac:dyDescent="0.45">
      <c r="U381" t="s">
        <v>1173</v>
      </c>
      <c r="V381" t="s">
        <v>1576</v>
      </c>
      <c r="W381" t="s">
        <v>1218</v>
      </c>
      <c r="X381" t="s">
        <v>17</v>
      </c>
    </row>
    <row r="382" spans="21:24" x14ac:dyDescent="0.45">
      <c r="U382" t="s">
        <v>1173</v>
      </c>
      <c r="V382" t="s">
        <v>1577</v>
      </c>
      <c r="W382" t="s">
        <v>1222</v>
      </c>
      <c r="X382" t="s">
        <v>19</v>
      </c>
    </row>
    <row r="383" spans="21:24" x14ac:dyDescent="0.45">
      <c r="U383" t="s">
        <v>1173</v>
      </c>
      <c r="V383" t="s">
        <v>1577</v>
      </c>
      <c r="W383" t="s">
        <v>1222</v>
      </c>
      <c r="X383" t="s">
        <v>17</v>
      </c>
    </row>
    <row r="384" spans="21:24" x14ac:dyDescent="0.45">
      <c r="U384" t="s">
        <v>1173</v>
      </c>
      <c r="V384" t="s">
        <v>1578</v>
      </c>
      <c r="W384" t="s">
        <v>1222</v>
      </c>
      <c r="X384" t="s">
        <v>19</v>
      </c>
    </row>
    <row r="385" spans="21:24" x14ac:dyDescent="0.45">
      <c r="U385" t="s">
        <v>1173</v>
      </c>
      <c r="V385" t="s">
        <v>1578</v>
      </c>
      <c r="W385" t="s">
        <v>1222</v>
      </c>
      <c r="X385" t="s">
        <v>17</v>
      </c>
    </row>
    <row r="386" spans="21:24" x14ac:dyDescent="0.45">
      <c r="U386" t="s">
        <v>1173</v>
      </c>
      <c r="V386" t="s">
        <v>1579</v>
      </c>
      <c r="W386" t="s">
        <v>1226</v>
      </c>
      <c r="X386" t="s">
        <v>19</v>
      </c>
    </row>
    <row r="387" spans="21:24" x14ac:dyDescent="0.45">
      <c r="U387" t="s">
        <v>1173</v>
      </c>
      <c r="V387" t="s">
        <v>1579</v>
      </c>
      <c r="W387" t="s">
        <v>1226</v>
      </c>
      <c r="X387" t="s">
        <v>17</v>
      </c>
    </row>
    <row r="388" spans="21:24" x14ac:dyDescent="0.45">
      <c r="U388" t="s">
        <v>1173</v>
      </c>
      <c r="V388" t="s">
        <v>1580</v>
      </c>
      <c r="W388" t="s">
        <v>1226</v>
      </c>
      <c r="X388" t="s">
        <v>19</v>
      </c>
    </row>
    <row r="389" spans="21:24" x14ac:dyDescent="0.45">
      <c r="U389" t="s">
        <v>1173</v>
      </c>
      <c r="V389" t="s">
        <v>1580</v>
      </c>
      <c r="W389" t="s">
        <v>1226</v>
      </c>
      <c r="X389" t="s">
        <v>17</v>
      </c>
    </row>
    <row r="390" spans="21:24" x14ac:dyDescent="0.45">
      <c r="U390" t="s">
        <v>1173</v>
      </c>
      <c r="V390" t="s">
        <v>1581</v>
      </c>
      <c r="W390" t="s">
        <v>1229</v>
      </c>
      <c r="X390" t="s">
        <v>19</v>
      </c>
    </row>
    <row r="391" spans="21:24" x14ac:dyDescent="0.45">
      <c r="U391" t="s">
        <v>1173</v>
      </c>
      <c r="V391" t="s">
        <v>1581</v>
      </c>
      <c r="W391" t="s">
        <v>1229</v>
      </c>
      <c r="X391" t="s">
        <v>17</v>
      </c>
    </row>
    <row r="392" spans="21:24" x14ac:dyDescent="0.45">
      <c r="U392" t="s">
        <v>1173</v>
      </c>
      <c r="V392" t="s">
        <v>1582</v>
      </c>
      <c r="W392" t="s">
        <v>1229</v>
      </c>
      <c r="X392" t="s">
        <v>19</v>
      </c>
    </row>
    <row r="393" spans="21:24" x14ac:dyDescent="0.45">
      <c r="U393" t="s">
        <v>1173</v>
      </c>
      <c r="V393" t="s">
        <v>1582</v>
      </c>
      <c r="W393" t="s">
        <v>1229</v>
      </c>
      <c r="X393"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835A-8D5A-4F8F-A114-D32E52D94300}">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0.47481449771689499</v>
      </c>
      <c r="H3" s="2">
        <v>0.69442466702740679</v>
      </c>
      <c r="I3" s="2">
        <v>0.47418609158643016</v>
      </c>
      <c r="J3" s="2">
        <v>0.6946852572712876</v>
      </c>
      <c r="O3" t="s">
        <v>973</v>
      </c>
    </row>
    <row r="4" spans="6:31" x14ac:dyDescent="0.45">
      <c r="F4" t="s">
        <v>974</v>
      </c>
      <c r="G4" s="2">
        <v>8.1860553150211748E-2</v>
      </c>
      <c r="H4" s="2">
        <v>65535</v>
      </c>
      <c r="I4" s="2">
        <v>0.13301098573063247</v>
      </c>
      <c r="J4" s="2">
        <v>0.72295282992217591</v>
      </c>
    </row>
    <row r="5" spans="6:31" x14ac:dyDescent="0.45">
      <c r="F5" t="s">
        <v>975</v>
      </c>
      <c r="G5" s="2">
        <v>0.25843646835036677</v>
      </c>
      <c r="H5" s="2">
        <v>0.87767962559922619</v>
      </c>
      <c r="I5" s="2">
        <v>0.31374689536475731</v>
      </c>
      <c r="J5" s="2">
        <v>0.79968621077148594</v>
      </c>
    </row>
    <row r="6" spans="6:31" x14ac:dyDescent="0.45">
      <c r="F6" t="s">
        <v>979</v>
      </c>
      <c r="G6" s="2">
        <v>0.20714688830742392</v>
      </c>
      <c r="H6" s="2">
        <v>0.35862471591501427</v>
      </c>
      <c r="I6" s="2">
        <v>0.15925098339686278</v>
      </c>
      <c r="J6" s="2">
        <v>0.24100022141732155</v>
      </c>
      <c r="N6" t="s">
        <v>977</v>
      </c>
      <c r="Y6" t="s">
        <v>978</v>
      </c>
    </row>
    <row r="7" spans="6:31" x14ac:dyDescent="0.45">
      <c r="F7" t="s">
        <v>987</v>
      </c>
      <c r="G7" s="2">
        <v>0.54572032171403384</v>
      </c>
      <c r="H7" s="2">
        <v>0.9202311061410865</v>
      </c>
      <c r="I7" s="2">
        <v>0.54572843714505193</v>
      </c>
      <c r="J7" s="2">
        <v>0.91976991206766345</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991</v>
      </c>
      <c r="G8" s="2">
        <v>0.15169278867909006</v>
      </c>
      <c r="H8" s="2">
        <v>0.65962106655096175</v>
      </c>
      <c r="I8" s="2">
        <v>4.8332019032958251E-2</v>
      </c>
      <c r="J8" s="2">
        <v>0.38817248336251431</v>
      </c>
      <c r="N8" t="s">
        <v>988</v>
      </c>
      <c r="O8" t="s">
        <v>974</v>
      </c>
      <c r="P8" s="3" t="s">
        <v>989</v>
      </c>
      <c r="Q8" s="4">
        <f>-1/8.76</f>
        <v>-0.11415525114155252</v>
      </c>
      <c r="S8" s="4">
        <f>VLOOKUP(O8,$F$3:$J$11,3,FALSE)</f>
        <v>65535</v>
      </c>
      <c r="T8" s="4">
        <f>MIN(S8*$U$1,0.95)</f>
        <v>0.95</v>
      </c>
      <c r="U8">
        <v>0</v>
      </c>
      <c r="V8">
        <v>3</v>
      </c>
      <c r="Y8" t="s">
        <v>990</v>
      </c>
      <c r="Z8" t="s">
        <v>974</v>
      </c>
      <c r="AA8">
        <f>-1/8.76</f>
        <v>-0.11415525114155252</v>
      </c>
      <c r="AB8" s="4">
        <f>VLOOKUP(Z8,$F$3:$J$11,2,FALSE)</f>
        <v>8.1860553150211748E-2</v>
      </c>
      <c r="AC8">
        <f>AB8*$W$1</f>
        <v>1.637211063004235E-2</v>
      </c>
      <c r="AD8">
        <v>0</v>
      </c>
      <c r="AE8">
        <v>3</v>
      </c>
    </row>
    <row r="9" spans="6:31" x14ac:dyDescent="0.45">
      <c r="F9" t="s">
        <v>994</v>
      </c>
      <c r="G9" s="2">
        <v>0</v>
      </c>
      <c r="H9" s="2">
        <v>0.11415525114155252</v>
      </c>
      <c r="I9" s="2">
        <v>2.7853881278538814E-2</v>
      </c>
      <c r="J9" s="2">
        <v>0.11073225436517092</v>
      </c>
      <c r="N9" t="s">
        <v>992</v>
      </c>
      <c r="O9" t="s">
        <v>975</v>
      </c>
      <c r="P9" s="3" t="s">
        <v>989</v>
      </c>
      <c r="Q9" s="4">
        <f>-1/8.76</f>
        <v>-0.11415525114155252</v>
      </c>
      <c r="S9" s="4">
        <f>VLOOKUP(O9,$F$3:$J$11,3,FALSE)</f>
        <v>0.87767962559922619</v>
      </c>
      <c r="T9" s="4">
        <f>MIN(S9*$U$1,0.95)</f>
        <v>0.95</v>
      </c>
      <c r="U9">
        <v>0</v>
      </c>
      <c r="V9">
        <v>3</v>
      </c>
      <c r="Y9" t="s">
        <v>993</v>
      </c>
      <c r="Z9" t="s">
        <v>975</v>
      </c>
      <c r="AA9">
        <f>-1/8.76</f>
        <v>-0.11415525114155252</v>
      </c>
      <c r="AB9" s="4">
        <f>VLOOKUP(Z9,$F$3:$J$11,2,FALSE)</f>
        <v>0.25843646835036677</v>
      </c>
      <c r="AC9">
        <f>AB9*$W$1</f>
        <v>5.1687293670073353E-2</v>
      </c>
      <c r="AD9">
        <v>0</v>
      </c>
      <c r="AE9">
        <v>3</v>
      </c>
    </row>
    <row r="10" spans="6:31" ht="14.65" customHeight="1" x14ac:dyDescent="0.45">
      <c r="F10" t="s">
        <v>1583</v>
      </c>
      <c r="G10" s="2"/>
      <c r="H10" s="2"/>
      <c r="I10" s="2">
        <v>1.7836757990867581E-2</v>
      </c>
      <c r="J10" s="2">
        <v>0.44727218881733821</v>
      </c>
      <c r="N10" t="s">
        <v>992</v>
      </c>
      <c r="O10" t="s">
        <v>987</v>
      </c>
      <c r="P10" s="3" t="s">
        <v>989</v>
      </c>
      <c r="Q10" s="4">
        <f>-1/8.76</f>
        <v>-0.11415525114155252</v>
      </c>
      <c r="S10" s="4">
        <f>VLOOKUP(O10,$F$3:$J$11,3,FALSE)</f>
        <v>0.9202311061410865</v>
      </c>
      <c r="T10" s="4">
        <f>MIN(S10*$U$1,0.95)</f>
        <v>0.95</v>
      </c>
      <c r="U10">
        <v>0</v>
      </c>
      <c r="V10">
        <v>3</v>
      </c>
      <c r="Y10" t="s">
        <v>995</v>
      </c>
      <c r="Z10" t="s">
        <v>991</v>
      </c>
      <c r="AA10">
        <f>-1/8.76</f>
        <v>-0.11415525114155252</v>
      </c>
      <c r="AB10" s="4">
        <f>VLOOKUP(Z10,$F$3:$J$11,2,FALSE)</f>
        <v>0.15169278867909006</v>
      </c>
      <c r="AC10" s="5">
        <f>AB10*$W$1</f>
        <v>3.0338557735818013E-2</v>
      </c>
      <c r="AD10">
        <v>0</v>
      </c>
      <c r="AE10">
        <v>3</v>
      </c>
    </row>
    <row r="11" spans="6:31" ht="14.65" customHeight="1" x14ac:dyDescent="0.45">
      <c r="F11" t="s">
        <v>996</v>
      </c>
      <c r="G11" s="2">
        <v>0.19900037023324696</v>
      </c>
      <c r="H11" s="2">
        <v>0.35291987290777604</v>
      </c>
      <c r="I11" s="2">
        <v>0.20218713627003312</v>
      </c>
      <c r="J11" s="2">
        <v>0.28339603823494158</v>
      </c>
    </row>
    <row r="15" spans="6:31" x14ac:dyDescent="0.45">
      <c r="X15" s="6">
        <v>2.5</v>
      </c>
      <c r="Y15" s="7" t="s">
        <v>997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399C-448A-44EC-967B-36C46EBFC006}">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1173</v>
      </c>
      <c r="C11">
        <v>10</v>
      </c>
      <c r="D11">
        <v>18</v>
      </c>
      <c r="E11">
        <v>8</v>
      </c>
      <c r="F11">
        <v>15</v>
      </c>
      <c r="G11">
        <v>0.1</v>
      </c>
      <c r="H11">
        <v>0.3</v>
      </c>
      <c r="I11">
        <v>2</v>
      </c>
      <c r="J11">
        <v>4</v>
      </c>
    </row>
    <row r="14" spans="2:10" x14ac:dyDescent="0.45">
      <c r="B14" t="s">
        <v>5672</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10</v>
      </c>
      <c r="G20">
        <f>D11</f>
        <v>18</v>
      </c>
      <c r="H20">
        <v>4</v>
      </c>
    </row>
    <row r="21" spans="1:8" x14ac:dyDescent="0.45">
      <c r="A21" t="s">
        <v>1014</v>
      </c>
      <c r="B21" t="str">
        <f t="shared" ref="B21:B23" si="0">"uce_buildrate_"&amp;A21</f>
        <v>uce_buildrate_wind</v>
      </c>
      <c r="C21" t="str">
        <f>A21&amp;"*"</f>
        <v>wind*</v>
      </c>
      <c r="D21" t="s">
        <v>1013</v>
      </c>
      <c r="E21">
        <v>1</v>
      </c>
      <c r="F21">
        <f>E11</f>
        <v>8</v>
      </c>
      <c r="G21">
        <f>F11</f>
        <v>15</v>
      </c>
      <c r="H21">
        <v>4</v>
      </c>
    </row>
    <row r="22" spans="1:8" x14ac:dyDescent="0.45">
      <c r="A22" t="s">
        <v>979</v>
      </c>
      <c r="B22" t="str">
        <f t="shared" si="0"/>
        <v>uce_buildrate_hydro</v>
      </c>
      <c r="C22" t="str">
        <f t="shared" ref="C22:C23" si="1">A22</f>
        <v>hydro</v>
      </c>
      <c r="D22" t="s">
        <v>1013</v>
      </c>
      <c r="E22">
        <v>1</v>
      </c>
      <c r="F22">
        <f>G11</f>
        <v>0.1</v>
      </c>
      <c r="G22">
        <f>H11</f>
        <v>0.3</v>
      </c>
      <c r="H22">
        <v>4</v>
      </c>
    </row>
    <row r="23" spans="1:8" x14ac:dyDescent="0.45">
      <c r="A23" t="s">
        <v>987</v>
      </c>
      <c r="B23" t="str">
        <f t="shared" si="0"/>
        <v>uce_buildrate_nuclear</v>
      </c>
      <c r="C23" t="str">
        <f t="shared" si="1"/>
        <v>nuclear</v>
      </c>
      <c r="D23" t="s">
        <v>1013</v>
      </c>
      <c r="E23">
        <v>1</v>
      </c>
      <c r="F23">
        <f>I11</f>
        <v>2</v>
      </c>
      <c r="G23">
        <f>J11</f>
        <v>4</v>
      </c>
      <c r="H23">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6015-7C54-4B73-9D0A-41B0716C63B0}">
  <dimension ref="A1:I80"/>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1584</v>
      </c>
      <c r="C5" t="s">
        <v>1585</v>
      </c>
      <c r="D5">
        <v>1</v>
      </c>
      <c r="E5">
        <v>2</v>
      </c>
      <c r="G5" t="s">
        <v>1584</v>
      </c>
      <c r="H5" t="s">
        <v>1585</v>
      </c>
      <c r="I5">
        <v>-1</v>
      </c>
    </row>
    <row r="6" spans="1:9" x14ac:dyDescent="0.45">
      <c r="A6" t="s">
        <v>1020</v>
      </c>
      <c r="B6" t="s">
        <v>1586</v>
      </c>
      <c r="C6" t="s">
        <v>1587</v>
      </c>
      <c r="D6">
        <v>1</v>
      </c>
      <c r="E6">
        <v>2</v>
      </c>
      <c r="G6" t="s">
        <v>1586</v>
      </c>
      <c r="H6" t="s">
        <v>1587</v>
      </c>
      <c r="I6">
        <v>-1</v>
      </c>
    </row>
    <row r="7" spans="1:9" x14ac:dyDescent="0.45">
      <c r="A7" t="s">
        <v>1020</v>
      </c>
      <c r="B7" t="s">
        <v>1588</v>
      </c>
      <c r="C7" t="s">
        <v>1589</v>
      </c>
      <c r="D7">
        <v>1</v>
      </c>
      <c r="E7">
        <v>2</v>
      </c>
      <c r="G7" t="s">
        <v>1588</v>
      </c>
      <c r="H7" t="s">
        <v>1589</v>
      </c>
      <c r="I7">
        <v>-1</v>
      </c>
    </row>
    <row r="8" spans="1:9" x14ac:dyDescent="0.45">
      <c r="A8" t="s">
        <v>1020</v>
      </c>
      <c r="B8" t="s">
        <v>1590</v>
      </c>
      <c r="C8" t="s">
        <v>1591</v>
      </c>
      <c r="D8">
        <v>1</v>
      </c>
      <c r="E8">
        <v>2</v>
      </c>
      <c r="G8" t="s">
        <v>1590</v>
      </c>
      <c r="H8" t="s">
        <v>1591</v>
      </c>
      <c r="I8">
        <v>-1</v>
      </c>
    </row>
    <row r="9" spans="1:9" x14ac:dyDescent="0.45">
      <c r="A9" t="s">
        <v>1020</v>
      </c>
      <c r="B9" t="s">
        <v>1592</v>
      </c>
      <c r="C9" t="s">
        <v>1593</v>
      </c>
      <c r="D9">
        <v>1</v>
      </c>
      <c r="E9">
        <v>2</v>
      </c>
      <c r="G9" t="s">
        <v>1592</v>
      </c>
      <c r="H9" t="s">
        <v>1593</v>
      </c>
      <c r="I9">
        <v>-1</v>
      </c>
    </row>
    <row r="10" spans="1:9" x14ac:dyDescent="0.45">
      <c r="A10" t="s">
        <v>1020</v>
      </c>
      <c r="B10" t="s">
        <v>1594</v>
      </c>
      <c r="C10" t="s">
        <v>1595</v>
      </c>
      <c r="D10">
        <v>1</v>
      </c>
      <c r="E10">
        <v>2</v>
      </c>
      <c r="G10" t="s">
        <v>1594</v>
      </c>
      <c r="H10" t="s">
        <v>1595</v>
      </c>
      <c r="I10">
        <v>-1</v>
      </c>
    </row>
    <row r="11" spans="1:9" x14ac:dyDescent="0.45">
      <c r="A11" t="s">
        <v>1020</v>
      </c>
      <c r="B11" t="s">
        <v>1596</v>
      </c>
      <c r="C11" t="s">
        <v>1597</v>
      </c>
      <c r="D11">
        <v>1</v>
      </c>
      <c r="E11">
        <v>2</v>
      </c>
      <c r="G11" t="s">
        <v>1596</v>
      </c>
      <c r="H11" t="s">
        <v>1597</v>
      </c>
      <c r="I11">
        <v>-1</v>
      </c>
    </row>
    <row r="12" spans="1:9" x14ac:dyDescent="0.45">
      <c r="A12" t="s">
        <v>1020</v>
      </c>
      <c r="B12" t="s">
        <v>1598</v>
      </c>
      <c r="C12" t="s">
        <v>1599</v>
      </c>
      <c r="D12">
        <v>1</v>
      </c>
      <c r="E12">
        <v>2</v>
      </c>
      <c r="G12" t="s">
        <v>1598</v>
      </c>
      <c r="H12" t="s">
        <v>1599</v>
      </c>
      <c r="I12">
        <v>-1</v>
      </c>
    </row>
    <row r="13" spans="1:9" x14ac:dyDescent="0.45">
      <c r="A13" t="s">
        <v>1020</v>
      </c>
      <c r="B13" t="s">
        <v>1600</v>
      </c>
      <c r="C13" t="s">
        <v>1601</v>
      </c>
      <c r="D13">
        <v>1</v>
      </c>
      <c r="E13">
        <v>2</v>
      </c>
      <c r="G13" t="s">
        <v>1600</v>
      </c>
      <c r="H13" t="s">
        <v>1601</v>
      </c>
      <c r="I13">
        <v>-1</v>
      </c>
    </row>
    <row r="14" spans="1:9" x14ac:dyDescent="0.45">
      <c r="A14" t="s">
        <v>1020</v>
      </c>
      <c r="B14" t="s">
        <v>1602</v>
      </c>
      <c r="C14" t="s">
        <v>1603</v>
      </c>
      <c r="D14">
        <v>1</v>
      </c>
      <c r="E14">
        <v>2</v>
      </c>
      <c r="G14" t="s">
        <v>1602</v>
      </c>
      <c r="H14" t="s">
        <v>1603</v>
      </c>
      <c r="I14">
        <v>-1</v>
      </c>
    </row>
    <row r="15" spans="1:9" x14ac:dyDescent="0.45">
      <c r="A15" t="s">
        <v>1020</v>
      </c>
      <c r="B15" t="s">
        <v>1604</v>
      </c>
      <c r="C15" t="s">
        <v>1605</v>
      </c>
      <c r="D15">
        <v>1</v>
      </c>
      <c r="E15">
        <v>2</v>
      </c>
      <c r="G15" t="s">
        <v>1604</v>
      </c>
      <c r="H15" t="s">
        <v>1605</v>
      </c>
      <c r="I15">
        <v>-1</v>
      </c>
    </row>
    <row r="16" spans="1:9" x14ac:dyDescent="0.45">
      <c r="A16" t="s">
        <v>1020</v>
      </c>
      <c r="B16" t="s">
        <v>1606</v>
      </c>
      <c r="C16" t="s">
        <v>1607</v>
      </c>
      <c r="D16">
        <v>1</v>
      </c>
      <c r="E16">
        <v>2</v>
      </c>
      <c r="G16" t="s">
        <v>1606</v>
      </c>
      <c r="H16" t="s">
        <v>1607</v>
      </c>
      <c r="I16">
        <v>-1</v>
      </c>
    </row>
    <row r="17" spans="1:9" x14ac:dyDescent="0.45">
      <c r="A17" t="s">
        <v>1020</v>
      </c>
      <c r="B17" t="s">
        <v>1608</v>
      </c>
      <c r="C17" t="s">
        <v>1609</v>
      </c>
      <c r="D17">
        <v>1</v>
      </c>
      <c r="E17">
        <v>2</v>
      </c>
      <c r="G17" t="s">
        <v>1608</v>
      </c>
      <c r="H17" t="s">
        <v>1609</v>
      </c>
      <c r="I17">
        <v>-1</v>
      </c>
    </row>
    <row r="18" spans="1:9" x14ac:dyDescent="0.45">
      <c r="A18" t="s">
        <v>1020</v>
      </c>
      <c r="B18" t="s">
        <v>1610</v>
      </c>
      <c r="C18" t="s">
        <v>1611</v>
      </c>
      <c r="D18">
        <v>1</v>
      </c>
      <c r="E18">
        <v>2</v>
      </c>
      <c r="G18" t="s">
        <v>1610</v>
      </c>
      <c r="H18" t="s">
        <v>1611</v>
      </c>
      <c r="I18">
        <v>-1</v>
      </c>
    </row>
    <row r="19" spans="1:9" x14ac:dyDescent="0.45">
      <c r="A19" t="s">
        <v>1020</v>
      </c>
      <c r="B19" t="s">
        <v>1612</v>
      </c>
      <c r="C19" t="s">
        <v>1613</v>
      </c>
      <c r="D19">
        <v>1</v>
      </c>
      <c r="E19">
        <v>2</v>
      </c>
      <c r="G19" t="s">
        <v>1612</v>
      </c>
      <c r="H19" t="s">
        <v>1613</v>
      </c>
      <c r="I19">
        <v>-1</v>
      </c>
    </row>
    <row r="20" spans="1:9" x14ac:dyDescent="0.45">
      <c r="A20" t="s">
        <v>1020</v>
      </c>
      <c r="B20" t="s">
        <v>1614</v>
      </c>
      <c r="C20" t="s">
        <v>1615</v>
      </c>
      <c r="D20">
        <v>1</v>
      </c>
      <c r="E20">
        <v>2</v>
      </c>
      <c r="G20" t="s">
        <v>1614</v>
      </c>
      <c r="H20" t="s">
        <v>1615</v>
      </c>
      <c r="I20">
        <v>-1</v>
      </c>
    </row>
    <row r="21" spans="1:9" x14ac:dyDescent="0.45">
      <c r="A21" t="s">
        <v>1020</v>
      </c>
      <c r="B21" t="s">
        <v>1616</v>
      </c>
      <c r="C21" t="s">
        <v>1617</v>
      </c>
      <c r="D21">
        <v>1</v>
      </c>
      <c r="E21">
        <v>2</v>
      </c>
      <c r="G21" t="s">
        <v>1616</v>
      </c>
      <c r="H21" t="s">
        <v>1617</v>
      </c>
      <c r="I21">
        <v>-1</v>
      </c>
    </row>
    <row r="22" spans="1:9" x14ac:dyDescent="0.45">
      <c r="A22" t="s">
        <v>1020</v>
      </c>
      <c r="B22" t="s">
        <v>1618</v>
      </c>
      <c r="C22" t="s">
        <v>1619</v>
      </c>
      <c r="D22">
        <v>1</v>
      </c>
      <c r="E22">
        <v>2</v>
      </c>
      <c r="G22" t="s">
        <v>1618</v>
      </c>
      <c r="H22" t="s">
        <v>1619</v>
      </c>
      <c r="I22">
        <v>-1</v>
      </c>
    </row>
    <row r="23" spans="1:9" x14ac:dyDescent="0.45">
      <c r="A23" t="s">
        <v>1020</v>
      </c>
      <c r="B23" t="s">
        <v>1620</v>
      </c>
      <c r="C23" t="s">
        <v>1621</v>
      </c>
      <c r="D23">
        <v>1</v>
      </c>
      <c r="E23">
        <v>2</v>
      </c>
      <c r="G23" t="s">
        <v>1620</v>
      </c>
      <c r="H23" t="s">
        <v>1621</v>
      </c>
      <c r="I23">
        <v>-1</v>
      </c>
    </row>
    <row r="24" spans="1:9" x14ac:dyDescent="0.45">
      <c r="A24" t="s">
        <v>1020</v>
      </c>
      <c r="B24" t="s">
        <v>1622</v>
      </c>
      <c r="C24" t="s">
        <v>1623</v>
      </c>
      <c r="D24">
        <v>1</v>
      </c>
      <c r="E24">
        <v>2</v>
      </c>
      <c r="G24" t="s">
        <v>1622</v>
      </c>
      <c r="H24" t="s">
        <v>1623</v>
      </c>
      <c r="I24">
        <v>-1</v>
      </c>
    </row>
    <row r="25" spans="1:9" x14ac:dyDescent="0.45">
      <c r="A25" t="s">
        <v>1020</v>
      </c>
      <c r="B25" t="s">
        <v>1624</v>
      </c>
      <c r="C25" t="s">
        <v>1625</v>
      </c>
      <c r="D25">
        <v>1</v>
      </c>
      <c r="E25">
        <v>2</v>
      </c>
      <c r="G25" t="s">
        <v>1624</v>
      </c>
      <c r="H25" t="s">
        <v>1625</v>
      </c>
      <c r="I25">
        <v>-1</v>
      </c>
    </row>
    <row r="26" spans="1:9" x14ac:dyDescent="0.45">
      <c r="A26" t="s">
        <v>1020</v>
      </c>
      <c r="B26" t="s">
        <v>1626</v>
      </c>
      <c r="C26" t="s">
        <v>1627</v>
      </c>
      <c r="D26">
        <v>1</v>
      </c>
      <c r="E26">
        <v>2</v>
      </c>
      <c r="G26" t="s">
        <v>1626</v>
      </c>
      <c r="H26" t="s">
        <v>1627</v>
      </c>
      <c r="I26">
        <v>-1</v>
      </c>
    </row>
    <row r="27" spans="1:9" x14ac:dyDescent="0.45">
      <c r="A27" t="s">
        <v>1020</v>
      </c>
      <c r="B27" t="s">
        <v>1628</v>
      </c>
      <c r="C27" t="s">
        <v>1629</v>
      </c>
      <c r="D27">
        <v>1</v>
      </c>
      <c r="E27">
        <v>2</v>
      </c>
      <c r="G27" t="s">
        <v>1628</v>
      </c>
      <c r="H27" t="s">
        <v>1629</v>
      </c>
      <c r="I27">
        <v>-1</v>
      </c>
    </row>
    <row r="28" spans="1:9" x14ac:dyDescent="0.45">
      <c r="A28" t="s">
        <v>1020</v>
      </c>
      <c r="B28" t="s">
        <v>1630</v>
      </c>
      <c r="C28" t="s">
        <v>1631</v>
      </c>
      <c r="D28">
        <v>1</v>
      </c>
      <c r="E28">
        <v>2</v>
      </c>
      <c r="G28" t="s">
        <v>1630</v>
      </c>
      <c r="H28" t="s">
        <v>1631</v>
      </c>
      <c r="I28">
        <v>-1</v>
      </c>
    </row>
    <row r="29" spans="1:9" x14ac:dyDescent="0.45">
      <c r="A29" t="s">
        <v>1020</v>
      </c>
      <c r="B29" t="s">
        <v>1632</v>
      </c>
      <c r="C29" t="s">
        <v>1633</v>
      </c>
      <c r="D29">
        <v>1</v>
      </c>
      <c r="E29">
        <v>2</v>
      </c>
      <c r="G29" t="s">
        <v>1632</v>
      </c>
      <c r="H29" t="s">
        <v>1633</v>
      </c>
      <c r="I29">
        <v>-1</v>
      </c>
    </row>
    <row r="30" spans="1:9" x14ac:dyDescent="0.45">
      <c r="A30" t="s">
        <v>1020</v>
      </c>
      <c r="B30" t="s">
        <v>1634</v>
      </c>
      <c r="C30" t="s">
        <v>1635</v>
      </c>
      <c r="D30">
        <v>1</v>
      </c>
      <c r="E30">
        <v>2</v>
      </c>
      <c r="G30" t="s">
        <v>1634</v>
      </c>
      <c r="H30" t="s">
        <v>1635</v>
      </c>
      <c r="I30">
        <v>-1</v>
      </c>
    </row>
    <row r="31" spans="1:9" x14ac:dyDescent="0.45">
      <c r="A31" t="s">
        <v>1020</v>
      </c>
      <c r="B31" t="s">
        <v>1636</v>
      </c>
      <c r="C31" t="s">
        <v>1637</v>
      </c>
      <c r="D31">
        <v>1</v>
      </c>
      <c r="E31">
        <v>2</v>
      </c>
      <c r="G31" t="s">
        <v>1636</v>
      </c>
      <c r="H31" t="s">
        <v>1637</v>
      </c>
      <c r="I31">
        <v>-1</v>
      </c>
    </row>
    <row r="32" spans="1:9" x14ac:dyDescent="0.45">
      <c r="A32" t="s">
        <v>1020</v>
      </c>
      <c r="B32" t="s">
        <v>1638</v>
      </c>
      <c r="C32" t="s">
        <v>1639</v>
      </c>
      <c r="D32">
        <v>1</v>
      </c>
      <c r="E32">
        <v>2</v>
      </c>
      <c r="G32" t="s">
        <v>1638</v>
      </c>
      <c r="H32" t="s">
        <v>1639</v>
      </c>
      <c r="I32">
        <v>-1</v>
      </c>
    </row>
    <row r="33" spans="1:9" x14ac:dyDescent="0.45">
      <c r="A33" t="s">
        <v>1020</v>
      </c>
      <c r="B33" t="s">
        <v>1640</v>
      </c>
      <c r="C33" t="s">
        <v>1641</v>
      </c>
      <c r="D33">
        <v>1</v>
      </c>
      <c r="E33">
        <v>2</v>
      </c>
      <c r="G33" t="s">
        <v>1640</v>
      </c>
      <c r="H33" t="s">
        <v>1641</v>
      </c>
      <c r="I33">
        <v>-1</v>
      </c>
    </row>
    <row r="34" spans="1:9" x14ac:dyDescent="0.45">
      <c r="A34" t="s">
        <v>1020</v>
      </c>
      <c r="B34" t="s">
        <v>1642</v>
      </c>
      <c r="C34" t="s">
        <v>1643</v>
      </c>
      <c r="D34">
        <v>1</v>
      </c>
      <c r="E34">
        <v>2</v>
      </c>
      <c r="G34" t="s">
        <v>1642</v>
      </c>
      <c r="H34" t="s">
        <v>1643</v>
      </c>
      <c r="I34">
        <v>-1</v>
      </c>
    </row>
    <row r="35" spans="1:9" x14ac:dyDescent="0.45">
      <c r="A35" t="s">
        <v>1020</v>
      </c>
      <c r="B35" t="s">
        <v>1644</v>
      </c>
      <c r="C35" t="s">
        <v>1645</v>
      </c>
      <c r="D35">
        <v>1</v>
      </c>
      <c r="E35">
        <v>2</v>
      </c>
      <c r="G35" t="s">
        <v>1644</v>
      </c>
      <c r="H35" t="s">
        <v>1645</v>
      </c>
      <c r="I35">
        <v>-1</v>
      </c>
    </row>
    <row r="36" spans="1:9" x14ac:dyDescent="0.45">
      <c r="A36" t="s">
        <v>1020</v>
      </c>
      <c r="B36" t="s">
        <v>1646</v>
      </c>
      <c r="C36" t="s">
        <v>1647</v>
      </c>
      <c r="D36">
        <v>1</v>
      </c>
      <c r="E36">
        <v>2</v>
      </c>
      <c r="G36" t="s">
        <v>1646</v>
      </c>
      <c r="H36" t="s">
        <v>1647</v>
      </c>
      <c r="I36">
        <v>-1</v>
      </c>
    </row>
    <row r="37" spans="1:9" x14ac:dyDescent="0.45">
      <c r="A37" t="s">
        <v>1020</v>
      </c>
      <c r="B37" t="s">
        <v>1648</v>
      </c>
      <c r="C37" t="s">
        <v>1649</v>
      </c>
      <c r="D37">
        <v>1</v>
      </c>
      <c r="E37">
        <v>2</v>
      </c>
      <c r="G37" t="s">
        <v>1648</v>
      </c>
      <c r="H37" t="s">
        <v>1649</v>
      </c>
      <c r="I37">
        <v>-1</v>
      </c>
    </row>
    <row r="38" spans="1:9" x14ac:dyDescent="0.45">
      <c r="A38" t="s">
        <v>1020</v>
      </c>
      <c r="B38" t="s">
        <v>1650</v>
      </c>
      <c r="C38" t="s">
        <v>1651</v>
      </c>
      <c r="D38">
        <v>1</v>
      </c>
      <c r="E38">
        <v>2</v>
      </c>
      <c r="G38" t="s">
        <v>1650</v>
      </c>
      <c r="H38" t="s">
        <v>1651</v>
      </c>
      <c r="I38">
        <v>-1</v>
      </c>
    </row>
    <row r="39" spans="1:9" x14ac:dyDescent="0.45">
      <c r="A39" t="s">
        <v>1020</v>
      </c>
      <c r="B39" t="s">
        <v>1652</v>
      </c>
      <c r="C39" t="s">
        <v>1653</v>
      </c>
      <c r="D39">
        <v>1</v>
      </c>
      <c r="E39">
        <v>2</v>
      </c>
      <c r="G39" t="s">
        <v>1652</v>
      </c>
      <c r="H39" t="s">
        <v>1653</v>
      </c>
      <c r="I39">
        <v>-1</v>
      </c>
    </row>
    <row r="40" spans="1:9" x14ac:dyDescent="0.45">
      <c r="A40" t="s">
        <v>1020</v>
      </c>
      <c r="B40" t="s">
        <v>1654</v>
      </c>
      <c r="C40" t="s">
        <v>1655</v>
      </c>
      <c r="D40">
        <v>1</v>
      </c>
      <c r="E40">
        <v>2</v>
      </c>
      <c r="G40" t="s">
        <v>1654</v>
      </c>
      <c r="H40" t="s">
        <v>1655</v>
      </c>
      <c r="I40">
        <v>-1</v>
      </c>
    </row>
    <row r="41" spans="1:9" x14ac:dyDescent="0.45">
      <c r="A41" t="s">
        <v>1020</v>
      </c>
      <c r="B41" t="s">
        <v>1656</v>
      </c>
      <c r="C41" t="s">
        <v>1657</v>
      </c>
      <c r="D41">
        <v>1</v>
      </c>
      <c r="E41">
        <v>2</v>
      </c>
      <c r="G41" t="s">
        <v>1656</v>
      </c>
      <c r="H41" t="s">
        <v>1657</v>
      </c>
      <c r="I41">
        <v>-1</v>
      </c>
    </row>
    <row r="42" spans="1:9" x14ac:dyDescent="0.45">
      <c r="A42" t="s">
        <v>1020</v>
      </c>
      <c r="B42" t="s">
        <v>1658</v>
      </c>
      <c r="C42" t="s">
        <v>1659</v>
      </c>
      <c r="D42">
        <v>1</v>
      </c>
      <c r="E42">
        <v>2</v>
      </c>
      <c r="G42" t="s">
        <v>1658</v>
      </c>
      <c r="H42" t="s">
        <v>1659</v>
      </c>
      <c r="I42">
        <v>-1</v>
      </c>
    </row>
    <row r="43" spans="1:9" x14ac:dyDescent="0.45">
      <c r="A43" t="s">
        <v>1020</v>
      </c>
      <c r="B43" t="s">
        <v>1660</v>
      </c>
      <c r="C43" t="s">
        <v>1661</v>
      </c>
      <c r="D43">
        <v>1</v>
      </c>
      <c r="E43">
        <v>2</v>
      </c>
      <c r="G43" t="s">
        <v>1660</v>
      </c>
      <c r="H43" t="s">
        <v>1661</v>
      </c>
      <c r="I43">
        <v>-1</v>
      </c>
    </row>
    <row r="44" spans="1:9" x14ac:dyDescent="0.45">
      <c r="A44" t="s">
        <v>1020</v>
      </c>
      <c r="B44" t="s">
        <v>1662</v>
      </c>
      <c r="C44" t="s">
        <v>1663</v>
      </c>
      <c r="D44">
        <v>1</v>
      </c>
      <c r="E44">
        <v>2</v>
      </c>
      <c r="G44" t="s">
        <v>1662</v>
      </c>
      <c r="H44" t="s">
        <v>1663</v>
      </c>
      <c r="I44">
        <v>-1</v>
      </c>
    </row>
    <row r="45" spans="1:9" x14ac:dyDescent="0.45">
      <c r="A45" t="s">
        <v>1020</v>
      </c>
      <c r="B45" t="s">
        <v>1664</v>
      </c>
      <c r="C45" t="s">
        <v>1665</v>
      </c>
      <c r="D45">
        <v>1</v>
      </c>
      <c r="E45">
        <v>2</v>
      </c>
      <c r="G45" t="s">
        <v>1664</v>
      </c>
      <c r="H45" t="s">
        <v>1665</v>
      </c>
      <c r="I45">
        <v>-1</v>
      </c>
    </row>
    <row r="46" spans="1:9" x14ac:dyDescent="0.45">
      <c r="A46" t="s">
        <v>1020</v>
      </c>
      <c r="B46" t="s">
        <v>1666</v>
      </c>
      <c r="C46" t="s">
        <v>1667</v>
      </c>
      <c r="D46">
        <v>1</v>
      </c>
      <c r="E46">
        <v>2</v>
      </c>
      <c r="G46" t="s">
        <v>1666</v>
      </c>
      <c r="H46" t="s">
        <v>1667</v>
      </c>
      <c r="I46">
        <v>-1</v>
      </c>
    </row>
    <row r="47" spans="1:9" x14ac:dyDescent="0.45">
      <c r="A47" t="s">
        <v>1020</v>
      </c>
      <c r="B47" t="s">
        <v>1668</v>
      </c>
      <c r="C47" t="s">
        <v>1669</v>
      </c>
      <c r="D47">
        <v>1</v>
      </c>
      <c r="E47">
        <v>2</v>
      </c>
      <c r="G47" t="s">
        <v>1668</v>
      </c>
      <c r="H47" t="s">
        <v>1669</v>
      </c>
      <c r="I47">
        <v>-1</v>
      </c>
    </row>
    <row r="48" spans="1:9" x14ac:dyDescent="0.45">
      <c r="A48" t="s">
        <v>1020</v>
      </c>
      <c r="B48" t="s">
        <v>1670</v>
      </c>
      <c r="C48" t="s">
        <v>1671</v>
      </c>
      <c r="D48">
        <v>1</v>
      </c>
      <c r="E48">
        <v>2</v>
      </c>
      <c r="G48" t="s">
        <v>1670</v>
      </c>
      <c r="H48" t="s">
        <v>1671</v>
      </c>
      <c r="I48">
        <v>-1</v>
      </c>
    </row>
    <row r="49" spans="1:9" x14ac:dyDescent="0.45">
      <c r="A49" t="s">
        <v>1020</v>
      </c>
      <c r="B49" t="s">
        <v>1672</v>
      </c>
      <c r="C49" t="s">
        <v>1673</v>
      </c>
      <c r="D49">
        <v>1</v>
      </c>
      <c r="E49">
        <v>2</v>
      </c>
      <c r="G49" t="s">
        <v>1672</v>
      </c>
      <c r="H49" t="s">
        <v>1673</v>
      </c>
      <c r="I49">
        <v>-1</v>
      </c>
    </row>
    <row r="50" spans="1:9" x14ac:dyDescent="0.45">
      <c r="A50" t="s">
        <v>1020</v>
      </c>
      <c r="B50" t="s">
        <v>1674</v>
      </c>
      <c r="C50" t="s">
        <v>1675</v>
      </c>
      <c r="D50">
        <v>1</v>
      </c>
      <c r="E50">
        <v>2</v>
      </c>
      <c r="G50" t="s">
        <v>1674</v>
      </c>
      <c r="H50" t="s">
        <v>1675</v>
      </c>
      <c r="I50">
        <v>-1</v>
      </c>
    </row>
    <row r="51" spans="1:9" x14ac:dyDescent="0.45">
      <c r="A51" t="s">
        <v>1020</v>
      </c>
      <c r="B51" t="s">
        <v>1676</v>
      </c>
      <c r="C51" t="s">
        <v>1677</v>
      </c>
      <c r="D51">
        <v>1</v>
      </c>
      <c r="E51">
        <v>2</v>
      </c>
      <c r="G51" t="s">
        <v>1676</v>
      </c>
      <c r="H51" t="s">
        <v>1677</v>
      </c>
      <c r="I51">
        <v>-1</v>
      </c>
    </row>
    <row r="52" spans="1:9" x14ac:dyDescent="0.45">
      <c r="A52" t="s">
        <v>1020</v>
      </c>
      <c r="B52" t="s">
        <v>1678</v>
      </c>
      <c r="C52" t="s">
        <v>1679</v>
      </c>
      <c r="D52">
        <v>1</v>
      </c>
      <c r="E52">
        <v>2</v>
      </c>
      <c r="G52" t="s">
        <v>1678</v>
      </c>
      <c r="H52" t="s">
        <v>1679</v>
      </c>
      <c r="I52">
        <v>-1</v>
      </c>
    </row>
    <row r="53" spans="1:9" x14ac:dyDescent="0.45">
      <c r="A53" t="s">
        <v>1020</v>
      </c>
      <c r="B53" t="s">
        <v>1680</v>
      </c>
      <c r="C53" t="s">
        <v>1681</v>
      </c>
      <c r="D53">
        <v>1</v>
      </c>
      <c r="E53">
        <v>2</v>
      </c>
      <c r="G53" t="s">
        <v>1680</v>
      </c>
      <c r="H53" t="s">
        <v>1681</v>
      </c>
      <c r="I53">
        <v>-1</v>
      </c>
    </row>
    <row r="54" spans="1:9" x14ac:dyDescent="0.45">
      <c r="A54" t="s">
        <v>1020</v>
      </c>
      <c r="B54" t="s">
        <v>1682</v>
      </c>
      <c r="C54" t="s">
        <v>1683</v>
      </c>
      <c r="D54">
        <v>1</v>
      </c>
      <c r="E54">
        <v>2</v>
      </c>
      <c r="G54" t="s">
        <v>1682</v>
      </c>
      <c r="H54" t="s">
        <v>1683</v>
      </c>
      <c r="I54">
        <v>-1</v>
      </c>
    </row>
    <row r="55" spans="1:9" x14ac:dyDescent="0.45">
      <c r="A55" t="s">
        <v>1020</v>
      </c>
      <c r="B55" t="s">
        <v>1684</v>
      </c>
      <c r="C55" t="s">
        <v>1685</v>
      </c>
      <c r="D55">
        <v>1</v>
      </c>
      <c r="E55">
        <v>2</v>
      </c>
      <c r="G55" t="s">
        <v>1684</v>
      </c>
      <c r="H55" t="s">
        <v>1685</v>
      </c>
      <c r="I55">
        <v>-1</v>
      </c>
    </row>
    <row r="56" spans="1:9" x14ac:dyDescent="0.45">
      <c r="A56" t="s">
        <v>1020</v>
      </c>
      <c r="B56" t="s">
        <v>1686</v>
      </c>
      <c r="C56" t="s">
        <v>1687</v>
      </c>
      <c r="D56">
        <v>1</v>
      </c>
      <c r="E56">
        <v>2</v>
      </c>
      <c r="G56" t="s">
        <v>1686</v>
      </c>
      <c r="H56" t="s">
        <v>1687</v>
      </c>
      <c r="I56">
        <v>-1</v>
      </c>
    </row>
    <row r="57" spans="1:9" x14ac:dyDescent="0.45">
      <c r="A57" t="s">
        <v>1020</v>
      </c>
      <c r="B57" t="s">
        <v>1688</v>
      </c>
      <c r="C57" t="s">
        <v>1689</v>
      </c>
      <c r="D57">
        <v>1</v>
      </c>
      <c r="E57">
        <v>2</v>
      </c>
      <c r="G57" t="s">
        <v>1688</v>
      </c>
      <c r="H57" t="s">
        <v>1689</v>
      </c>
      <c r="I57">
        <v>-1</v>
      </c>
    </row>
    <row r="58" spans="1:9" x14ac:dyDescent="0.45">
      <c r="A58" t="s">
        <v>1020</v>
      </c>
      <c r="B58" t="s">
        <v>1690</v>
      </c>
      <c r="C58" t="s">
        <v>1691</v>
      </c>
      <c r="D58">
        <v>1</v>
      </c>
      <c r="E58">
        <v>2</v>
      </c>
      <c r="G58" t="s">
        <v>1690</v>
      </c>
      <c r="H58" t="s">
        <v>1691</v>
      </c>
      <c r="I58">
        <v>-1</v>
      </c>
    </row>
    <row r="59" spans="1:9" x14ac:dyDescent="0.45">
      <c r="A59" t="s">
        <v>1020</v>
      </c>
      <c r="B59" t="s">
        <v>1692</v>
      </c>
      <c r="C59" t="s">
        <v>1693</v>
      </c>
      <c r="D59">
        <v>1</v>
      </c>
      <c r="E59">
        <v>2</v>
      </c>
      <c r="G59" t="s">
        <v>1692</v>
      </c>
      <c r="H59" t="s">
        <v>1693</v>
      </c>
      <c r="I59">
        <v>-1</v>
      </c>
    </row>
    <row r="60" spans="1:9" x14ac:dyDescent="0.45">
      <c r="A60" t="s">
        <v>1020</v>
      </c>
      <c r="B60" t="s">
        <v>1694</v>
      </c>
      <c r="C60" t="s">
        <v>1695</v>
      </c>
      <c r="D60">
        <v>1</v>
      </c>
      <c r="E60">
        <v>2</v>
      </c>
      <c r="G60" t="s">
        <v>1694</v>
      </c>
      <c r="H60" t="s">
        <v>1695</v>
      </c>
      <c r="I60">
        <v>-1</v>
      </c>
    </row>
    <row r="61" spans="1:9" x14ac:dyDescent="0.45">
      <c r="A61" t="s">
        <v>1020</v>
      </c>
      <c r="B61" t="s">
        <v>1696</v>
      </c>
      <c r="C61" t="s">
        <v>1697</v>
      </c>
      <c r="D61">
        <v>1</v>
      </c>
      <c r="E61">
        <v>2</v>
      </c>
      <c r="G61" t="s">
        <v>1696</v>
      </c>
      <c r="H61" t="s">
        <v>1697</v>
      </c>
      <c r="I61">
        <v>-1</v>
      </c>
    </row>
    <row r="62" spans="1:9" x14ac:dyDescent="0.45">
      <c r="A62" t="s">
        <v>1020</v>
      </c>
      <c r="B62" t="s">
        <v>1698</v>
      </c>
      <c r="C62" t="s">
        <v>1699</v>
      </c>
      <c r="D62">
        <v>1</v>
      </c>
      <c r="E62">
        <v>2</v>
      </c>
      <c r="G62" t="s">
        <v>1698</v>
      </c>
      <c r="H62" t="s">
        <v>1699</v>
      </c>
      <c r="I62">
        <v>-1</v>
      </c>
    </row>
    <row r="63" spans="1:9" x14ac:dyDescent="0.45">
      <c r="A63" t="s">
        <v>1020</v>
      </c>
      <c r="B63" t="s">
        <v>1700</v>
      </c>
      <c r="C63" t="s">
        <v>1701</v>
      </c>
      <c r="D63">
        <v>1</v>
      </c>
      <c r="E63">
        <v>2</v>
      </c>
      <c r="G63" t="s">
        <v>1700</v>
      </c>
      <c r="H63" t="s">
        <v>1701</v>
      </c>
      <c r="I63">
        <v>-1</v>
      </c>
    </row>
    <row r="64" spans="1:9" x14ac:dyDescent="0.45">
      <c r="A64" t="s">
        <v>1020</v>
      </c>
      <c r="B64" t="s">
        <v>1702</v>
      </c>
      <c r="C64" t="s">
        <v>1703</v>
      </c>
      <c r="D64">
        <v>1</v>
      </c>
      <c r="E64">
        <v>2</v>
      </c>
      <c r="G64" t="s">
        <v>1702</v>
      </c>
      <c r="H64" t="s">
        <v>1703</v>
      </c>
      <c r="I64">
        <v>-1</v>
      </c>
    </row>
    <row r="65" spans="1:9" x14ac:dyDescent="0.45">
      <c r="A65" t="s">
        <v>1020</v>
      </c>
      <c r="B65" t="s">
        <v>1704</v>
      </c>
      <c r="C65" t="s">
        <v>1705</v>
      </c>
      <c r="D65">
        <v>1</v>
      </c>
      <c r="E65">
        <v>2</v>
      </c>
      <c r="G65" t="s">
        <v>1704</v>
      </c>
      <c r="H65" t="s">
        <v>1705</v>
      </c>
      <c r="I65">
        <v>-1</v>
      </c>
    </row>
    <row r="66" spans="1:9" x14ac:dyDescent="0.45">
      <c r="A66" t="s">
        <v>1020</v>
      </c>
      <c r="B66" t="s">
        <v>1706</v>
      </c>
      <c r="C66" t="s">
        <v>1707</v>
      </c>
      <c r="D66">
        <v>1</v>
      </c>
      <c r="E66">
        <v>2</v>
      </c>
      <c r="G66" t="s">
        <v>1706</v>
      </c>
      <c r="H66" t="s">
        <v>1707</v>
      </c>
      <c r="I66">
        <v>-1</v>
      </c>
    </row>
    <row r="67" spans="1:9" x14ac:dyDescent="0.45">
      <c r="A67" t="s">
        <v>1020</v>
      </c>
      <c r="B67" t="s">
        <v>1708</v>
      </c>
      <c r="C67" t="s">
        <v>1709</v>
      </c>
      <c r="D67">
        <v>1</v>
      </c>
      <c r="E67">
        <v>2</v>
      </c>
      <c r="G67" t="s">
        <v>1708</v>
      </c>
      <c r="H67" t="s">
        <v>1709</v>
      </c>
      <c r="I67">
        <v>-1</v>
      </c>
    </row>
    <row r="68" spans="1:9" x14ac:dyDescent="0.45">
      <c r="A68" t="s">
        <v>1020</v>
      </c>
      <c r="B68" t="s">
        <v>1710</v>
      </c>
      <c r="C68" t="s">
        <v>1711</v>
      </c>
      <c r="D68">
        <v>1</v>
      </c>
      <c r="E68">
        <v>2</v>
      </c>
      <c r="G68" t="s">
        <v>1710</v>
      </c>
      <c r="H68" t="s">
        <v>1711</v>
      </c>
      <c r="I68">
        <v>-1</v>
      </c>
    </row>
    <row r="69" spans="1:9" x14ac:dyDescent="0.45">
      <c r="A69" t="s">
        <v>1020</v>
      </c>
      <c r="B69" t="s">
        <v>1712</v>
      </c>
      <c r="C69" t="s">
        <v>1713</v>
      </c>
      <c r="D69">
        <v>1</v>
      </c>
      <c r="E69">
        <v>2</v>
      </c>
      <c r="G69" t="s">
        <v>1712</v>
      </c>
      <c r="H69" t="s">
        <v>1713</v>
      </c>
      <c r="I69">
        <v>-1</v>
      </c>
    </row>
    <row r="70" spans="1:9" x14ac:dyDescent="0.45">
      <c r="A70" t="s">
        <v>1020</v>
      </c>
      <c r="B70" t="s">
        <v>1714</v>
      </c>
      <c r="C70" t="s">
        <v>1715</v>
      </c>
      <c r="D70">
        <v>1</v>
      </c>
      <c r="E70">
        <v>2</v>
      </c>
      <c r="G70" t="s">
        <v>1714</v>
      </c>
      <c r="H70" t="s">
        <v>1715</v>
      </c>
      <c r="I70">
        <v>-1</v>
      </c>
    </row>
    <row r="71" spans="1:9" x14ac:dyDescent="0.45">
      <c r="A71" t="s">
        <v>1020</v>
      </c>
      <c r="B71" t="s">
        <v>1716</v>
      </c>
      <c r="C71" t="s">
        <v>1717</v>
      </c>
      <c r="D71">
        <v>1</v>
      </c>
      <c r="E71">
        <v>2</v>
      </c>
      <c r="G71" t="s">
        <v>1716</v>
      </c>
      <c r="H71" t="s">
        <v>1717</v>
      </c>
      <c r="I71">
        <v>-1</v>
      </c>
    </row>
    <row r="72" spans="1:9" x14ac:dyDescent="0.45">
      <c r="A72" t="s">
        <v>1020</v>
      </c>
      <c r="B72" t="s">
        <v>1718</v>
      </c>
      <c r="C72" t="s">
        <v>1719</v>
      </c>
      <c r="D72">
        <v>1</v>
      </c>
      <c r="E72">
        <v>2</v>
      </c>
      <c r="G72" t="s">
        <v>1718</v>
      </c>
      <c r="H72" t="s">
        <v>1719</v>
      </c>
      <c r="I72">
        <v>-1</v>
      </c>
    </row>
    <row r="73" spans="1:9" x14ac:dyDescent="0.45">
      <c r="A73" t="s">
        <v>1020</v>
      </c>
      <c r="B73" t="s">
        <v>1720</v>
      </c>
      <c r="C73" t="s">
        <v>1721</v>
      </c>
      <c r="D73">
        <v>1</v>
      </c>
      <c r="E73">
        <v>2</v>
      </c>
      <c r="G73" t="s">
        <v>1720</v>
      </c>
      <c r="H73" t="s">
        <v>1721</v>
      </c>
      <c r="I73">
        <v>-1</v>
      </c>
    </row>
    <row r="74" spans="1:9" x14ac:dyDescent="0.45">
      <c r="A74" t="s">
        <v>1020</v>
      </c>
      <c r="B74" t="s">
        <v>1722</v>
      </c>
      <c r="C74" t="s">
        <v>1723</v>
      </c>
      <c r="D74">
        <v>1</v>
      </c>
      <c r="E74">
        <v>2</v>
      </c>
      <c r="G74" t="s">
        <v>1722</v>
      </c>
      <c r="H74" t="s">
        <v>1723</v>
      </c>
      <c r="I74">
        <v>-1</v>
      </c>
    </row>
    <row r="75" spans="1:9" x14ac:dyDescent="0.45">
      <c r="A75" t="s">
        <v>1020</v>
      </c>
      <c r="B75" t="s">
        <v>1724</v>
      </c>
      <c r="C75" t="s">
        <v>1725</v>
      </c>
      <c r="D75">
        <v>1</v>
      </c>
      <c r="E75">
        <v>2</v>
      </c>
      <c r="G75" t="s">
        <v>1724</v>
      </c>
      <c r="H75" t="s">
        <v>1725</v>
      </c>
      <c r="I75">
        <v>-1</v>
      </c>
    </row>
    <row r="76" spans="1:9" x14ac:dyDescent="0.45">
      <c r="A76" t="s">
        <v>1020</v>
      </c>
      <c r="B76" t="s">
        <v>1726</v>
      </c>
      <c r="C76" t="s">
        <v>1727</v>
      </c>
      <c r="D76">
        <v>1</v>
      </c>
      <c r="E76">
        <v>2</v>
      </c>
      <c r="G76" t="s">
        <v>1726</v>
      </c>
      <c r="H76" t="s">
        <v>1727</v>
      </c>
      <c r="I76">
        <v>-1</v>
      </c>
    </row>
    <row r="77" spans="1:9" x14ac:dyDescent="0.45">
      <c r="A77" t="s">
        <v>1020</v>
      </c>
      <c r="B77" t="s">
        <v>1728</v>
      </c>
      <c r="C77" t="s">
        <v>1729</v>
      </c>
      <c r="D77">
        <v>1</v>
      </c>
      <c r="E77">
        <v>2</v>
      </c>
      <c r="G77" t="s">
        <v>1728</v>
      </c>
      <c r="H77" t="s">
        <v>1729</v>
      </c>
      <c r="I77">
        <v>-1</v>
      </c>
    </row>
    <row r="78" spans="1:9" x14ac:dyDescent="0.45">
      <c r="A78" t="s">
        <v>1020</v>
      </c>
      <c r="B78" t="s">
        <v>1730</v>
      </c>
      <c r="C78" t="s">
        <v>1731</v>
      </c>
      <c r="D78">
        <v>1</v>
      </c>
      <c r="E78">
        <v>2</v>
      </c>
      <c r="G78" t="s">
        <v>1730</v>
      </c>
      <c r="H78" t="s">
        <v>1731</v>
      </c>
      <c r="I78">
        <v>-1</v>
      </c>
    </row>
    <row r="79" spans="1:9" x14ac:dyDescent="0.45">
      <c r="A79" t="s">
        <v>1020</v>
      </c>
      <c r="B79" t="s">
        <v>1732</v>
      </c>
      <c r="C79" t="s">
        <v>1733</v>
      </c>
      <c r="D79">
        <v>1</v>
      </c>
      <c r="E79">
        <v>2</v>
      </c>
      <c r="G79" t="s">
        <v>1732</v>
      </c>
      <c r="H79" t="s">
        <v>1733</v>
      </c>
      <c r="I79">
        <v>-1</v>
      </c>
    </row>
    <row r="80" spans="1:9" x14ac:dyDescent="0.45">
      <c r="A80" t="s">
        <v>1020</v>
      </c>
      <c r="B80" t="s">
        <v>1734</v>
      </c>
      <c r="C80" t="s">
        <v>1735</v>
      </c>
      <c r="D80">
        <v>1</v>
      </c>
      <c r="E80">
        <v>2</v>
      </c>
      <c r="G80" t="s">
        <v>1734</v>
      </c>
      <c r="H80" t="s">
        <v>1735</v>
      </c>
      <c r="I80">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30604-6F57-49AD-AC00-E1EB4FF1612E}">
  <dimension ref="B2:AG341"/>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5675</v>
      </c>
    </row>
    <row r="4" spans="2:33" x14ac:dyDescent="0.45">
      <c r="B4" t="s">
        <v>1736</v>
      </c>
      <c r="C4">
        <v>3.3962060000000003</v>
      </c>
      <c r="D4">
        <v>57.2</v>
      </c>
      <c r="E4">
        <v>0.99687999999999999</v>
      </c>
      <c r="H4" t="s">
        <v>1737</v>
      </c>
      <c r="I4" t="s">
        <v>13</v>
      </c>
      <c r="J4">
        <v>2.6222309220756461E-2</v>
      </c>
      <c r="K4" t="s">
        <v>14</v>
      </c>
      <c r="P4" t="s">
        <v>1738</v>
      </c>
      <c r="Q4" t="s">
        <v>1737</v>
      </c>
      <c r="R4" t="s">
        <v>1739</v>
      </c>
      <c r="S4" t="s">
        <v>17</v>
      </c>
      <c r="U4" t="s">
        <v>1738</v>
      </c>
      <c r="V4" t="s">
        <v>1740</v>
      </c>
      <c r="W4" t="s">
        <v>1739</v>
      </c>
      <c r="X4" t="s">
        <v>19</v>
      </c>
      <c r="AA4" t="s">
        <v>6</v>
      </c>
      <c r="AB4" t="s">
        <v>20</v>
      </c>
      <c r="AC4" t="s">
        <v>21</v>
      </c>
      <c r="AD4" t="s">
        <v>22</v>
      </c>
      <c r="AE4" t="s">
        <v>23</v>
      </c>
      <c r="AF4" t="s">
        <v>24</v>
      </c>
      <c r="AG4" t="s">
        <v>25</v>
      </c>
    </row>
    <row r="5" spans="2:33" x14ac:dyDescent="0.45">
      <c r="B5" t="s">
        <v>1741</v>
      </c>
      <c r="C5">
        <v>6.7924110000000004</v>
      </c>
      <c r="D5">
        <v>36.300000000000004</v>
      </c>
      <c r="E5">
        <v>0.99802000000000002</v>
      </c>
      <c r="H5" t="s">
        <v>1737</v>
      </c>
      <c r="I5" t="s">
        <v>27</v>
      </c>
      <c r="J5">
        <v>2.6222309220756461E-2</v>
      </c>
      <c r="K5" t="s">
        <v>14</v>
      </c>
      <c r="P5" t="s">
        <v>1738</v>
      </c>
      <c r="Q5" t="s">
        <v>1742</v>
      </c>
      <c r="R5" t="s">
        <v>1743</v>
      </c>
      <c r="S5" t="s">
        <v>17</v>
      </c>
      <c r="U5" t="s">
        <v>1738</v>
      </c>
      <c r="V5" t="s">
        <v>1744</v>
      </c>
      <c r="W5" t="s">
        <v>1739</v>
      </c>
      <c r="X5" t="s">
        <v>19</v>
      </c>
      <c r="AA5" t="s">
        <v>31</v>
      </c>
      <c r="AB5" t="s">
        <v>32</v>
      </c>
      <c r="AC5">
        <v>2</v>
      </c>
      <c r="AE5">
        <v>0</v>
      </c>
      <c r="AF5" t="s">
        <v>33</v>
      </c>
      <c r="AG5" t="s">
        <v>34</v>
      </c>
    </row>
    <row r="6" spans="2:33" x14ac:dyDescent="0.45">
      <c r="B6" t="s">
        <v>1745</v>
      </c>
      <c r="C6">
        <v>3.3962060000000003</v>
      </c>
      <c r="D6">
        <v>67.100000000000009</v>
      </c>
      <c r="E6">
        <v>0.99634</v>
      </c>
      <c r="H6" t="s">
        <v>1737</v>
      </c>
      <c r="I6" t="s">
        <v>36</v>
      </c>
      <c r="J6">
        <v>2.6222309220756461E-2</v>
      </c>
      <c r="K6" t="s">
        <v>14</v>
      </c>
      <c r="P6" t="s">
        <v>1738</v>
      </c>
      <c r="Q6" t="s">
        <v>1746</v>
      </c>
      <c r="R6" t="s">
        <v>1747</v>
      </c>
      <c r="S6" t="s">
        <v>17</v>
      </c>
      <c r="U6" t="s">
        <v>1738</v>
      </c>
      <c r="V6" t="s">
        <v>1748</v>
      </c>
      <c r="W6" t="s">
        <v>1739</v>
      </c>
      <c r="X6" t="s">
        <v>19</v>
      </c>
      <c r="AA6" t="s">
        <v>31</v>
      </c>
      <c r="AB6" t="s">
        <v>32</v>
      </c>
      <c r="AD6">
        <v>2</v>
      </c>
      <c r="AE6">
        <v>0</v>
      </c>
      <c r="AF6" t="s">
        <v>40</v>
      </c>
    </row>
    <row r="7" spans="2:33" x14ac:dyDescent="0.45">
      <c r="B7" t="s">
        <v>1749</v>
      </c>
      <c r="C7">
        <v>4.3793180000000005</v>
      </c>
      <c r="D7">
        <v>107.80000000000001</v>
      </c>
      <c r="E7">
        <v>0.99412</v>
      </c>
      <c r="H7" t="s">
        <v>1742</v>
      </c>
      <c r="I7" t="s">
        <v>13</v>
      </c>
      <c r="J7">
        <v>8.3879615170413171E-3</v>
      </c>
      <c r="K7" t="s">
        <v>14</v>
      </c>
      <c r="P7" t="s">
        <v>1738</v>
      </c>
      <c r="Q7" t="s">
        <v>1750</v>
      </c>
      <c r="R7" t="s">
        <v>1751</v>
      </c>
      <c r="S7" t="s">
        <v>17</v>
      </c>
      <c r="U7" t="s">
        <v>1738</v>
      </c>
      <c r="V7" t="s">
        <v>1752</v>
      </c>
      <c r="W7" t="s">
        <v>1739</v>
      </c>
      <c r="X7" t="s">
        <v>19</v>
      </c>
    </row>
    <row r="8" spans="2:33" x14ac:dyDescent="0.45">
      <c r="B8" t="s">
        <v>1753</v>
      </c>
      <c r="C8">
        <v>0.98311199999999999</v>
      </c>
      <c r="D8">
        <v>48.400000000000006</v>
      </c>
      <c r="E8">
        <v>0.99736000000000002</v>
      </c>
      <c r="H8" t="s">
        <v>1742</v>
      </c>
      <c r="I8" t="s">
        <v>27</v>
      </c>
      <c r="J8">
        <v>8.3879615170413171E-3</v>
      </c>
      <c r="K8" t="s">
        <v>14</v>
      </c>
      <c r="P8" t="s">
        <v>1738</v>
      </c>
      <c r="Q8" t="s">
        <v>1754</v>
      </c>
      <c r="R8" t="s">
        <v>1755</v>
      </c>
      <c r="S8" t="s">
        <v>17</v>
      </c>
      <c r="U8" t="s">
        <v>1738</v>
      </c>
      <c r="V8" t="s">
        <v>1756</v>
      </c>
      <c r="W8" t="s">
        <v>1739</v>
      </c>
      <c r="X8" t="s">
        <v>19</v>
      </c>
    </row>
    <row r="9" spans="2:33" x14ac:dyDescent="0.45">
      <c r="B9" t="s">
        <v>1757</v>
      </c>
      <c r="C9">
        <v>3.3962060000000003</v>
      </c>
      <c r="D9">
        <v>49.500000000000007</v>
      </c>
      <c r="E9">
        <v>0.99729999999999996</v>
      </c>
      <c r="H9" t="s">
        <v>1742</v>
      </c>
      <c r="I9" t="s">
        <v>36</v>
      </c>
      <c r="J9">
        <v>8.3879615170413171E-3</v>
      </c>
      <c r="K9" t="s">
        <v>14</v>
      </c>
      <c r="P9" t="s">
        <v>1738</v>
      </c>
      <c r="Q9" t="s">
        <v>1758</v>
      </c>
      <c r="R9" t="s">
        <v>1759</v>
      </c>
      <c r="S9" t="s">
        <v>17</v>
      </c>
      <c r="U9" t="s">
        <v>1738</v>
      </c>
      <c r="V9" t="s">
        <v>1760</v>
      </c>
      <c r="W9" t="s">
        <v>1739</v>
      </c>
      <c r="X9" t="s">
        <v>19</v>
      </c>
    </row>
    <row r="10" spans="2:33" x14ac:dyDescent="0.45">
      <c r="B10" t="s">
        <v>1761</v>
      </c>
      <c r="C10">
        <v>1.966224</v>
      </c>
      <c r="D10">
        <v>29.700000000000003</v>
      </c>
      <c r="E10">
        <v>0.99838000000000005</v>
      </c>
      <c r="H10" t="s">
        <v>1746</v>
      </c>
      <c r="I10" t="s">
        <v>13</v>
      </c>
      <c r="J10">
        <v>4.7547362958621872E-2</v>
      </c>
      <c r="K10" t="s">
        <v>14</v>
      </c>
      <c r="P10" t="s">
        <v>1738</v>
      </c>
      <c r="Q10" t="s">
        <v>1762</v>
      </c>
      <c r="R10" t="s">
        <v>1763</v>
      </c>
      <c r="S10" t="s">
        <v>17</v>
      </c>
      <c r="U10" t="s">
        <v>1738</v>
      </c>
      <c r="V10" t="s">
        <v>1764</v>
      </c>
      <c r="W10" t="s">
        <v>1739</v>
      </c>
      <c r="X10" t="s">
        <v>19</v>
      </c>
    </row>
    <row r="11" spans="2:33" x14ac:dyDescent="0.45">
      <c r="B11" t="s">
        <v>1765</v>
      </c>
      <c r="C11">
        <v>1.966224</v>
      </c>
      <c r="D11">
        <v>107.80000000000001</v>
      </c>
      <c r="E11">
        <v>0.99412</v>
      </c>
      <c r="H11" t="s">
        <v>1746</v>
      </c>
      <c r="I11" t="s">
        <v>27</v>
      </c>
      <c r="J11">
        <v>4.7547362958621872E-2</v>
      </c>
      <c r="K11" t="s">
        <v>14</v>
      </c>
      <c r="P11" t="s">
        <v>1738</v>
      </c>
      <c r="Q11" t="s">
        <v>1766</v>
      </c>
      <c r="R11" t="s">
        <v>1767</v>
      </c>
      <c r="S11" t="s">
        <v>17</v>
      </c>
      <c r="U11" t="s">
        <v>1738</v>
      </c>
      <c r="V11" t="s">
        <v>1768</v>
      </c>
      <c r="W11" t="s">
        <v>1739</v>
      </c>
      <c r="X11" t="s">
        <v>19</v>
      </c>
    </row>
    <row r="12" spans="2:33" x14ac:dyDescent="0.45">
      <c r="B12" t="s">
        <v>1769</v>
      </c>
      <c r="C12">
        <v>6.7924110000000004</v>
      </c>
      <c r="D12">
        <v>59.400000000000006</v>
      </c>
      <c r="E12">
        <v>0.99675999999999998</v>
      </c>
      <c r="H12" t="s">
        <v>1746</v>
      </c>
      <c r="I12" t="s">
        <v>36</v>
      </c>
      <c r="J12">
        <v>4.7547362958621872E-2</v>
      </c>
      <c r="K12" t="s">
        <v>14</v>
      </c>
      <c r="P12" t="s">
        <v>1738</v>
      </c>
      <c r="Q12" t="s">
        <v>1770</v>
      </c>
      <c r="R12" t="s">
        <v>1771</v>
      </c>
      <c r="S12" t="s">
        <v>17</v>
      </c>
      <c r="U12" t="s">
        <v>1738</v>
      </c>
      <c r="V12" t="s">
        <v>1772</v>
      </c>
      <c r="W12" t="s">
        <v>1739</v>
      </c>
      <c r="X12" t="s">
        <v>19</v>
      </c>
    </row>
    <row r="13" spans="2:33" x14ac:dyDescent="0.45">
      <c r="B13" t="s">
        <v>1773</v>
      </c>
      <c r="C13">
        <v>3.3962060000000003</v>
      </c>
      <c r="D13">
        <v>64.900000000000006</v>
      </c>
      <c r="E13">
        <v>0.99646000000000001</v>
      </c>
      <c r="H13" t="s">
        <v>1750</v>
      </c>
      <c r="I13" t="s">
        <v>13</v>
      </c>
      <c r="J13">
        <v>0.11918695361073985</v>
      </c>
      <c r="K13" t="s">
        <v>14</v>
      </c>
      <c r="P13" t="s">
        <v>1738</v>
      </c>
      <c r="Q13" t="s">
        <v>1774</v>
      </c>
      <c r="R13" t="s">
        <v>1775</v>
      </c>
      <c r="S13" t="s">
        <v>17</v>
      </c>
      <c r="U13" t="s">
        <v>1738</v>
      </c>
      <c r="V13" t="s">
        <v>1776</v>
      </c>
      <c r="W13" t="s">
        <v>1739</v>
      </c>
      <c r="X13" t="s">
        <v>19</v>
      </c>
    </row>
    <row r="14" spans="2:33" x14ac:dyDescent="0.45">
      <c r="B14" t="s">
        <v>1777</v>
      </c>
      <c r="C14">
        <v>3.3962060000000003</v>
      </c>
      <c r="D14">
        <v>67.100000000000009</v>
      </c>
      <c r="E14">
        <v>0.99634</v>
      </c>
      <c r="H14" t="s">
        <v>1750</v>
      </c>
      <c r="I14" t="s">
        <v>27</v>
      </c>
      <c r="J14">
        <v>0.11918695361073985</v>
      </c>
      <c r="K14" t="s">
        <v>14</v>
      </c>
      <c r="P14" t="s">
        <v>1738</v>
      </c>
      <c r="Q14" t="s">
        <v>1778</v>
      </c>
      <c r="R14" t="s">
        <v>1779</v>
      </c>
      <c r="S14" t="s">
        <v>17</v>
      </c>
      <c r="U14" t="s">
        <v>1738</v>
      </c>
      <c r="V14" t="s">
        <v>1780</v>
      </c>
      <c r="W14" t="s">
        <v>1739</v>
      </c>
      <c r="X14" t="s">
        <v>19</v>
      </c>
    </row>
    <row r="15" spans="2:33" x14ac:dyDescent="0.45">
      <c r="B15" t="s">
        <v>1781</v>
      </c>
      <c r="C15">
        <v>1.966224</v>
      </c>
      <c r="D15">
        <v>75.900000000000006</v>
      </c>
      <c r="E15">
        <v>0.99585999999999997</v>
      </c>
      <c r="H15" t="s">
        <v>1750</v>
      </c>
      <c r="I15" t="s">
        <v>36</v>
      </c>
      <c r="J15">
        <v>0.11918695361073985</v>
      </c>
      <c r="K15" t="s">
        <v>14</v>
      </c>
      <c r="P15" t="s">
        <v>1738</v>
      </c>
      <c r="Q15" t="s">
        <v>1782</v>
      </c>
      <c r="R15" t="s">
        <v>1783</v>
      </c>
      <c r="S15" t="s">
        <v>17</v>
      </c>
      <c r="U15" t="s">
        <v>1738</v>
      </c>
      <c r="V15" t="s">
        <v>1780</v>
      </c>
      <c r="W15" t="s">
        <v>1784</v>
      </c>
      <c r="X15" t="s">
        <v>19</v>
      </c>
    </row>
    <row r="16" spans="2:33" x14ac:dyDescent="0.45">
      <c r="B16" t="s">
        <v>1785</v>
      </c>
      <c r="C16">
        <v>1.966224</v>
      </c>
      <c r="D16">
        <v>70.400000000000006</v>
      </c>
      <c r="E16">
        <v>0.99616000000000005</v>
      </c>
      <c r="H16" t="s">
        <v>1754</v>
      </c>
      <c r="I16" t="s">
        <v>13</v>
      </c>
      <c r="J16">
        <v>1.8177431309942604E-2</v>
      </c>
      <c r="K16" t="s">
        <v>14</v>
      </c>
      <c r="P16" t="s">
        <v>1738</v>
      </c>
      <c r="Q16" t="s">
        <v>1786</v>
      </c>
      <c r="R16" t="s">
        <v>1787</v>
      </c>
      <c r="S16" t="s">
        <v>17</v>
      </c>
      <c r="U16" t="s">
        <v>1738</v>
      </c>
      <c r="V16" t="s">
        <v>1788</v>
      </c>
      <c r="W16" t="s">
        <v>1739</v>
      </c>
      <c r="X16" t="s">
        <v>19</v>
      </c>
    </row>
    <row r="17" spans="2:24" x14ac:dyDescent="0.45">
      <c r="B17" t="s">
        <v>1789</v>
      </c>
      <c r="C17">
        <v>8.4905129999999982</v>
      </c>
      <c r="D17">
        <v>46.2</v>
      </c>
      <c r="E17">
        <v>0.99748000000000003</v>
      </c>
      <c r="H17" t="s">
        <v>1754</v>
      </c>
      <c r="I17" t="s">
        <v>27</v>
      </c>
      <c r="J17">
        <v>1.8177431309942604E-2</v>
      </c>
      <c r="K17" t="s">
        <v>14</v>
      </c>
      <c r="P17" t="s">
        <v>1738</v>
      </c>
      <c r="Q17" t="s">
        <v>1790</v>
      </c>
      <c r="R17" t="s">
        <v>1739</v>
      </c>
      <c r="S17" t="s">
        <v>17</v>
      </c>
      <c r="U17" t="s">
        <v>1738</v>
      </c>
      <c r="V17" t="s">
        <v>1788</v>
      </c>
      <c r="W17" t="s">
        <v>1784</v>
      </c>
      <c r="X17" t="s">
        <v>19</v>
      </c>
    </row>
    <row r="18" spans="2:24" x14ac:dyDescent="0.45">
      <c r="B18" t="s">
        <v>1791</v>
      </c>
      <c r="C18">
        <v>5.094309</v>
      </c>
      <c r="D18">
        <v>69.300000000000011</v>
      </c>
      <c r="E18">
        <v>0.99621999999999999</v>
      </c>
      <c r="H18" t="s">
        <v>1754</v>
      </c>
      <c r="I18" t="s">
        <v>36</v>
      </c>
      <c r="J18">
        <v>1.8177431309942604E-2</v>
      </c>
      <c r="K18" t="s">
        <v>14</v>
      </c>
      <c r="P18" t="s">
        <v>1738</v>
      </c>
      <c r="Q18" t="s">
        <v>1792</v>
      </c>
      <c r="R18" t="s">
        <v>1743</v>
      </c>
      <c r="S18" t="s">
        <v>17</v>
      </c>
      <c r="U18" t="s">
        <v>1738</v>
      </c>
      <c r="V18" t="s">
        <v>1793</v>
      </c>
      <c r="W18" t="s">
        <v>1739</v>
      </c>
      <c r="X18" t="s">
        <v>19</v>
      </c>
    </row>
    <row r="19" spans="2:24" x14ac:dyDescent="0.45">
      <c r="B19" t="s">
        <v>1794</v>
      </c>
      <c r="C19">
        <v>0</v>
      </c>
      <c r="D19">
        <v>0</v>
      </c>
      <c r="E19">
        <v>1</v>
      </c>
      <c r="H19" t="s">
        <v>1758</v>
      </c>
      <c r="I19" t="s">
        <v>13</v>
      </c>
      <c r="J19">
        <v>0.18876606650822922</v>
      </c>
      <c r="K19" t="s">
        <v>14</v>
      </c>
      <c r="P19" t="s">
        <v>1738</v>
      </c>
      <c r="Q19" t="s">
        <v>1795</v>
      </c>
      <c r="R19" t="s">
        <v>1747</v>
      </c>
      <c r="S19" t="s">
        <v>17</v>
      </c>
      <c r="U19" t="s">
        <v>1738</v>
      </c>
      <c r="V19" t="s">
        <v>1793</v>
      </c>
      <c r="W19" t="s">
        <v>1784</v>
      </c>
      <c r="X19" t="s">
        <v>19</v>
      </c>
    </row>
    <row r="20" spans="2:24" x14ac:dyDescent="0.45">
      <c r="B20" t="s">
        <v>1796</v>
      </c>
      <c r="C20">
        <v>3.3962060000000003</v>
      </c>
      <c r="D20">
        <v>42.900000000000006</v>
      </c>
      <c r="E20">
        <v>0.99765999999999999</v>
      </c>
      <c r="H20" t="s">
        <v>1758</v>
      </c>
      <c r="I20" t="s">
        <v>27</v>
      </c>
      <c r="J20">
        <v>0.18876606650822922</v>
      </c>
      <c r="K20" t="s">
        <v>14</v>
      </c>
      <c r="P20" t="s">
        <v>1738</v>
      </c>
      <c r="Q20" t="s">
        <v>1797</v>
      </c>
      <c r="R20" t="s">
        <v>1751</v>
      </c>
      <c r="S20" t="s">
        <v>17</v>
      </c>
      <c r="U20" t="s">
        <v>1738</v>
      </c>
      <c r="V20" t="s">
        <v>1798</v>
      </c>
      <c r="W20" t="s">
        <v>1784</v>
      </c>
      <c r="X20" t="s">
        <v>19</v>
      </c>
    </row>
    <row r="21" spans="2:24" x14ac:dyDescent="0.45">
      <c r="H21" t="s">
        <v>1758</v>
      </c>
      <c r="I21" t="s">
        <v>36</v>
      </c>
      <c r="J21">
        <v>0.18876606650822922</v>
      </c>
      <c r="K21" t="s">
        <v>14</v>
      </c>
      <c r="P21" t="s">
        <v>1738</v>
      </c>
      <c r="Q21" t="s">
        <v>1799</v>
      </c>
      <c r="R21" t="s">
        <v>1755</v>
      </c>
      <c r="S21" t="s">
        <v>17</v>
      </c>
      <c r="U21" t="s">
        <v>1738</v>
      </c>
      <c r="V21" t="s">
        <v>1800</v>
      </c>
      <c r="W21" t="s">
        <v>1784</v>
      </c>
      <c r="X21" t="s">
        <v>19</v>
      </c>
    </row>
    <row r="22" spans="2:24" x14ac:dyDescent="0.45">
      <c r="H22" t="s">
        <v>1762</v>
      </c>
      <c r="I22" t="s">
        <v>13</v>
      </c>
      <c r="J22">
        <v>0.22175066254453052</v>
      </c>
      <c r="K22" t="s">
        <v>14</v>
      </c>
      <c r="P22" t="s">
        <v>1738</v>
      </c>
      <c r="Q22" t="s">
        <v>1801</v>
      </c>
      <c r="R22" t="s">
        <v>1759</v>
      </c>
      <c r="S22" t="s">
        <v>17</v>
      </c>
      <c r="U22" t="s">
        <v>1738</v>
      </c>
      <c r="V22" t="s">
        <v>1802</v>
      </c>
      <c r="W22" t="s">
        <v>1784</v>
      </c>
      <c r="X22" t="s">
        <v>19</v>
      </c>
    </row>
    <row r="23" spans="2:24" x14ac:dyDescent="0.45">
      <c r="H23" t="s">
        <v>1762</v>
      </c>
      <c r="I23" t="s">
        <v>27</v>
      </c>
      <c r="J23">
        <v>0.22175066254453052</v>
      </c>
      <c r="K23" t="s">
        <v>14</v>
      </c>
      <c r="P23" t="s">
        <v>1738</v>
      </c>
      <c r="Q23" t="s">
        <v>1803</v>
      </c>
      <c r="R23" t="s">
        <v>1763</v>
      </c>
      <c r="S23" t="s">
        <v>17</v>
      </c>
      <c r="U23" t="s">
        <v>1738</v>
      </c>
      <c r="V23" t="s">
        <v>1802</v>
      </c>
      <c r="W23" t="s">
        <v>1739</v>
      </c>
      <c r="X23" t="s">
        <v>17</v>
      </c>
    </row>
    <row r="24" spans="2:24" x14ac:dyDescent="0.45">
      <c r="H24" t="s">
        <v>1762</v>
      </c>
      <c r="I24" t="s">
        <v>36</v>
      </c>
      <c r="J24">
        <v>0.22175066254453052</v>
      </c>
      <c r="K24" t="s">
        <v>14</v>
      </c>
      <c r="P24" t="s">
        <v>1738</v>
      </c>
      <c r="Q24" t="s">
        <v>1804</v>
      </c>
      <c r="R24" t="s">
        <v>1767</v>
      </c>
      <c r="S24" t="s">
        <v>17</v>
      </c>
      <c r="U24" t="s">
        <v>1738</v>
      </c>
      <c r="V24" t="s">
        <v>1805</v>
      </c>
      <c r="W24" t="s">
        <v>1784</v>
      </c>
      <c r="X24" t="s">
        <v>19</v>
      </c>
    </row>
    <row r="25" spans="2:24" x14ac:dyDescent="0.45">
      <c r="H25" t="s">
        <v>1766</v>
      </c>
      <c r="I25" t="s">
        <v>13</v>
      </c>
      <c r="J25">
        <v>5.3851140494276077E-2</v>
      </c>
      <c r="K25" t="s">
        <v>14</v>
      </c>
      <c r="P25" t="s">
        <v>1738</v>
      </c>
      <c r="Q25" t="s">
        <v>1806</v>
      </c>
      <c r="R25" t="s">
        <v>1771</v>
      </c>
      <c r="S25" t="s">
        <v>17</v>
      </c>
      <c r="U25" t="s">
        <v>1738</v>
      </c>
      <c r="V25" t="s">
        <v>1805</v>
      </c>
      <c r="W25" t="s">
        <v>1739</v>
      </c>
      <c r="X25" t="s">
        <v>17</v>
      </c>
    </row>
    <row r="26" spans="2:24" x14ac:dyDescent="0.45">
      <c r="H26" t="s">
        <v>1766</v>
      </c>
      <c r="I26" t="s">
        <v>27</v>
      </c>
      <c r="J26">
        <v>5.3851140494276077E-2</v>
      </c>
      <c r="K26" t="s">
        <v>14</v>
      </c>
      <c r="P26" t="s">
        <v>1738</v>
      </c>
      <c r="Q26" t="s">
        <v>1807</v>
      </c>
      <c r="R26" t="s">
        <v>1775</v>
      </c>
      <c r="S26" t="s">
        <v>17</v>
      </c>
      <c r="U26" t="s">
        <v>1738</v>
      </c>
      <c r="V26" t="s">
        <v>1808</v>
      </c>
      <c r="W26" t="s">
        <v>1743</v>
      </c>
      <c r="X26" t="s">
        <v>19</v>
      </c>
    </row>
    <row r="27" spans="2:24" x14ac:dyDescent="0.45">
      <c r="H27" t="s">
        <v>1766</v>
      </c>
      <c r="I27" t="s">
        <v>36</v>
      </c>
      <c r="J27">
        <v>5.3851140494276077E-2</v>
      </c>
      <c r="K27" t="s">
        <v>14</v>
      </c>
      <c r="P27" t="s">
        <v>1738</v>
      </c>
      <c r="Q27" t="s">
        <v>1809</v>
      </c>
      <c r="R27" t="s">
        <v>1779</v>
      </c>
      <c r="S27" t="s">
        <v>17</v>
      </c>
      <c r="U27" t="s">
        <v>1738</v>
      </c>
      <c r="V27" t="s">
        <v>1810</v>
      </c>
      <c r="W27" t="s">
        <v>1743</v>
      </c>
      <c r="X27" t="s">
        <v>19</v>
      </c>
    </row>
    <row r="28" spans="2:24" x14ac:dyDescent="0.45">
      <c r="H28" t="s">
        <v>1770</v>
      </c>
      <c r="I28" t="s">
        <v>13</v>
      </c>
      <c r="J28">
        <v>8.2702895991254837E-3</v>
      </c>
      <c r="K28" t="s">
        <v>14</v>
      </c>
      <c r="P28" t="s">
        <v>1738</v>
      </c>
      <c r="Q28" t="s">
        <v>1811</v>
      </c>
      <c r="R28" t="s">
        <v>1783</v>
      </c>
      <c r="S28" t="s">
        <v>17</v>
      </c>
      <c r="U28" t="s">
        <v>1738</v>
      </c>
      <c r="V28" t="s">
        <v>1812</v>
      </c>
      <c r="W28" t="s">
        <v>1743</v>
      </c>
      <c r="X28" t="s">
        <v>19</v>
      </c>
    </row>
    <row r="29" spans="2:24" x14ac:dyDescent="0.45">
      <c r="H29" t="s">
        <v>1770</v>
      </c>
      <c r="I29" t="s">
        <v>27</v>
      </c>
      <c r="J29">
        <v>8.2702895991254837E-3</v>
      </c>
      <c r="K29" t="s">
        <v>14</v>
      </c>
      <c r="P29" t="s">
        <v>1738</v>
      </c>
      <c r="Q29" t="s">
        <v>1813</v>
      </c>
      <c r="R29" t="s">
        <v>1787</v>
      </c>
      <c r="S29" t="s">
        <v>17</v>
      </c>
      <c r="U29" t="s">
        <v>1738</v>
      </c>
      <c r="V29" t="s">
        <v>1814</v>
      </c>
      <c r="W29" t="s">
        <v>1743</v>
      </c>
      <c r="X29" t="s">
        <v>19</v>
      </c>
    </row>
    <row r="30" spans="2:24" x14ac:dyDescent="0.45">
      <c r="H30" t="s">
        <v>1770</v>
      </c>
      <c r="I30" t="s">
        <v>36</v>
      </c>
      <c r="J30">
        <v>8.2702895991254837E-3</v>
      </c>
      <c r="K30" t="s">
        <v>14</v>
      </c>
      <c r="P30" t="s">
        <v>1738</v>
      </c>
      <c r="Q30" t="s">
        <v>1815</v>
      </c>
      <c r="R30" t="s">
        <v>1739</v>
      </c>
      <c r="S30" t="s">
        <v>17</v>
      </c>
      <c r="U30" t="s">
        <v>1738</v>
      </c>
      <c r="V30" t="s">
        <v>1816</v>
      </c>
      <c r="W30" t="s">
        <v>1743</v>
      </c>
      <c r="X30" t="s">
        <v>19</v>
      </c>
    </row>
    <row r="31" spans="2:24" x14ac:dyDescent="0.45">
      <c r="H31" t="s">
        <v>1774</v>
      </c>
      <c r="I31" t="s">
        <v>13</v>
      </c>
      <c r="J31">
        <v>6.9771801841054179E-2</v>
      </c>
      <c r="K31" t="s">
        <v>14</v>
      </c>
      <c r="P31" t="s">
        <v>1738</v>
      </c>
      <c r="Q31" t="s">
        <v>1817</v>
      </c>
      <c r="R31" t="s">
        <v>1743</v>
      </c>
      <c r="S31" t="s">
        <v>17</v>
      </c>
      <c r="U31" t="s">
        <v>1738</v>
      </c>
      <c r="V31" t="s">
        <v>1818</v>
      </c>
      <c r="W31" t="s">
        <v>1743</v>
      </c>
      <c r="X31" t="s">
        <v>19</v>
      </c>
    </row>
    <row r="32" spans="2:24" x14ac:dyDescent="0.45">
      <c r="H32" t="s">
        <v>1774</v>
      </c>
      <c r="I32" t="s">
        <v>27</v>
      </c>
      <c r="J32">
        <v>6.9771801841054179E-2</v>
      </c>
      <c r="K32" t="s">
        <v>14</v>
      </c>
      <c r="P32" t="s">
        <v>1738</v>
      </c>
      <c r="Q32" t="s">
        <v>1819</v>
      </c>
      <c r="R32" t="s">
        <v>1747</v>
      </c>
      <c r="S32" t="s">
        <v>17</v>
      </c>
      <c r="U32" t="s">
        <v>1738</v>
      </c>
      <c r="V32" t="s">
        <v>1820</v>
      </c>
      <c r="W32" t="s">
        <v>1743</v>
      </c>
      <c r="X32" t="s">
        <v>19</v>
      </c>
    </row>
    <row r="33" spans="8:24" x14ac:dyDescent="0.45">
      <c r="H33" t="s">
        <v>1774</v>
      </c>
      <c r="I33" t="s">
        <v>36</v>
      </c>
      <c r="J33">
        <v>6.9771801841054179E-2</v>
      </c>
      <c r="K33" t="s">
        <v>14</v>
      </c>
      <c r="P33" t="s">
        <v>1738</v>
      </c>
      <c r="Q33" t="s">
        <v>1821</v>
      </c>
      <c r="R33" t="s">
        <v>1751</v>
      </c>
      <c r="S33" t="s">
        <v>17</v>
      </c>
      <c r="U33" t="s">
        <v>1738</v>
      </c>
      <c r="V33" t="s">
        <v>1822</v>
      </c>
      <c r="W33" t="s">
        <v>1743</v>
      </c>
      <c r="X33" t="s">
        <v>19</v>
      </c>
    </row>
    <row r="34" spans="8:24" x14ac:dyDescent="0.45">
      <c r="H34" t="s">
        <v>1778</v>
      </c>
      <c r="I34" t="s">
        <v>13</v>
      </c>
      <c r="J34">
        <v>4.3162595191253289E-2</v>
      </c>
      <c r="K34" t="s">
        <v>14</v>
      </c>
      <c r="P34" t="s">
        <v>1738</v>
      </c>
      <c r="Q34" t="s">
        <v>1823</v>
      </c>
      <c r="R34" t="s">
        <v>1755</v>
      </c>
      <c r="S34" t="s">
        <v>17</v>
      </c>
      <c r="U34" t="s">
        <v>1738</v>
      </c>
      <c r="V34" t="s">
        <v>1824</v>
      </c>
      <c r="W34" t="s">
        <v>1743</v>
      </c>
      <c r="X34" t="s">
        <v>19</v>
      </c>
    </row>
    <row r="35" spans="8:24" x14ac:dyDescent="0.45">
      <c r="H35" t="s">
        <v>1778</v>
      </c>
      <c r="I35" t="s">
        <v>27</v>
      </c>
      <c r="J35">
        <v>4.3162595191253289E-2</v>
      </c>
      <c r="K35" t="s">
        <v>14</v>
      </c>
      <c r="P35" t="s">
        <v>1738</v>
      </c>
      <c r="Q35" t="s">
        <v>1825</v>
      </c>
      <c r="R35" t="s">
        <v>1759</v>
      </c>
      <c r="S35" t="s">
        <v>17</v>
      </c>
      <c r="U35" t="s">
        <v>1738</v>
      </c>
      <c r="V35" t="s">
        <v>1826</v>
      </c>
      <c r="W35" t="s">
        <v>1743</v>
      </c>
      <c r="X35" t="s">
        <v>19</v>
      </c>
    </row>
    <row r="36" spans="8:24" x14ac:dyDescent="0.45">
      <c r="H36" t="s">
        <v>1778</v>
      </c>
      <c r="I36" t="s">
        <v>36</v>
      </c>
      <c r="J36">
        <v>4.3162595191253289E-2</v>
      </c>
      <c r="K36" t="s">
        <v>14</v>
      </c>
      <c r="P36" t="s">
        <v>1738</v>
      </c>
      <c r="Q36" t="s">
        <v>1827</v>
      </c>
      <c r="R36" t="s">
        <v>1763</v>
      </c>
      <c r="S36" t="s">
        <v>17</v>
      </c>
      <c r="U36" t="s">
        <v>1738</v>
      </c>
      <c r="V36" t="s">
        <v>1828</v>
      </c>
      <c r="W36" t="s">
        <v>1743</v>
      </c>
      <c r="X36" t="s">
        <v>19</v>
      </c>
    </row>
    <row r="37" spans="8:24" x14ac:dyDescent="0.45">
      <c r="H37" t="s">
        <v>1782</v>
      </c>
      <c r="I37" t="s">
        <v>13</v>
      </c>
      <c r="J37">
        <v>6.5664940460609764E-2</v>
      </c>
      <c r="K37" t="s">
        <v>14</v>
      </c>
      <c r="P37" t="s">
        <v>1738</v>
      </c>
      <c r="Q37" t="s">
        <v>1829</v>
      </c>
      <c r="R37" t="s">
        <v>1767</v>
      </c>
      <c r="S37" t="s">
        <v>17</v>
      </c>
      <c r="U37" t="s">
        <v>1738</v>
      </c>
      <c r="V37" t="s">
        <v>1828</v>
      </c>
      <c r="W37" t="s">
        <v>1830</v>
      </c>
      <c r="X37" t="s">
        <v>19</v>
      </c>
    </row>
    <row r="38" spans="8:24" x14ac:dyDescent="0.45">
      <c r="H38" t="s">
        <v>1782</v>
      </c>
      <c r="I38" t="s">
        <v>27</v>
      </c>
      <c r="J38">
        <v>6.5664940460609764E-2</v>
      </c>
      <c r="K38" t="s">
        <v>14</v>
      </c>
      <c r="P38" t="s">
        <v>1738</v>
      </c>
      <c r="Q38" t="s">
        <v>1831</v>
      </c>
      <c r="R38" t="s">
        <v>1771</v>
      </c>
      <c r="S38" t="s">
        <v>17</v>
      </c>
      <c r="U38" t="s">
        <v>1738</v>
      </c>
      <c r="V38" t="s">
        <v>1832</v>
      </c>
      <c r="W38" t="s">
        <v>1743</v>
      </c>
      <c r="X38" t="s">
        <v>19</v>
      </c>
    </row>
    <row r="39" spans="8:24" x14ac:dyDescent="0.45">
      <c r="H39" t="s">
        <v>1782</v>
      </c>
      <c r="I39" t="s">
        <v>36</v>
      </c>
      <c r="J39">
        <v>6.5664940460609764E-2</v>
      </c>
      <c r="K39" t="s">
        <v>14</v>
      </c>
      <c r="P39" t="s">
        <v>1738</v>
      </c>
      <c r="Q39" t="s">
        <v>1833</v>
      </c>
      <c r="R39" t="s">
        <v>1775</v>
      </c>
      <c r="S39" t="s">
        <v>17</v>
      </c>
      <c r="U39" t="s">
        <v>1738</v>
      </c>
      <c r="V39" t="s">
        <v>1832</v>
      </c>
      <c r="W39" t="s">
        <v>1830</v>
      </c>
      <c r="X39" t="s">
        <v>19</v>
      </c>
    </row>
    <row r="40" spans="8:24" x14ac:dyDescent="0.45">
      <c r="H40" t="s">
        <v>1786</v>
      </c>
      <c r="I40" t="s">
        <v>13</v>
      </c>
      <c r="J40">
        <v>0.10924048474381895</v>
      </c>
      <c r="K40" t="s">
        <v>14</v>
      </c>
      <c r="P40" t="s">
        <v>1738</v>
      </c>
      <c r="Q40" t="s">
        <v>1834</v>
      </c>
      <c r="R40" t="s">
        <v>1779</v>
      </c>
      <c r="S40" t="s">
        <v>17</v>
      </c>
      <c r="U40" t="s">
        <v>1738</v>
      </c>
      <c r="V40" t="s">
        <v>1835</v>
      </c>
      <c r="W40" t="s">
        <v>1743</v>
      </c>
      <c r="X40" t="s">
        <v>19</v>
      </c>
    </row>
    <row r="41" spans="8:24" x14ac:dyDescent="0.45">
      <c r="H41" t="s">
        <v>1786</v>
      </c>
      <c r="I41" t="s">
        <v>27</v>
      </c>
      <c r="J41">
        <v>0.10924048474381895</v>
      </c>
      <c r="K41" t="s">
        <v>14</v>
      </c>
      <c r="P41" t="s">
        <v>1738</v>
      </c>
      <c r="Q41" t="s">
        <v>1836</v>
      </c>
      <c r="R41" t="s">
        <v>1783</v>
      </c>
      <c r="S41" t="s">
        <v>17</v>
      </c>
      <c r="U41" t="s">
        <v>1738</v>
      </c>
      <c r="V41" t="s">
        <v>1835</v>
      </c>
      <c r="W41" t="s">
        <v>1830</v>
      </c>
      <c r="X41" t="s">
        <v>19</v>
      </c>
    </row>
    <row r="42" spans="8:24" x14ac:dyDescent="0.45">
      <c r="H42" t="s">
        <v>1786</v>
      </c>
      <c r="I42" t="s">
        <v>36</v>
      </c>
      <c r="J42">
        <v>0.10924048474381895</v>
      </c>
      <c r="K42" t="s">
        <v>14</v>
      </c>
      <c r="P42" t="s">
        <v>1738</v>
      </c>
      <c r="Q42" t="s">
        <v>1837</v>
      </c>
      <c r="R42" t="s">
        <v>1787</v>
      </c>
      <c r="S42" t="s">
        <v>17</v>
      </c>
      <c r="U42" t="s">
        <v>1738</v>
      </c>
      <c r="V42" t="s">
        <v>1838</v>
      </c>
      <c r="W42" t="s">
        <v>1830</v>
      </c>
      <c r="X42" t="s">
        <v>19</v>
      </c>
    </row>
    <row r="43" spans="8:24" x14ac:dyDescent="0.45">
      <c r="H43" t="s">
        <v>1790</v>
      </c>
      <c r="I43" t="s">
        <v>13</v>
      </c>
      <c r="J43">
        <v>2.6222309220756461E-2</v>
      </c>
      <c r="K43" t="s">
        <v>14</v>
      </c>
      <c r="P43" t="s">
        <v>1738</v>
      </c>
      <c r="Q43" t="s">
        <v>1839</v>
      </c>
      <c r="R43" t="s">
        <v>1739</v>
      </c>
      <c r="S43" t="s">
        <v>17</v>
      </c>
      <c r="U43" t="s">
        <v>1738</v>
      </c>
      <c r="V43" t="s">
        <v>1840</v>
      </c>
      <c r="W43" t="s">
        <v>1830</v>
      </c>
      <c r="X43" t="s">
        <v>19</v>
      </c>
    </row>
    <row r="44" spans="8:24" x14ac:dyDescent="0.45">
      <c r="H44" t="s">
        <v>1790</v>
      </c>
      <c r="I44" t="s">
        <v>27</v>
      </c>
      <c r="J44">
        <v>2.6222309220756461E-2</v>
      </c>
      <c r="K44" t="s">
        <v>14</v>
      </c>
      <c r="P44" t="s">
        <v>1738</v>
      </c>
      <c r="Q44" t="s">
        <v>1841</v>
      </c>
      <c r="R44" t="s">
        <v>1743</v>
      </c>
      <c r="S44" t="s">
        <v>17</v>
      </c>
      <c r="U44" t="s">
        <v>1738</v>
      </c>
      <c r="V44" t="s">
        <v>1842</v>
      </c>
      <c r="W44" t="s">
        <v>1830</v>
      </c>
      <c r="X44" t="s">
        <v>19</v>
      </c>
    </row>
    <row r="45" spans="8:24" x14ac:dyDescent="0.45">
      <c r="H45" t="s">
        <v>1790</v>
      </c>
      <c r="I45" t="s">
        <v>36</v>
      </c>
      <c r="J45">
        <v>2.6222309220756461E-2</v>
      </c>
      <c r="K45" t="s">
        <v>14</v>
      </c>
      <c r="P45" t="s">
        <v>1738</v>
      </c>
      <c r="Q45" t="s">
        <v>1843</v>
      </c>
      <c r="R45" t="s">
        <v>1747</v>
      </c>
      <c r="S45" t="s">
        <v>17</v>
      </c>
      <c r="U45" t="s">
        <v>1738</v>
      </c>
      <c r="V45" t="s">
        <v>1842</v>
      </c>
      <c r="W45" t="s">
        <v>1743</v>
      </c>
      <c r="X45" t="s">
        <v>17</v>
      </c>
    </row>
    <row r="46" spans="8:24" x14ac:dyDescent="0.45">
      <c r="H46" t="s">
        <v>1792</v>
      </c>
      <c r="I46" t="s">
        <v>13</v>
      </c>
      <c r="J46">
        <v>8.3879615170413171E-3</v>
      </c>
      <c r="K46" t="s">
        <v>14</v>
      </c>
      <c r="P46" t="s">
        <v>1738</v>
      </c>
      <c r="Q46" t="s">
        <v>1844</v>
      </c>
      <c r="R46" t="s">
        <v>1751</v>
      </c>
      <c r="S46" t="s">
        <v>17</v>
      </c>
      <c r="U46" t="s">
        <v>1738</v>
      </c>
      <c r="V46" t="s">
        <v>1845</v>
      </c>
      <c r="W46" t="s">
        <v>1830</v>
      </c>
      <c r="X46" t="s">
        <v>19</v>
      </c>
    </row>
    <row r="47" spans="8:24" x14ac:dyDescent="0.45">
      <c r="H47" t="s">
        <v>1792</v>
      </c>
      <c r="I47" t="s">
        <v>27</v>
      </c>
      <c r="J47">
        <v>8.3879615170413171E-3</v>
      </c>
      <c r="K47" t="s">
        <v>14</v>
      </c>
      <c r="P47" t="s">
        <v>1738</v>
      </c>
      <c r="Q47" t="s">
        <v>1846</v>
      </c>
      <c r="R47" t="s">
        <v>1755</v>
      </c>
      <c r="S47" t="s">
        <v>17</v>
      </c>
      <c r="U47" t="s">
        <v>1738</v>
      </c>
      <c r="V47" t="s">
        <v>1845</v>
      </c>
      <c r="W47" t="s">
        <v>1743</v>
      </c>
      <c r="X47" t="s">
        <v>17</v>
      </c>
    </row>
    <row r="48" spans="8:24" x14ac:dyDescent="0.45">
      <c r="H48" t="s">
        <v>1792</v>
      </c>
      <c r="I48" t="s">
        <v>36</v>
      </c>
      <c r="J48">
        <v>8.3879615170413171E-3</v>
      </c>
      <c r="K48" t="s">
        <v>14</v>
      </c>
      <c r="P48" t="s">
        <v>1738</v>
      </c>
      <c r="Q48" t="s">
        <v>1847</v>
      </c>
      <c r="R48" t="s">
        <v>1759</v>
      </c>
      <c r="S48" t="s">
        <v>17</v>
      </c>
      <c r="U48" t="s">
        <v>1738</v>
      </c>
      <c r="V48" t="s">
        <v>1848</v>
      </c>
      <c r="W48" t="s">
        <v>1747</v>
      </c>
      <c r="X48" t="s">
        <v>19</v>
      </c>
    </row>
    <row r="49" spans="8:24" x14ac:dyDescent="0.45">
      <c r="H49" t="s">
        <v>1795</v>
      </c>
      <c r="I49" t="s">
        <v>13</v>
      </c>
      <c r="J49">
        <v>4.7547362958621872E-2</v>
      </c>
      <c r="K49" t="s">
        <v>14</v>
      </c>
      <c r="P49" t="s">
        <v>1738</v>
      </c>
      <c r="Q49" t="s">
        <v>1849</v>
      </c>
      <c r="R49" t="s">
        <v>1763</v>
      </c>
      <c r="S49" t="s">
        <v>17</v>
      </c>
      <c r="U49" t="s">
        <v>1738</v>
      </c>
      <c r="V49" t="s">
        <v>1850</v>
      </c>
      <c r="W49" t="s">
        <v>1747</v>
      </c>
      <c r="X49" t="s">
        <v>19</v>
      </c>
    </row>
    <row r="50" spans="8:24" x14ac:dyDescent="0.45">
      <c r="H50" t="s">
        <v>1795</v>
      </c>
      <c r="I50" t="s">
        <v>27</v>
      </c>
      <c r="J50">
        <v>4.7547362958621872E-2</v>
      </c>
      <c r="K50" t="s">
        <v>14</v>
      </c>
      <c r="P50" t="s">
        <v>1738</v>
      </c>
      <c r="Q50" t="s">
        <v>1851</v>
      </c>
      <c r="R50" t="s">
        <v>1767</v>
      </c>
      <c r="S50" t="s">
        <v>17</v>
      </c>
      <c r="U50" t="s">
        <v>1738</v>
      </c>
      <c r="V50" t="s">
        <v>1852</v>
      </c>
      <c r="W50" t="s">
        <v>1747</v>
      </c>
      <c r="X50" t="s">
        <v>19</v>
      </c>
    </row>
    <row r="51" spans="8:24" x14ac:dyDescent="0.45">
      <c r="H51" t="s">
        <v>1795</v>
      </c>
      <c r="I51" t="s">
        <v>36</v>
      </c>
      <c r="J51">
        <v>4.7547362958621872E-2</v>
      </c>
      <c r="K51" t="s">
        <v>14</v>
      </c>
      <c r="P51" t="s">
        <v>1738</v>
      </c>
      <c r="Q51" t="s">
        <v>1853</v>
      </c>
      <c r="R51" t="s">
        <v>1771</v>
      </c>
      <c r="S51" t="s">
        <v>17</v>
      </c>
      <c r="U51" t="s">
        <v>1738</v>
      </c>
      <c r="V51" t="s">
        <v>1854</v>
      </c>
      <c r="W51" t="s">
        <v>1747</v>
      </c>
      <c r="X51" t="s">
        <v>19</v>
      </c>
    </row>
    <row r="52" spans="8:24" x14ac:dyDescent="0.45">
      <c r="H52" t="s">
        <v>1797</v>
      </c>
      <c r="I52" t="s">
        <v>13</v>
      </c>
      <c r="J52">
        <v>0.11918695361073985</v>
      </c>
      <c r="K52" t="s">
        <v>14</v>
      </c>
      <c r="P52" t="s">
        <v>1738</v>
      </c>
      <c r="Q52" t="s">
        <v>1855</v>
      </c>
      <c r="R52" t="s">
        <v>1775</v>
      </c>
      <c r="S52" t="s">
        <v>17</v>
      </c>
      <c r="U52" t="s">
        <v>1738</v>
      </c>
      <c r="V52" t="s">
        <v>1856</v>
      </c>
      <c r="W52" t="s">
        <v>1747</v>
      </c>
      <c r="X52" t="s">
        <v>19</v>
      </c>
    </row>
    <row r="53" spans="8:24" x14ac:dyDescent="0.45">
      <c r="H53" t="s">
        <v>1797</v>
      </c>
      <c r="I53" t="s">
        <v>27</v>
      </c>
      <c r="J53">
        <v>0.11918695361073985</v>
      </c>
      <c r="K53" t="s">
        <v>14</v>
      </c>
      <c r="P53" t="s">
        <v>1738</v>
      </c>
      <c r="Q53" t="s">
        <v>1857</v>
      </c>
      <c r="R53" t="s">
        <v>1779</v>
      </c>
      <c r="S53" t="s">
        <v>17</v>
      </c>
      <c r="U53" t="s">
        <v>1738</v>
      </c>
      <c r="V53" t="s">
        <v>1858</v>
      </c>
      <c r="W53" t="s">
        <v>1747</v>
      </c>
      <c r="X53" t="s">
        <v>19</v>
      </c>
    </row>
    <row r="54" spans="8:24" x14ac:dyDescent="0.45">
      <c r="H54" t="s">
        <v>1797</v>
      </c>
      <c r="I54" t="s">
        <v>36</v>
      </c>
      <c r="J54">
        <v>0.11918695361073985</v>
      </c>
      <c r="K54" t="s">
        <v>14</v>
      </c>
      <c r="P54" t="s">
        <v>1738</v>
      </c>
      <c r="Q54" t="s">
        <v>1859</v>
      </c>
      <c r="R54" t="s">
        <v>1783</v>
      </c>
      <c r="S54" t="s">
        <v>17</v>
      </c>
      <c r="U54" t="s">
        <v>1738</v>
      </c>
      <c r="V54" t="s">
        <v>1860</v>
      </c>
      <c r="W54" t="s">
        <v>1747</v>
      </c>
      <c r="X54" t="s">
        <v>19</v>
      </c>
    </row>
    <row r="55" spans="8:24" x14ac:dyDescent="0.45">
      <c r="H55" t="s">
        <v>1799</v>
      </c>
      <c r="I55" t="s">
        <v>13</v>
      </c>
      <c r="J55">
        <v>1.8177431309942604E-2</v>
      </c>
      <c r="K55" t="s">
        <v>14</v>
      </c>
      <c r="P55" t="s">
        <v>1738</v>
      </c>
      <c r="Q55" t="s">
        <v>1861</v>
      </c>
      <c r="R55" t="s">
        <v>1787</v>
      </c>
      <c r="S55" t="s">
        <v>17</v>
      </c>
      <c r="U55" t="s">
        <v>1738</v>
      </c>
      <c r="V55" t="s">
        <v>1862</v>
      </c>
      <c r="W55" t="s">
        <v>1747</v>
      </c>
      <c r="X55" t="s">
        <v>19</v>
      </c>
    </row>
    <row r="56" spans="8:24" x14ac:dyDescent="0.45">
      <c r="H56" t="s">
        <v>1799</v>
      </c>
      <c r="I56" t="s">
        <v>27</v>
      </c>
      <c r="J56">
        <v>1.8177431309942604E-2</v>
      </c>
      <c r="K56" t="s">
        <v>14</v>
      </c>
      <c r="P56" t="s">
        <v>1738</v>
      </c>
      <c r="Q56" t="s">
        <v>1863</v>
      </c>
      <c r="R56" t="s">
        <v>1864</v>
      </c>
      <c r="S56" t="s">
        <v>17</v>
      </c>
      <c r="U56" t="s">
        <v>1738</v>
      </c>
      <c r="V56" t="s">
        <v>1865</v>
      </c>
      <c r="W56" t="s">
        <v>1747</v>
      </c>
      <c r="X56" t="s">
        <v>19</v>
      </c>
    </row>
    <row r="57" spans="8:24" x14ac:dyDescent="0.45">
      <c r="H57" t="s">
        <v>1799</v>
      </c>
      <c r="I57" t="s">
        <v>36</v>
      </c>
      <c r="J57">
        <v>1.8177431309942604E-2</v>
      </c>
      <c r="K57" t="s">
        <v>14</v>
      </c>
      <c r="P57" t="s">
        <v>1738</v>
      </c>
      <c r="Q57" t="s">
        <v>1866</v>
      </c>
      <c r="R57" t="s">
        <v>1867</v>
      </c>
      <c r="S57" t="s">
        <v>17</v>
      </c>
      <c r="U57" t="s">
        <v>1738</v>
      </c>
      <c r="V57" t="s">
        <v>1868</v>
      </c>
      <c r="W57" t="s">
        <v>1747</v>
      </c>
      <c r="X57" t="s">
        <v>19</v>
      </c>
    </row>
    <row r="58" spans="8:24" x14ac:dyDescent="0.45">
      <c r="H58" t="s">
        <v>1801</v>
      </c>
      <c r="I58" t="s">
        <v>13</v>
      </c>
      <c r="J58">
        <v>0.18876606650822922</v>
      </c>
      <c r="K58" t="s">
        <v>14</v>
      </c>
      <c r="P58" t="s">
        <v>1738</v>
      </c>
      <c r="Q58" t="s">
        <v>1869</v>
      </c>
      <c r="R58" t="s">
        <v>1830</v>
      </c>
      <c r="S58" t="s">
        <v>17</v>
      </c>
      <c r="U58" t="s">
        <v>1738</v>
      </c>
      <c r="V58" t="s">
        <v>1870</v>
      </c>
      <c r="W58" t="s">
        <v>1747</v>
      </c>
      <c r="X58" t="s">
        <v>19</v>
      </c>
    </row>
    <row r="59" spans="8:24" x14ac:dyDescent="0.45">
      <c r="H59" t="s">
        <v>1801</v>
      </c>
      <c r="I59" t="s">
        <v>27</v>
      </c>
      <c r="J59">
        <v>0.18876606650822922</v>
      </c>
      <c r="K59" t="s">
        <v>14</v>
      </c>
      <c r="P59" t="s">
        <v>1738</v>
      </c>
      <c r="Q59" t="s">
        <v>1871</v>
      </c>
      <c r="R59" t="s">
        <v>1872</v>
      </c>
      <c r="S59" t="s">
        <v>17</v>
      </c>
      <c r="U59" t="s">
        <v>1738</v>
      </c>
      <c r="V59" t="s">
        <v>1870</v>
      </c>
      <c r="W59" t="s">
        <v>1873</v>
      </c>
      <c r="X59" t="s">
        <v>19</v>
      </c>
    </row>
    <row r="60" spans="8:24" x14ac:dyDescent="0.45">
      <c r="H60" t="s">
        <v>1801</v>
      </c>
      <c r="I60" t="s">
        <v>36</v>
      </c>
      <c r="J60">
        <v>0.18876606650822922</v>
      </c>
      <c r="K60" t="s">
        <v>14</v>
      </c>
      <c r="P60" t="s">
        <v>1738</v>
      </c>
      <c r="Q60" t="s">
        <v>1874</v>
      </c>
      <c r="R60" t="s">
        <v>1875</v>
      </c>
      <c r="S60" t="s">
        <v>17</v>
      </c>
      <c r="U60" t="s">
        <v>1738</v>
      </c>
      <c r="V60" t="s">
        <v>1876</v>
      </c>
      <c r="W60" t="s">
        <v>1747</v>
      </c>
      <c r="X60" t="s">
        <v>19</v>
      </c>
    </row>
    <row r="61" spans="8:24" x14ac:dyDescent="0.45">
      <c r="H61" t="s">
        <v>1803</v>
      </c>
      <c r="I61" t="s">
        <v>13</v>
      </c>
      <c r="J61">
        <v>0.22175066254453052</v>
      </c>
      <c r="K61" t="s">
        <v>14</v>
      </c>
      <c r="P61" t="s">
        <v>1738</v>
      </c>
      <c r="Q61" t="s">
        <v>1877</v>
      </c>
      <c r="R61" t="s">
        <v>1878</v>
      </c>
      <c r="S61" t="s">
        <v>17</v>
      </c>
      <c r="U61" t="s">
        <v>1738</v>
      </c>
      <c r="V61" t="s">
        <v>1876</v>
      </c>
      <c r="W61" t="s">
        <v>1873</v>
      </c>
      <c r="X61" t="s">
        <v>19</v>
      </c>
    </row>
    <row r="62" spans="8:24" x14ac:dyDescent="0.45">
      <c r="H62" t="s">
        <v>1803</v>
      </c>
      <c r="I62" t="s">
        <v>27</v>
      </c>
      <c r="J62">
        <v>0.22175066254453052</v>
      </c>
      <c r="K62" t="s">
        <v>14</v>
      </c>
      <c r="P62" t="s">
        <v>1738</v>
      </c>
      <c r="Q62" t="s">
        <v>1879</v>
      </c>
      <c r="R62" t="s">
        <v>1880</v>
      </c>
      <c r="S62" t="s">
        <v>17</v>
      </c>
      <c r="U62" t="s">
        <v>1738</v>
      </c>
      <c r="V62" t="s">
        <v>1881</v>
      </c>
      <c r="W62" t="s">
        <v>1747</v>
      </c>
      <c r="X62" t="s">
        <v>19</v>
      </c>
    </row>
    <row r="63" spans="8:24" x14ac:dyDescent="0.45">
      <c r="H63" t="s">
        <v>1803</v>
      </c>
      <c r="I63" t="s">
        <v>36</v>
      </c>
      <c r="J63">
        <v>0.22175066254453052</v>
      </c>
      <c r="K63" t="s">
        <v>14</v>
      </c>
      <c r="P63" t="s">
        <v>1738</v>
      </c>
      <c r="Q63" t="s">
        <v>1882</v>
      </c>
      <c r="R63" t="s">
        <v>1883</v>
      </c>
      <c r="S63" t="s">
        <v>17</v>
      </c>
      <c r="U63" t="s">
        <v>1738</v>
      </c>
      <c r="V63" t="s">
        <v>1881</v>
      </c>
      <c r="W63" t="s">
        <v>1873</v>
      </c>
      <c r="X63" t="s">
        <v>19</v>
      </c>
    </row>
    <row r="64" spans="8:24" x14ac:dyDescent="0.45">
      <c r="H64" t="s">
        <v>1804</v>
      </c>
      <c r="I64" t="s">
        <v>13</v>
      </c>
      <c r="J64">
        <v>5.3851140494276077E-2</v>
      </c>
      <c r="K64" t="s">
        <v>14</v>
      </c>
      <c r="P64" t="s">
        <v>1738</v>
      </c>
      <c r="Q64" t="s">
        <v>1884</v>
      </c>
      <c r="R64" t="s">
        <v>1784</v>
      </c>
      <c r="S64" t="s">
        <v>17</v>
      </c>
      <c r="U64" t="s">
        <v>1738</v>
      </c>
      <c r="V64" t="s">
        <v>1885</v>
      </c>
      <c r="W64" t="s">
        <v>1873</v>
      </c>
      <c r="X64" t="s">
        <v>19</v>
      </c>
    </row>
    <row r="65" spans="8:24" x14ac:dyDescent="0.45">
      <c r="H65" t="s">
        <v>1804</v>
      </c>
      <c r="I65" t="s">
        <v>27</v>
      </c>
      <c r="J65">
        <v>5.3851140494276077E-2</v>
      </c>
      <c r="K65" t="s">
        <v>14</v>
      </c>
      <c r="P65" t="s">
        <v>1738</v>
      </c>
      <c r="Q65" t="s">
        <v>1886</v>
      </c>
      <c r="R65" t="s">
        <v>1887</v>
      </c>
      <c r="S65" t="s">
        <v>17</v>
      </c>
      <c r="U65" t="s">
        <v>1738</v>
      </c>
      <c r="V65" t="s">
        <v>1888</v>
      </c>
      <c r="W65" t="s">
        <v>1873</v>
      </c>
      <c r="X65" t="s">
        <v>19</v>
      </c>
    </row>
    <row r="66" spans="8:24" x14ac:dyDescent="0.45">
      <c r="H66" t="s">
        <v>1804</v>
      </c>
      <c r="I66" t="s">
        <v>36</v>
      </c>
      <c r="J66">
        <v>5.3851140494276077E-2</v>
      </c>
      <c r="K66" t="s">
        <v>14</v>
      </c>
      <c r="P66" t="s">
        <v>1738</v>
      </c>
      <c r="Q66" t="s">
        <v>1889</v>
      </c>
      <c r="R66" t="s">
        <v>1873</v>
      </c>
      <c r="S66" t="s">
        <v>17</v>
      </c>
      <c r="U66" t="s">
        <v>1738</v>
      </c>
      <c r="V66" t="s">
        <v>1890</v>
      </c>
      <c r="W66" t="s">
        <v>1873</v>
      </c>
      <c r="X66" t="s">
        <v>19</v>
      </c>
    </row>
    <row r="67" spans="8:24" x14ac:dyDescent="0.45">
      <c r="H67" t="s">
        <v>1806</v>
      </c>
      <c r="I67" t="s">
        <v>13</v>
      </c>
      <c r="J67">
        <v>8.2702895991254837E-3</v>
      </c>
      <c r="K67" t="s">
        <v>14</v>
      </c>
      <c r="U67" t="s">
        <v>1738</v>
      </c>
      <c r="V67" t="s">
        <v>1890</v>
      </c>
      <c r="W67" t="s">
        <v>1747</v>
      </c>
      <c r="X67" t="s">
        <v>17</v>
      </c>
    </row>
    <row r="68" spans="8:24" x14ac:dyDescent="0.45">
      <c r="H68" t="s">
        <v>1806</v>
      </c>
      <c r="I68" t="s">
        <v>27</v>
      </c>
      <c r="J68">
        <v>8.2702895991254837E-3</v>
      </c>
      <c r="K68" t="s">
        <v>14</v>
      </c>
      <c r="U68" t="s">
        <v>1738</v>
      </c>
      <c r="V68" t="s">
        <v>1891</v>
      </c>
      <c r="W68" t="s">
        <v>1873</v>
      </c>
      <c r="X68" t="s">
        <v>19</v>
      </c>
    </row>
    <row r="69" spans="8:24" x14ac:dyDescent="0.45">
      <c r="H69" t="s">
        <v>1806</v>
      </c>
      <c r="I69" t="s">
        <v>36</v>
      </c>
      <c r="J69">
        <v>8.2702895991254837E-3</v>
      </c>
      <c r="K69" t="s">
        <v>14</v>
      </c>
      <c r="U69" t="s">
        <v>1738</v>
      </c>
      <c r="V69" t="s">
        <v>1891</v>
      </c>
      <c r="W69" t="s">
        <v>1747</v>
      </c>
      <c r="X69" t="s">
        <v>17</v>
      </c>
    </row>
    <row r="70" spans="8:24" x14ac:dyDescent="0.45">
      <c r="H70" t="s">
        <v>1807</v>
      </c>
      <c r="I70" t="s">
        <v>13</v>
      </c>
      <c r="J70">
        <v>6.9771801841054179E-2</v>
      </c>
      <c r="K70" t="s">
        <v>14</v>
      </c>
      <c r="U70" t="s">
        <v>1738</v>
      </c>
      <c r="V70" t="s">
        <v>1892</v>
      </c>
      <c r="W70" t="s">
        <v>1751</v>
      </c>
      <c r="X70" t="s">
        <v>19</v>
      </c>
    </row>
    <row r="71" spans="8:24" x14ac:dyDescent="0.45">
      <c r="H71" t="s">
        <v>1807</v>
      </c>
      <c r="I71" t="s">
        <v>27</v>
      </c>
      <c r="J71">
        <v>6.9771801841054179E-2</v>
      </c>
      <c r="K71" t="s">
        <v>14</v>
      </c>
      <c r="U71" t="s">
        <v>1738</v>
      </c>
      <c r="V71" t="s">
        <v>1893</v>
      </c>
      <c r="W71" t="s">
        <v>1751</v>
      </c>
      <c r="X71" t="s">
        <v>19</v>
      </c>
    </row>
    <row r="72" spans="8:24" x14ac:dyDescent="0.45">
      <c r="H72" t="s">
        <v>1807</v>
      </c>
      <c r="I72" t="s">
        <v>36</v>
      </c>
      <c r="J72">
        <v>6.9771801841054179E-2</v>
      </c>
      <c r="K72" t="s">
        <v>14</v>
      </c>
      <c r="U72" t="s">
        <v>1738</v>
      </c>
      <c r="V72" t="s">
        <v>1894</v>
      </c>
      <c r="W72" t="s">
        <v>1751</v>
      </c>
      <c r="X72" t="s">
        <v>19</v>
      </c>
    </row>
    <row r="73" spans="8:24" x14ac:dyDescent="0.45">
      <c r="H73" t="s">
        <v>1809</v>
      </c>
      <c r="I73" t="s">
        <v>13</v>
      </c>
      <c r="J73">
        <v>4.3162595191253289E-2</v>
      </c>
      <c r="K73" t="s">
        <v>14</v>
      </c>
      <c r="U73" t="s">
        <v>1738</v>
      </c>
      <c r="V73" t="s">
        <v>1895</v>
      </c>
      <c r="W73" t="s">
        <v>1751</v>
      </c>
      <c r="X73" t="s">
        <v>19</v>
      </c>
    </row>
    <row r="74" spans="8:24" x14ac:dyDescent="0.45">
      <c r="H74" t="s">
        <v>1809</v>
      </c>
      <c r="I74" t="s">
        <v>27</v>
      </c>
      <c r="J74">
        <v>4.3162595191253289E-2</v>
      </c>
      <c r="K74" t="s">
        <v>14</v>
      </c>
      <c r="U74" t="s">
        <v>1738</v>
      </c>
      <c r="V74" t="s">
        <v>1896</v>
      </c>
      <c r="W74" t="s">
        <v>1751</v>
      </c>
      <c r="X74" t="s">
        <v>19</v>
      </c>
    </row>
    <row r="75" spans="8:24" x14ac:dyDescent="0.45">
      <c r="H75" t="s">
        <v>1809</v>
      </c>
      <c r="I75" t="s">
        <v>36</v>
      </c>
      <c r="J75">
        <v>4.3162595191253289E-2</v>
      </c>
      <c r="K75" t="s">
        <v>14</v>
      </c>
      <c r="U75" t="s">
        <v>1738</v>
      </c>
      <c r="V75" t="s">
        <v>1897</v>
      </c>
      <c r="W75" t="s">
        <v>1751</v>
      </c>
      <c r="X75" t="s">
        <v>19</v>
      </c>
    </row>
    <row r="76" spans="8:24" x14ac:dyDescent="0.45">
      <c r="H76" t="s">
        <v>1811</v>
      </c>
      <c r="I76" t="s">
        <v>13</v>
      </c>
      <c r="J76">
        <v>6.5664940460609764E-2</v>
      </c>
      <c r="K76" t="s">
        <v>14</v>
      </c>
      <c r="U76" t="s">
        <v>1738</v>
      </c>
      <c r="V76" t="s">
        <v>1898</v>
      </c>
      <c r="W76" t="s">
        <v>1751</v>
      </c>
      <c r="X76" t="s">
        <v>19</v>
      </c>
    </row>
    <row r="77" spans="8:24" x14ac:dyDescent="0.45">
      <c r="H77" t="s">
        <v>1811</v>
      </c>
      <c r="I77" t="s">
        <v>27</v>
      </c>
      <c r="J77">
        <v>6.5664940460609764E-2</v>
      </c>
      <c r="K77" t="s">
        <v>14</v>
      </c>
      <c r="U77" t="s">
        <v>1738</v>
      </c>
      <c r="V77" t="s">
        <v>1899</v>
      </c>
      <c r="W77" t="s">
        <v>1751</v>
      </c>
      <c r="X77" t="s">
        <v>19</v>
      </c>
    </row>
    <row r="78" spans="8:24" x14ac:dyDescent="0.45">
      <c r="H78" t="s">
        <v>1811</v>
      </c>
      <c r="I78" t="s">
        <v>36</v>
      </c>
      <c r="J78">
        <v>6.5664940460609764E-2</v>
      </c>
      <c r="K78" t="s">
        <v>14</v>
      </c>
      <c r="U78" t="s">
        <v>1738</v>
      </c>
      <c r="V78" t="s">
        <v>1900</v>
      </c>
      <c r="W78" t="s">
        <v>1751</v>
      </c>
      <c r="X78" t="s">
        <v>19</v>
      </c>
    </row>
    <row r="79" spans="8:24" x14ac:dyDescent="0.45">
      <c r="H79" t="s">
        <v>1813</v>
      </c>
      <c r="I79" t="s">
        <v>13</v>
      </c>
      <c r="J79">
        <v>0.10924048474381895</v>
      </c>
      <c r="K79" t="s">
        <v>14</v>
      </c>
      <c r="U79" t="s">
        <v>1738</v>
      </c>
      <c r="V79" t="s">
        <v>1901</v>
      </c>
      <c r="W79" t="s">
        <v>1751</v>
      </c>
      <c r="X79" t="s">
        <v>19</v>
      </c>
    </row>
    <row r="80" spans="8:24" x14ac:dyDescent="0.45">
      <c r="H80" t="s">
        <v>1813</v>
      </c>
      <c r="I80" t="s">
        <v>27</v>
      </c>
      <c r="J80">
        <v>0.10924048474381895</v>
      </c>
      <c r="K80" t="s">
        <v>14</v>
      </c>
      <c r="U80" t="s">
        <v>1738</v>
      </c>
      <c r="V80" t="s">
        <v>1902</v>
      </c>
      <c r="W80" t="s">
        <v>1751</v>
      </c>
      <c r="X80" t="s">
        <v>19</v>
      </c>
    </row>
    <row r="81" spans="8:24" x14ac:dyDescent="0.45">
      <c r="H81" t="s">
        <v>1813</v>
      </c>
      <c r="I81" t="s">
        <v>36</v>
      </c>
      <c r="J81">
        <v>0.10924048474381895</v>
      </c>
      <c r="K81" t="s">
        <v>14</v>
      </c>
      <c r="U81" t="s">
        <v>1738</v>
      </c>
      <c r="V81" t="s">
        <v>1902</v>
      </c>
      <c r="W81" t="s">
        <v>1883</v>
      </c>
      <c r="X81" t="s">
        <v>19</v>
      </c>
    </row>
    <row r="82" spans="8:24" x14ac:dyDescent="0.45">
      <c r="H82" t="s">
        <v>1815</v>
      </c>
      <c r="I82" t="s">
        <v>13</v>
      </c>
      <c r="J82">
        <v>2.6222309220756461E-2</v>
      </c>
      <c r="K82" t="s">
        <v>14</v>
      </c>
      <c r="U82" t="s">
        <v>1738</v>
      </c>
      <c r="V82" t="s">
        <v>1903</v>
      </c>
      <c r="W82" t="s">
        <v>1751</v>
      </c>
      <c r="X82" t="s">
        <v>19</v>
      </c>
    </row>
    <row r="83" spans="8:24" x14ac:dyDescent="0.45">
      <c r="H83" t="s">
        <v>1815</v>
      </c>
      <c r="I83" t="s">
        <v>27</v>
      </c>
      <c r="J83">
        <v>2.6222309220756461E-2</v>
      </c>
      <c r="K83" t="s">
        <v>14</v>
      </c>
      <c r="U83" t="s">
        <v>1738</v>
      </c>
      <c r="V83" t="s">
        <v>1903</v>
      </c>
      <c r="W83" t="s">
        <v>1883</v>
      </c>
      <c r="X83" t="s">
        <v>19</v>
      </c>
    </row>
    <row r="84" spans="8:24" x14ac:dyDescent="0.45">
      <c r="H84" t="s">
        <v>1815</v>
      </c>
      <c r="I84" t="s">
        <v>36</v>
      </c>
      <c r="J84">
        <v>2.6222309220756461E-2</v>
      </c>
      <c r="K84" t="s">
        <v>14</v>
      </c>
      <c r="U84" t="s">
        <v>1738</v>
      </c>
      <c r="V84" t="s">
        <v>1904</v>
      </c>
      <c r="W84" t="s">
        <v>1751</v>
      </c>
      <c r="X84" t="s">
        <v>19</v>
      </c>
    </row>
    <row r="85" spans="8:24" x14ac:dyDescent="0.45">
      <c r="H85" t="s">
        <v>1817</v>
      </c>
      <c r="I85" t="s">
        <v>13</v>
      </c>
      <c r="J85">
        <v>8.3879615170413171E-3</v>
      </c>
      <c r="K85" t="s">
        <v>14</v>
      </c>
      <c r="U85" t="s">
        <v>1738</v>
      </c>
      <c r="V85" t="s">
        <v>1904</v>
      </c>
      <c r="W85" t="s">
        <v>1883</v>
      </c>
      <c r="X85" t="s">
        <v>19</v>
      </c>
    </row>
    <row r="86" spans="8:24" x14ac:dyDescent="0.45">
      <c r="H86" t="s">
        <v>1817</v>
      </c>
      <c r="I86" t="s">
        <v>27</v>
      </c>
      <c r="J86">
        <v>8.3879615170413171E-3</v>
      </c>
      <c r="K86" t="s">
        <v>14</v>
      </c>
      <c r="U86" t="s">
        <v>1738</v>
      </c>
      <c r="V86" t="s">
        <v>1905</v>
      </c>
      <c r="W86" t="s">
        <v>1883</v>
      </c>
      <c r="X86" t="s">
        <v>19</v>
      </c>
    </row>
    <row r="87" spans="8:24" x14ac:dyDescent="0.45">
      <c r="H87" t="s">
        <v>1817</v>
      </c>
      <c r="I87" t="s">
        <v>36</v>
      </c>
      <c r="J87">
        <v>8.3879615170413171E-3</v>
      </c>
      <c r="K87" t="s">
        <v>14</v>
      </c>
      <c r="U87" t="s">
        <v>1738</v>
      </c>
      <c r="V87" t="s">
        <v>1906</v>
      </c>
      <c r="W87" t="s">
        <v>1883</v>
      </c>
      <c r="X87" t="s">
        <v>19</v>
      </c>
    </row>
    <row r="88" spans="8:24" x14ac:dyDescent="0.45">
      <c r="H88" t="s">
        <v>1819</v>
      </c>
      <c r="I88" t="s">
        <v>13</v>
      </c>
      <c r="J88">
        <v>4.7547362958621872E-2</v>
      </c>
      <c r="K88" t="s">
        <v>14</v>
      </c>
      <c r="U88" t="s">
        <v>1738</v>
      </c>
      <c r="V88" t="s">
        <v>1907</v>
      </c>
      <c r="W88" t="s">
        <v>1883</v>
      </c>
      <c r="X88" t="s">
        <v>19</v>
      </c>
    </row>
    <row r="89" spans="8:24" x14ac:dyDescent="0.45">
      <c r="H89" t="s">
        <v>1819</v>
      </c>
      <c r="I89" t="s">
        <v>27</v>
      </c>
      <c r="J89">
        <v>4.7547362958621872E-2</v>
      </c>
      <c r="K89" t="s">
        <v>14</v>
      </c>
      <c r="U89" t="s">
        <v>1738</v>
      </c>
      <c r="V89" t="s">
        <v>1907</v>
      </c>
      <c r="W89" t="s">
        <v>1751</v>
      </c>
      <c r="X89" t="s">
        <v>17</v>
      </c>
    </row>
    <row r="90" spans="8:24" x14ac:dyDescent="0.45">
      <c r="H90" t="s">
        <v>1819</v>
      </c>
      <c r="I90" t="s">
        <v>36</v>
      </c>
      <c r="J90">
        <v>4.7547362958621872E-2</v>
      </c>
      <c r="K90" t="s">
        <v>14</v>
      </c>
      <c r="U90" t="s">
        <v>1738</v>
      </c>
      <c r="V90" t="s">
        <v>1908</v>
      </c>
      <c r="W90" t="s">
        <v>1883</v>
      </c>
      <c r="X90" t="s">
        <v>19</v>
      </c>
    </row>
    <row r="91" spans="8:24" x14ac:dyDescent="0.45">
      <c r="H91" t="s">
        <v>1821</v>
      </c>
      <c r="I91" t="s">
        <v>13</v>
      </c>
      <c r="J91">
        <v>0.11918695361073985</v>
      </c>
      <c r="K91" t="s">
        <v>14</v>
      </c>
      <c r="U91" t="s">
        <v>1738</v>
      </c>
      <c r="V91" t="s">
        <v>1908</v>
      </c>
      <c r="W91" t="s">
        <v>1751</v>
      </c>
      <c r="X91" t="s">
        <v>17</v>
      </c>
    </row>
    <row r="92" spans="8:24" x14ac:dyDescent="0.45">
      <c r="H92" t="s">
        <v>1821</v>
      </c>
      <c r="I92" t="s">
        <v>27</v>
      </c>
      <c r="J92">
        <v>0.11918695361073985</v>
      </c>
      <c r="K92" t="s">
        <v>14</v>
      </c>
      <c r="U92" t="s">
        <v>1738</v>
      </c>
      <c r="V92" t="s">
        <v>1909</v>
      </c>
      <c r="W92" t="s">
        <v>1755</v>
      </c>
      <c r="X92" t="s">
        <v>19</v>
      </c>
    </row>
    <row r="93" spans="8:24" x14ac:dyDescent="0.45">
      <c r="H93" t="s">
        <v>1821</v>
      </c>
      <c r="I93" t="s">
        <v>36</v>
      </c>
      <c r="J93">
        <v>0.11918695361073985</v>
      </c>
      <c r="K93" t="s">
        <v>14</v>
      </c>
      <c r="U93" t="s">
        <v>1738</v>
      </c>
      <c r="V93" t="s">
        <v>1910</v>
      </c>
      <c r="W93" t="s">
        <v>1755</v>
      </c>
      <c r="X93" t="s">
        <v>19</v>
      </c>
    </row>
    <row r="94" spans="8:24" x14ac:dyDescent="0.45">
      <c r="H94" t="s">
        <v>1823</v>
      </c>
      <c r="I94" t="s">
        <v>13</v>
      </c>
      <c r="J94">
        <v>1.8177431309942604E-2</v>
      </c>
      <c r="K94" t="s">
        <v>14</v>
      </c>
      <c r="U94" t="s">
        <v>1738</v>
      </c>
      <c r="V94" t="s">
        <v>1911</v>
      </c>
      <c r="W94" t="s">
        <v>1755</v>
      </c>
      <c r="X94" t="s">
        <v>19</v>
      </c>
    </row>
    <row r="95" spans="8:24" x14ac:dyDescent="0.45">
      <c r="H95" t="s">
        <v>1823</v>
      </c>
      <c r="I95" t="s">
        <v>27</v>
      </c>
      <c r="J95">
        <v>1.8177431309942604E-2</v>
      </c>
      <c r="K95" t="s">
        <v>14</v>
      </c>
      <c r="U95" t="s">
        <v>1738</v>
      </c>
      <c r="V95" t="s">
        <v>1912</v>
      </c>
      <c r="W95" t="s">
        <v>1755</v>
      </c>
      <c r="X95" t="s">
        <v>19</v>
      </c>
    </row>
    <row r="96" spans="8:24" x14ac:dyDescent="0.45">
      <c r="H96" t="s">
        <v>1823</v>
      </c>
      <c r="I96" t="s">
        <v>36</v>
      </c>
      <c r="J96">
        <v>1.8177431309942604E-2</v>
      </c>
      <c r="K96" t="s">
        <v>14</v>
      </c>
      <c r="U96" t="s">
        <v>1738</v>
      </c>
      <c r="V96" t="s">
        <v>1913</v>
      </c>
      <c r="W96" t="s">
        <v>1755</v>
      </c>
      <c r="X96" t="s">
        <v>19</v>
      </c>
    </row>
    <row r="97" spans="8:24" x14ac:dyDescent="0.45">
      <c r="H97" t="s">
        <v>1825</v>
      </c>
      <c r="I97" t="s">
        <v>13</v>
      </c>
      <c r="J97">
        <v>0.18876606650822922</v>
      </c>
      <c r="K97" t="s">
        <v>14</v>
      </c>
      <c r="U97" t="s">
        <v>1738</v>
      </c>
      <c r="V97" t="s">
        <v>1914</v>
      </c>
      <c r="W97" t="s">
        <v>1755</v>
      </c>
      <c r="X97" t="s">
        <v>19</v>
      </c>
    </row>
    <row r="98" spans="8:24" x14ac:dyDescent="0.45">
      <c r="H98" t="s">
        <v>1825</v>
      </c>
      <c r="I98" t="s">
        <v>27</v>
      </c>
      <c r="J98">
        <v>0.18876606650822922</v>
      </c>
      <c r="K98" t="s">
        <v>14</v>
      </c>
      <c r="U98" t="s">
        <v>1738</v>
      </c>
      <c r="V98" t="s">
        <v>1915</v>
      </c>
      <c r="W98" t="s">
        <v>1755</v>
      </c>
      <c r="X98" t="s">
        <v>19</v>
      </c>
    </row>
    <row r="99" spans="8:24" x14ac:dyDescent="0.45">
      <c r="H99" t="s">
        <v>1825</v>
      </c>
      <c r="I99" t="s">
        <v>36</v>
      </c>
      <c r="J99">
        <v>0.18876606650822922</v>
      </c>
      <c r="K99" t="s">
        <v>14</v>
      </c>
      <c r="U99" t="s">
        <v>1738</v>
      </c>
      <c r="V99" t="s">
        <v>1916</v>
      </c>
      <c r="W99" t="s">
        <v>1755</v>
      </c>
      <c r="X99" t="s">
        <v>19</v>
      </c>
    </row>
    <row r="100" spans="8:24" x14ac:dyDescent="0.45">
      <c r="H100" t="s">
        <v>1827</v>
      </c>
      <c r="I100" t="s">
        <v>13</v>
      </c>
      <c r="J100">
        <v>0.22175066254453052</v>
      </c>
      <c r="K100" t="s">
        <v>14</v>
      </c>
      <c r="U100" t="s">
        <v>1738</v>
      </c>
      <c r="V100" t="s">
        <v>1917</v>
      </c>
      <c r="W100" t="s">
        <v>1755</v>
      </c>
      <c r="X100" t="s">
        <v>19</v>
      </c>
    </row>
    <row r="101" spans="8:24" x14ac:dyDescent="0.45">
      <c r="H101" t="s">
        <v>1827</v>
      </c>
      <c r="I101" t="s">
        <v>27</v>
      </c>
      <c r="J101">
        <v>0.22175066254453052</v>
      </c>
      <c r="K101" t="s">
        <v>14</v>
      </c>
      <c r="U101" t="s">
        <v>1738</v>
      </c>
      <c r="V101" t="s">
        <v>1918</v>
      </c>
      <c r="W101" t="s">
        <v>1755</v>
      </c>
      <c r="X101" t="s">
        <v>19</v>
      </c>
    </row>
    <row r="102" spans="8:24" x14ac:dyDescent="0.45">
      <c r="H102" t="s">
        <v>1827</v>
      </c>
      <c r="I102" t="s">
        <v>36</v>
      </c>
      <c r="J102">
        <v>0.22175066254453052</v>
      </c>
      <c r="K102" t="s">
        <v>14</v>
      </c>
      <c r="U102" t="s">
        <v>1738</v>
      </c>
      <c r="V102" t="s">
        <v>1919</v>
      </c>
      <c r="W102" t="s">
        <v>1755</v>
      </c>
      <c r="X102" t="s">
        <v>19</v>
      </c>
    </row>
    <row r="103" spans="8:24" x14ac:dyDescent="0.45">
      <c r="H103" t="s">
        <v>1829</v>
      </c>
      <c r="I103" t="s">
        <v>13</v>
      </c>
      <c r="J103">
        <v>5.3851140494276077E-2</v>
      </c>
      <c r="K103" t="s">
        <v>14</v>
      </c>
      <c r="U103" t="s">
        <v>1738</v>
      </c>
      <c r="V103" t="s">
        <v>1919</v>
      </c>
      <c r="W103" t="s">
        <v>1887</v>
      </c>
      <c r="X103" t="s">
        <v>19</v>
      </c>
    </row>
    <row r="104" spans="8:24" x14ac:dyDescent="0.45">
      <c r="H104" t="s">
        <v>1829</v>
      </c>
      <c r="I104" t="s">
        <v>27</v>
      </c>
      <c r="J104">
        <v>5.3851140494276077E-2</v>
      </c>
      <c r="K104" t="s">
        <v>14</v>
      </c>
      <c r="U104" t="s">
        <v>1738</v>
      </c>
      <c r="V104" t="s">
        <v>1920</v>
      </c>
      <c r="W104" t="s">
        <v>1755</v>
      </c>
      <c r="X104" t="s">
        <v>19</v>
      </c>
    </row>
    <row r="105" spans="8:24" x14ac:dyDescent="0.45">
      <c r="H105" t="s">
        <v>1829</v>
      </c>
      <c r="I105" t="s">
        <v>36</v>
      </c>
      <c r="J105">
        <v>5.3851140494276077E-2</v>
      </c>
      <c r="K105" t="s">
        <v>14</v>
      </c>
      <c r="U105" t="s">
        <v>1738</v>
      </c>
      <c r="V105" t="s">
        <v>1920</v>
      </c>
      <c r="W105" t="s">
        <v>1887</v>
      </c>
      <c r="X105" t="s">
        <v>19</v>
      </c>
    </row>
    <row r="106" spans="8:24" x14ac:dyDescent="0.45">
      <c r="H106" t="s">
        <v>1831</v>
      </c>
      <c r="I106" t="s">
        <v>13</v>
      </c>
      <c r="J106">
        <v>8.2702895991254837E-3</v>
      </c>
      <c r="K106" t="s">
        <v>14</v>
      </c>
      <c r="U106" t="s">
        <v>1738</v>
      </c>
      <c r="V106" t="s">
        <v>1921</v>
      </c>
      <c r="W106" t="s">
        <v>1755</v>
      </c>
      <c r="X106" t="s">
        <v>19</v>
      </c>
    </row>
    <row r="107" spans="8:24" x14ac:dyDescent="0.45">
      <c r="H107" t="s">
        <v>1831</v>
      </c>
      <c r="I107" t="s">
        <v>27</v>
      </c>
      <c r="J107">
        <v>8.2702895991254837E-3</v>
      </c>
      <c r="K107" t="s">
        <v>14</v>
      </c>
      <c r="U107" t="s">
        <v>1738</v>
      </c>
      <c r="V107" t="s">
        <v>1921</v>
      </c>
      <c r="W107" t="s">
        <v>1887</v>
      </c>
      <c r="X107" t="s">
        <v>19</v>
      </c>
    </row>
    <row r="108" spans="8:24" x14ac:dyDescent="0.45">
      <c r="H108" t="s">
        <v>1831</v>
      </c>
      <c r="I108" t="s">
        <v>36</v>
      </c>
      <c r="J108">
        <v>8.2702895991254837E-3</v>
      </c>
      <c r="K108" t="s">
        <v>14</v>
      </c>
      <c r="U108" t="s">
        <v>1738</v>
      </c>
      <c r="V108" t="s">
        <v>1922</v>
      </c>
      <c r="W108" t="s">
        <v>1887</v>
      </c>
      <c r="X108" t="s">
        <v>19</v>
      </c>
    </row>
    <row r="109" spans="8:24" x14ac:dyDescent="0.45">
      <c r="H109" t="s">
        <v>1833</v>
      </c>
      <c r="I109" t="s">
        <v>13</v>
      </c>
      <c r="J109">
        <v>6.9771801841054179E-2</v>
      </c>
      <c r="K109" t="s">
        <v>14</v>
      </c>
      <c r="U109" t="s">
        <v>1738</v>
      </c>
      <c r="V109" t="s">
        <v>1923</v>
      </c>
      <c r="W109" t="s">
        <v>1887</v>
      </c>
      <c r="X109" t="s">
        <v>19</v>
      </c>
    </row>
    <row r="110" spans="8:24" x14ac:dyDescent="0.45">
      <c r="H110" t="s">
        <v>1833</v>
      </c>
      <c r="I110" t="s">
        <v>27</v>
      </c>
      <c r="J110">
        <v>6.9771801841054179E-2</v>
      </c>
      <c r="K110" t="s">
        <v>14</v>
      </c>
      <c r="U110" t="s">
        <v>1738</v>
      </c>
      <c r="V110" t="s">
        <v>1924</v>
      </c>
      <c r="W110" t="s">
        <v>1887</v>
      </c>
      <c r="X110" t="s">
        <v>19</v>
      </c>
    </row>
    <row r="111" spans="8:24" x14ac:dyDescent="0.45">
      <c r="H111" t="s">
        <v>1833</v>
      </c>
      <c r="I111" t="s">
        <v>36</v>
      </c>
      <c r="J111">
        <v>6.9771801841054179E-2</v>
      </c>
      <c r="K111" t="s">
        <v>14</v>
      </c>
      <c r="U111" t="s">
        <v>1738</v>
      </c>
      <c r="V111" t="s">
        <v>1924</v>
      </c>
      <c r="W111" t="s">
        <v>1755</v>
      </c>
      <c r="X111" t="s">
        <v>17</v>
      </c>
    </row>
    <row r="112" spans="8:24" x14ac:dyDescent="0.45">
      <c r="H112" t="s">
        <v>1834</v>
      </c>
      <c r="I112" t="s">
        <v>13</v>
      </c>
      <c r="J112">
        <v>4.3162595191253289E-2</v>
      </c>
      <c r="K112" t="s">
        <v>14</v>
      </c>
      <c r="U112" t="s">
        <v>1738</v>
      </c>
      <c r="V112" t="s">
        <v>1925</v>
      </c>
      <c r="W112" t="s">
        <v>1887</v>
      </c>
      <c r="X112" t="s">
        <v>19</v>
      </c>
    </row>
    <row r="113" spans="8:24" x14ac:dyDescent="0.45">
      <c r="H113" t="s">
        <v>1834</v>
      </c>
      <c r="I113" t="s">
        <v>27</v>
      </c>
      <c r="J113">
        <v>4.3162595191253289E-2</v>
      </c>
      <c r="K113" t="s">
        <v>14</v>
      </c>
      <c r="U113" t="s">
        <v>1738</v>
      </c>
      <c r="V113" t="s">
        <v>1925</v>
      </c>
      <c r="W113" t="s">
        <v>1755</v>
      </c>
      <c r="X113" t="s">
        <v>17</v>
      </c>
    </row>
    <row r="114" spans="8:24" x14ac:dyDescent="0.45">
      <c r="H114" t="s">
        <v>1834</v>
      </c>
      <c r="I114" t="s">
        <v>36</v>
      </c>
      <c r="J114">
        <v>4.3162595191253289E-2</v>
      </c>
      <c r="K114" t="s">
        <v>14</v>
      </c>
      <c r="U114" t="s">
        <v>1738</v>
      </c>
      <c r="V114" t="s">
        <v>1926</v>
      </c>
      <c r="W114" t="s">
        <v>1759</v>
      </c>
      <c r="X114" t="s">
        <v>19</v>
      </c>
    </row>
    <row r="115" spans="8:24" x14ac:dyDescent="0.45">
      <c r="H115" t="s">
        <v>1836</v>
      </c>
      <c r="I115" t="s">
        <v>13</v>
      </c>
      <c r="J115">
        <v>6.5664940460609764E-2</v>
      </c>
      <c r="K115" t="s">
        <v>14</v>
      </c>
      <c r="U115" t="s">
        <v>1738</v>
      </c>
      <c r="V115" t="s">
        <v>1927</v>
      </c>
      <c r="W115" t="s">
        <v>1759</v>
      </c>
      <c r="X115" t="s">
        <v>19</v>
      </c>
    </row>
    <row r="116" spans="8:24" x14ac:dyDescent="0.45">
      <c r="H116" t="s">
        <v>1836</v>
      </c>
      <c r="I116" t="s">
        <v>27</v>
      </c>
      <c r="J116">
        <v>6.5664940460609764E-2</v>
      </c>
      <c r="K116" t="s">
        <v>14</v>
      </c>
      <c r="U116" t="s">
        <v>1738</v>
      </c>
      <c r="V116" t="s">
        <v>1928</v>
      </c>
      <c r="W116" t="s">
        <v>1759</v>
      </c>
      <c r="X116" t="s">
        <v>19</v>
      </c>
    </row>
    <row r="117" spans="8:24" x14ac:dyDescent="0.45">
      <c r="H117" t="s">
        <v>1836</v>
      </c>
      <c r="I117" t="s">
        <v>36</v>
      </c>
      <c r="J117">
        <v>6.5664940460609764E-2</v>
      </c>
      <c r="K117" t="s">
        <v>14</v>
      </c>
      <c r="U117" t="s">
        <v>1738</v>
      </c>
      <c r="V117" t="s">
        <v>1929</v>
      </c>
      <c r="W117" t="s">
        <v>1759</v>
      </c>
      <c r="X117" t="s">
        <v>19</v>
      </c>
    </row>
    <row r="118" spans="8:24" x14ac:dyDescent="0.45">
      <c r="H118" t="s">
        <v>1837</v>
      </c>
      <c r="I118" t="s">
        <v>13</v>
      </c>
      <c r="J118">
        <v>0.10924048474381895</v>
      </c>
      <c r="K118" t="s">
        <v>14</v>
      </c>
      <c r="U118" t="s">
        <v>1738</v>
      </c>
      <c r="V118" t="s">
        <v>1930</v>
      </c>
      <c r="W118" t="s">
        <v>1759</v>
      </c>
      <c r="X118" t="s">
        <v>19</v>
      </c>
    </row>
    <row r="119" spans="8:24" x14ac:dyDescent="0.45">
      <c r="H119" t="s">
        <v>1837</v>
      </c>
      <c r="I119" t="s">
        <v>27</v>
      </c>
      <c r="J119">
        <v>0.10924048474381895</v>
      </c>
      <c r="K119" t="s">
        <v>14</v>
      </c>
      <c r="U119" t="s">
        <v>1738</v>
      </c>
      <c r="V119" t="s">
        <v>1931</v>
      </c>
      <c r="W119" t="s">
        <v>1759</v>
      </c>
      <c r="X119" t="s">
        <v>19</v>
      </c>
    </row>
    <row r="120" spans="8:24" x14ac:dyDescent="0.45">
      <c r="H120" t="s">
        <v>1837</v>
      </c>
      <c r="I120" t="s">
        <v>36</v>
      </c>
      <c r="J120">
        <v>0.10924048474381895</v>
      </c>
      <c r="K120" t="s">
        <v>14</v>
      </c>
      <c r="U120" t="s">
        <v>1738</v>
      </c>
      <c r="V120" t="s">
        <v>1932</v>
      </c>
      <c r="W120" t="s">
        <v>1759</v>
      </c>
      <c r="X120" t="s">
        <v>19</v>
      </c>
    </row>
    <row r="121" spans="8:24" x14ac:dyDescent="0.45">
      <c r="H121" t="s">
        <v>1839</v>
      </c>
      <c r="I121" t="s">
        <v>13</v>
      </c>
      <c r="J121">
        <v>2.6222309220756461E-2</v>
      </c>
      <c r="K121" t="s">
        <v>14</v>
      </c>
      <c r="U121" t="s">
        <v>1738</v>
      </c>
      <c r="V121" t="s">
        <v>1933</v>
      </c>
      <c r="W121" t="s">
        <v>1759</v>
      </c>
      <c r="X121" t="s">
        <v>19</v>
      </c>
    </row>
    <row r="122" spans="8:24" x14ac:dyDescent="0.45">
      <c r="H122" t="s">
        <v>1839</v>
      </c>
      <c r="I122" t="s">
        <v>27</v>
      </c>
      <c r="J122">
        <v>2.6222309220756461E-2</v>
      </c>
      <c r="K122" t="s">
        <v>14</v>
      </c>
      <c r="U122" t="s">
        <v>1738</v>
      </c>
      <c r="V122" t="s">
        <v>1934</v>
      </c>
      <c r="W122" t="s">
        <v>1759</v>
      </c>
      <c r="X122" t="s">
        <v>19</v>
      </c>
    </row>
    <row r="123" spans="8:24" x14ac:dyDescent="0.45">
      <c r="H123" t="s">
        <v>1839</v>
      </c>
      <c r="I123" t="s">
        <v>36</v>
      </c>
      <c r="J123">
        <v>2.6222309220756461E-2</v>
      </c>
      <c r="K123" t="s">
        <v>14</v>
      </c>
      <c r="U123" t="s">
        <v>1738</v>
      </c>
      <c r="V123" t="s">
        <v>1935</v>
      </c>
      <c r="W123" t="s">
        <v>1759</v>
      </c>
      <c r="X123" t="s">
        <v>19</v>
      </c>
    </row>
    <row r="124" spans="8:24" x14ac:dyDescent="0.45">
      <c r="H124" t="s">
        <v>1841</v>
      </c>
      <c r="I124" t="s">
        <v>13</v>
      </c>
      <c r="J124">
        <v>8.3879615170413171E-3</v>
      </c>
      <c r="K124" t="s">
        <v>14</v>
      </c>
      <c r="U124" t="s">
        <v>1738</v>
      </c>
      <c r="V124" t="s">
        <v>1936</v>
      </c>
      <c r="W124" t="s">
        <v>1759</v>
      </c>
      <c r="X124" t="s">
        <v>19</v>
      </c>
    </row>
    <row r="125" spans="8:24" x14ac:dyDescent="0.45">
      <c r="H125" t="s">
        <v>1841</v>
      </c>
      <c r="I125" t="s">
        <v>27</v>
      </c>
      <c r="J125">
        <v>8.3879615170413171E-3</v>
      </c>
      <c r="K125" t="s">
        <v>14</v>
      </c>
      <c r="U125" t="s">
        <v>1738</v>
      </c>
      <c r="V125" t="s">
        <v>1936</v>
      </c>
      <c r="W125" t="s">
        <v>1872</v>
      </c>
      <c r="X125" t="s">
        <v>19</v>
      </c>
    </row>
    <row r="126" spans="8:24" x14ac:dyDescent="0.45">
      <c r="H126" t="s">
        <v>1841</v>
      </c>
      <c r="I126" t="s">
        <v>36</v>
      </c>
      <c r="J126">
        <v>8.3879615170413171E-3</v>
      </c>
      <c r="K126" t="s">
        <v>14</v>
      </c>
      <c r="U126" t="s">
        <v>1738</v>
      </c>
      <c r="V126" t="s">
        <v>1937</v>
      </c>
      <c r="W126" t="s">
        <v>1759</v>
      </c>
      <c r="X126" t="s">
        <v>19</v>
      </c>
    </row>
    <row r="127" spans="8:24" x14ac:dyDescent="0.45">
      <c r="H127" t="s">
        <v>1843</v>
      </c>
      <c r="I127" t="s">
        <v>13</v>
      </c>
      <c r="J127">
        <v>4.7547362958621872E-2</v>
      </c>
      <c r="K127" t="s">
        <v>14</v>
      </c>
      <c r="U127" t="s">
        <v>1738</v>
      </c>
      <c r="V127" t="s">
        <v>1937</v>
      </c>
      <c r="W127" t="s">
        <v>1872</v>
      </c>
      <c r="X127" t="s">
        <v>19</v>
      </c>
    </row>
    <row r="128" spans="8:24" x14ac:dyDescent="0.45">
      <c r="H128" t="s">
        <v>1843</v>
      </c>
      <c r="I128" t="s">
        <v>27</v>
      </c>
      <c r="J128">
        <v>4.7547362958621872E-2</v>
      </c>
      <c r="K128" t="s">
        <v>14</v>
      </c>
      <c r="U128" t="s">
        <v>1738</v>
      </c>
      <c r="V128" t="s">
        <v>1938</v>
      </c>
      <c r="W128" t="s">
        <v>1759</v>
      </c>
      <c r="X128" t="s">
        <v>19</v>
      </c>
    </row>
    <row r="129" spans="8:24" x14ac:dyDescent="0.45">
      <c r="H129" t="s">
        <v>1843</v>
      </c>
      <c r="I129" t="s">
        <v>36</v>
      </c>
      <c r="J129">
        <v>4.7547362958621872E-2</v>
      </c>
      <c r="K129" t="s">
        <v>14</v>
      </c>
      <c r="U129" t="s">
        <v>1738</v>
      </c>
      <c r="V129" t="s">
        <v>1938</v>
      </c>
      <c r="W129" t="s">
        <v>1872</v>
      </c>
      <c r="X129" t="s">
        <v>19</v>
      </c>
    </row>
    <row r="130" spans="8:24" x14ac:dyDescent="0.45">
      <c r="H130" t="s">
        <v>1844</v>
      </c>
      <c r="I130" t="s">
        <v>13</v>
      </c>
      <c r="J130">
        <v>0.11918695361073985</v>
      </c>
      <c r="K130" t="s">
        <v>14</v>
      </c>
      <c r="U130" t="s">
        <v>1738</v>
      </c>
      <c r="V130" t="s">
        <v>1939</v>
      </c>
      <c r="W130" t="s">
        <v>1872</v>
      </c>
      <c r="X130" t="s">
        <v>19</v>
      </c>
    </row>
    <row r="131" spans="8:24" x14ac:dyDescent="0.45">
      <c r="H131" t="s">
        <v>1844</v>
      </c>
      <c r="I131" t="s">
        <v>27</v>
      </c>
      <c r="J131">
        <v>0.11918695361073985</v>
      </c>
      <c r="K131" t="s">
        <v>14</v>
      </c>
      <c r="U131" t="s">
        <v>1738</v>
      </c>
      <c r="V131" t="s">
        <v>1940</v>
      </c>
      <c r="W131" t="s">
        <v>1872</v>
      </c>
      <c r="X131" t="s">
        <v>19</v>
      </c>
    </row>
    <row r="132" spans="8:24" x14ac:dyDescent="0.45">
      <c r="H132" t="s">
        <v>1844</v>
      </c>
      <c r="I132" t="s">
        <v>36</v>
      </c>
      <c r="J132">
        <v>0.11918695361073985</v>
      </c>
      <c r="K132" t="s">
        <v>14</v>
      </c>
      <c r="U132" t="s">
        <v>1738</v>
      </c>
      <c r="V132" t="s">
        <v>1941</v>
      </c>
      <c r="W132" t="s">
        <v>1872</v>
      </c>
      <c r="X132" t="s">
        <v>19</v>
      </c>
    </row>
    <row r="133" spans="8:24" x14ac:dyDescent="0.45">
      <c r="H133" t="s">
        <v>1846</v>
      </c>
      <c r="I133" t="s">
        <v>13</v>
      </c>
      <c r="J133">
        <v>1.8177431309942604E-2</v>
      </c>
      <c r="K133" t="s">
        <v>14</v>
      </c>
      <c r="U133" t="s">
        <v>1738</v>
      </c>
      <c r="V133" t="s">
        <v>1941</v>
      </c>
      <c r="W133" t="s">
        <v>1759</v>
      </c>
      <c r="X133" t="s">
        <v>17</v>
      </c>
    </row>
    <row r="134" spans="8:24" x14ac:dyDescent="0.45">
      <c r="H134" t="s">
        <v>1846</v>
      </c>
      <c r="I134" t="s">
        <v>27</v>
      </c>
      <c r="J134">
        <v>1.8177431309942604E-2</v>
      </c>
      <c r="K134" t="s">
        <v>14</v>
      </c>
      <c r="U134" t="s">
        <v>1738</v>
      </c>
      <c r="V134" t="s">
        <v>1942</v>
      </c>
      <c r="W134" t="s">
        <v>1872</v>
      </c>
      <c r="X134" t="s">
        <v>19</v>
      </c>
    </row>
    <row r="135" spans="8:24" x14ac:dyDescent="0.45">
      <c r="H135" t="s">
        <v>1846</v>
      </c>
      <c r="I135" t="s">
        <v>36</v>
      </c>
      <c r="J135">
        <v>1.8177431309942604E-2</v>
      </c>
      <c r="K135" t="s">
        <v>14</v>
      </c>
      <c r="U135" t="s">
        <v>1738</v>
      </c>
      <c r="V135" t="s">
        <v>1942</v>
      </c>
      <c r="W135" t="s">
        <v>1759</v>
      </c>
      <c r="X135" t="s">
        <v>17</v>
      </c>
    </row>
    <row r="136" spans="8:24" x14ac:dyDescent="0.45">
      <c r="H136" t="s">
        <v>1847</v>
      </c>
      <c r="I136" t="s">
        <v>13</v>
      </c>
      <c r="J136">
        <v>0.18876606650822922</v>
      </c>
      <c r="K136" t="s">
        <v>14</v>
      </c>
      <c r="U136" t="s">
        <v>1738</v>
      </c>
      <c r="V136" t="s">
        <v>1943</v>
      </c>
      <c r="W136" t="s">
        <v>1763</v>
      </c>
      <c r="X136" t="s">
        <v>19</v>
      </c>
    </row>
    <row r="137" spans="8:24" x14ac:dyDescent="0.45">
      <c r="H137" t="s">
        <v>1847</v>
      </c>
      <c r="I137" t="s">
        <v>27</v>
      </c>
      <c r="J137">
        <v>0.18876606650822922</v>
      </c>
      <c r="K137" t="s">
        <v>14</v>
      </c>
      <c r="U137" t="s">
        <v>1738</v>
      </c>
      <c r="V137" t="s">
        <v>1944</v>
      </c>
      <c r="W137" t="s">
        <v>1763</v>
      </c>
      <c r="X137" t="s">
        <v>19</v>
      </c>
    </row>
    <row r="138" spans="8:24" x14ac:dyDescent="0.45">
      <c r="H138" t="s">
        <v>1847</v>
      </c>
      <c r="I138" t="s">
        <v>36</v>
      </c>
      <c r="J138">
        <v>0.18876606650822922</v>
      </c>
      <c r="K138" t="s">
        <v>14</v>
      </c>
      <c r="U138" t="s">
        <v>1738</v>
      </c>
      <c r="V138" t="s">
        <v>1945</v>
      </c>
      <c r="W138" t="s">
        <v>1763</v>
      </c>
      <c r="X138" t="s">
        <v>19</v>
      </c>
    </row>
    <row r="139" spans="8:24" x14ac:dyDescent="0.45">
      <c r="H139" t="s">
        <v>1849</v>
      </c>
      <c r="I139" t="s">
        <v>13</v>
      </c>
      <c r="J139">
        <v>0.22175066254453052</v>
      </c>
      <c r="K139" t="s">
        <v>14</v>
      </c>
      <c r="U139" t="s">
        <v>1738</v>
      </c>
      <c r="V139" t="s">
        <v>1946</v>
      </c>
      <c r="W139" t="s">
        <v>1763</v>
      </c>
      <c r="X139" t="s">
        <v>19</v>
      </c>
    </row>
    <row r="140" spans="8:24" x14ac:dyDescent="0.45">
      <c r="H140" t="s">
        <v>1849</v>
      </c>
      <c r="I140" t="s">
        <v>27</v>
      </c>
      <c r="J140">
        <v>0.22175066254453052</v>
      </c>
      <c r="K140" t="s">
        <v>14</v>
      </c>
      <c r="U140" t="s">
        <v>1738</v>
      </c>
      <c r="V140" t="s">
        <v>1947</v>
      </c>
      <c r="W140" t="s">
        <v>1763</v>
      </c>
      <c r="X140" t="s">
        <v>19</v>
      </c>
    </row>
    <row r="141" spans="8:24" x14ac:dyDescent="0.45">
      <c r="H141" t="s">
        <v>1849</v>
      </c>
      <c r="I141" t="s">
        <v>36</v>
      </c>
      <c r="J141">
        <v>0.22175066254453052</v>
      </c>
      <c r="K141" t="s">
        <v>14</v>
      </c>
      <c r="U141" t="s">
        <v>1738</v>
      </c>
      <c r="V141" t="s">
        <v>1948</v>
      </c>
      <c r="W141" t="s">
        <v>1763</v>
      </c>
      <c r="X141" t="s">
        <v>19</v>
      </c>
    </row>
    <row r="142" spans="8:24" x14ac:dyDescent="0.45">
      <c r="H142" t="s">
        <v>1851</v>
      </c>
      <c r="I142" t="s">
        <v>13</v>
      </c>
      <c r="J142">
        <v>5.3851140494276077E-2</v>
      </c>
      <c r="K142" t="s">
        <v>14</v>
      </c>
      <c r="U142" t="s">
        <v>1738</v>
      </c>
      <c r="V142" t="s">
        <v>1949</v>
      </c>
      <c r="W142" t="s">
        <v>1763</v>
      </c>
      <c r="X142" t="s">
        <v>19</v>
      </c>
    </row>
    <row r="143" spans="8:24" x14ac:dyDescent="0.45">
      <c r="H143" t="s">
        <v>1851</v>
      </c>
      <c r="I143" t="s">
        <v>27</v>
      </c>
      <c r="J143">
        <v>5.3851140494276077E-2</v>
      </c>
      <c r="K143" t="s">
        <v>14</v>
      </c>
      <c r="U143" t="s">
        <v>1738</v>
      </c>
      <c r="V143" t="s">
        <v>1950</v>
      </c>
      <c r="W143" t="s">
        <v>1763</v>
      </c>
      <c r="X143" t="s">
        <v>19</v>
      </c>
    </row>
    <row r="144" spans="8:24" x14ac:dyDescent="0.45">
      <c r="H144" t="s">
        <v>1851</v>
      </c>
      <c r="I144" t="s">
        <v>36</v>
      </c>
      <c r="J144">
        <v>5.3851140494276077E-2</v>
      </c>
      <c r="K144" t="s">
        <v>14</v>
      </c>
      <c r="U144" t="s">
        <v>1738</v>
      </c>
      <c r="V144" t="s">
        <v>1951</v>
      </c>
      <c r="W144" t="s">
        <v>1763</v>
      </c>
      <c r="X144" t="s">
        <v>19</v>
      </c>
    </row>
    <row r="145" spans="8:24" x14ac:dyDescent="0.45">
      <c r="H145" t="s">
        <v>1853</v>
      </c>
      <c r="I145" t="s">
        <v>13</v>
      </c>
      <c r="J145">
        <v>8.2702895991254837E-3</v>
      </c>
      <c r="K145" t="s">
        <v>14</v>
      </c>
      <c r="U145" t="s">
        <v>1738</v>
      </c>
      <c r="V145" t="s">
        <v>1952</v>
      </c>
      <c r="W145" t="s">
        <v>1763</v>
      </c>
      <c r="X145" t="s">
        <v>19</v>
      </c>
    </row>
    <row r="146" spans="8:24" x14ac:dyDescent="0.45">
      <c r="H146" t="s">
        <v>1853</v>
      </c>
      <c r="I146" t="s">
        <v>27</v>
      </c>
      <c r="J146">
        <v>8.2702895991254837E-3</v>
      </c>
      <c r="K146" t="s">
        <v>14</v>
      </c>
      <c r="U146" t="s">
        <v>1738</v>
      </c>
      <c r="V146" t="s">
        <v>1953</v>
      </c>
      <c r="W146" t="s">
        <v>1763</v>
      </c>
      <c r="X146" t="s">
        <v>19</v>
      </c>
    </row>
    <row r="147" spans="8:24" x14ac:dyDescent="0.45">
      <c r="H147" t="s">
        <v>1853</v>
      </c>
      <c r="I147" t="s">
        <v>36</v>
      </c>
      <c r="J147">
        <v>8.2702895991254837E-3</v>
      </c>
      <c r="K147" t="s">
        <v>14</v>
      </c>
      <c r="U147" t="s">
        <v>1738</v>
      </c>
      <c r="V147" t="s">
        <v>1953</v>
      </c>
      <c r="W147" t="s">
        <v>1864</v>
      </c>
      <c r="X147" t="s">
        <v>19</v>
      </c>
    </row>
    <row r="148" spans="8:24" x14ac:dyDescent="0.45">
      <c r="H148" t="s">
        <v>1855</v>
      </c>
      <c r="I148" t="s">
        <v>13</v>
      </c>
      <c r="J148">
        <v>6.9771801841054179E-2</v>
      </c>
      <c r="K148" t="s">
        <v>14</v>
      </c>
      <c r="U148" t="s">
        <v>1738</v>
      </c>
      <c r="V148" t="s">
        <v>1954</v>
      </c>
      <c r="W148" t="s">
        <v>1763</v>
      </c>
      <c r="X148" t="s">
        <v>19</v>
      </c>
    </row>
    <row r="149" spans="8:24" x14ac:dyDescent="0.45">
      <c r="H149" t="s">
        <v>1855</v>
      </c>
      <c r="I149" t="s">
        <v>27</v>
      </c>
      <c r="J149">
        <v>6.9771801841054179E-2</v>
      </c>
      <c r="K149" t="s">
        <v>14</v>
      </c>
      <c r="U149" t="s">
        <v>1738</v>
      </c>
      <c r="V149" t="s">
        <v>1954</v>
      </c>
      <c r="W149" t="s">
        <v>1864</v>
      </c>
      <c r="X149" t="s">
        <v>19</v>
      </c>
    </row>
    <row r="150" spans="8:24" x14ac:dyDescent="0.45">
      <c r="H150" t="s">
        <v>1855</v>
      </c>
      <c r="I150" t="s">
        <v>36</v>
      </c>
      <c r="J150">
        <v>6.9771801841054179E-2</v>
      </c>
      <c r="K150" t="s">
        <v>14</v>
      </c>
      <c r="U150" t="s">
        <v>1738</v>
      </c>
      <c r="V150" t="s">
        <v>1955</v>
      </c>
      <c r="W150" t="s">
        <v>1763</v>
      </c>
      <c r="X150" t="s">
        <v>19</v>
      </c>
    </row>
    <row r="151" spans="8:24" x14ac:dyDescent="0.45">
      <c r="H151" t="s">
        <v>1857</v>
      </c>
      <c r="I151" t="s">
        <v>13</v>
      </c>
      <c r="J151">
        <v>4.3162595191253289E-2</v>
      </c>
      <c r="K151" t="s">
        <v>14</v>
      </c>
      <c r="U151" t="s">
        <v>1738</v>
      </c>
      <c r="V151" t="s">
        <v>1955</v>
      </c>
      <c r="W151" t="s">
        <v>1864</v>
      </c>
      <c r="X151" t="s">
        <v>19</v>
      </c>
    </row>
    <row r="152" spans="8:24" x14ac:dyDescent="0.45">
      <c r="H152" t="s">
        <v>1857</v>
      </c>
      <c r="I152" t="s">
        <v>27</v>
      </c>
      <c r="J152">
        <v>4.3162595191253289E-2</v>
      </c>
      <c r="K152" t="s">
        <v>14</v>
      </c>
      <c r="U152" t="s">
        <v>1738</v>
      </c>
      <c r="V152" t="s">
        <v>1956</v>
      </c>
      <c r="W152" t="s">
        <v>1864</v>
      </c>
      <c r="X152" t="s">
        <v>19</v>
      </c>
    </row>
    <row r="153" spans="8:24" x14ac:dyDescent="0.45">
      <c r="H153" t="s">
        <v>1857</v>
      </c>
      <c r="I153" t="s">
        <v>36</v>
      </c>
      <c r="J153">
        <v>4.3162595191253289E-2</v>
      </c>
      <c r="K153" t="s">
        <v>14</v>
      </c>
      <c r="U153" t="s">
        <v>1738</v>
      </c>
      <c r="V153" t="s">
        <v>1957</v>
      </c>
      <c r="W153" t="s">
        <v>1864</v>
      </c>
      <c r="X153" t="s">
        <v>19</v>
      </c>
    </row>
    <row r="154" spans="8:24" x14ac:dyDescent="0.45">
      <c r="H154" t="s">
        <v>1859</v>
      </c>
      <c r="I154" t="s">
        <v>13</v>
      </c>
      <c r="J154">
        <v>6.5664940460609764E-2</v>
      </c>
      <c r="K154" t="s">
        <v>14</v>
      </c>
      <c r="U154" t="s">
        <v>1738</v>
      </c>
      <c r="V154" t="s">
        <v>1958</v>
      </c>
      <c r="W154" t="s">
        <v>1864</v>
      </c>
      <c r="X154" t="s">
        <v>19</v>
      </c>
    </row>
    <row r="155" spans="8:24" x14ac:dyDescent="0.45">
      <c r="H155" t="s">
        <v>1859</v>
      </c>
      <c r="I155" t="s">
        <v>27</v>
      </c>
      <c r="J155">
        <v>6.5664940460609764E-2</v>
      </c>
      <c r="K155" t="s">
        <v>14</v>
      </c>
      <c r="U155" t="s">
        <v>1738</v>
      </c>
      <c r="V155" t="s">
        <v>1958</v>
      </c>
      <c r="W155" t="s">
        <v>1763</v>
      </c>
      <c r="X155" t="s">
        <v>17</v>
      </c>
    </row>
    <row r="156" spans="8:24" x14ac:dyDescent="0.45">
      <c r="H156" t="s">
        <v>1859</v>
      </c>
      <c r="I156" t="s">
        <v>36</v>
      </c>
      <c r="J156">
        <v>6.5664940460609764E-2</v>
      </c>
      <c r="K156" t="s">
        <v>14</v>
      </c>
      <c r="U156" t="s">
        <v>1738</v>
      </c>
      <c r="V156" t="s">
        <v>1959</v>
      </c>
      <c r="W156" t="s">
        <v>1864</v>
      </c>
      <c r="X156" t="s">
        <v>19</v>
      </c>
    </row>
    <row r="157" spans="8:24" x14ac:dyDescent="0.45">
      <c r="H157" t="s">
        <v>1861</v>
      </c>
      <c r="I157" t="s">
        <v>13</v>
      </c>
      <c r="J157">
        <v>0.10924048474381895</v>
      </c>
      <c r="K157" t="s">
        <v>14</v>
      </c>
      <c r="U157" t="s">
        <v>1738</v>
      </c>
      <c r="V157" t="s">
        <v>1959</v>
      </c>
      <c r="W157" t="s">
        <v>1763</v>
      </c>
      <c r="X157" t="s">
        <v>17</v>
      </c>
    </row>
    <row r="158" spans="8:24" x14ac:dyDescent="0.45">
      <c r="H158" t="s">
        <v>1861</v>
      </c>
      <c r="I158" t="s">
        <v>27</v>
      </c>
      <c r="J158">
        <v>0.10924048474381895</v>
      </c>
      <c r="K158" t="s">
        <v>14</v>
      </c>
      <c r="U158" t="s">
        <v>1738</v>
      </c>
      <c r="V158" t="s">
        <v>1960</v>
      </c>
      <c r="W158" t="s">
        <v>1767</v>
      </c>
      <c r="X158" t="s">
        <v>19</v>
      </c>
    </row>
    <row r="159" spans="8:24" x14ac:dyDescent="0.45">
      <c r="H159" t="s">
        <v>1861</v>
      </c>
      <c r="I159" t="s">
        <v>36</v>
      </c>
      <c r="J159">
        <v>0.10924048474381895</v>
      </c>
      <c r="K159" t="s">
        <v>14</v>
      </c>
      <c r="U159" t="s">
        <v>1738</v>
      </c>
      <c r="V159" t="s">
        <v>1961</v>
      </c>
      <c r="W159" t="s">
        <v>1767</v>
      </c>
      <c r="X159" t="s">
        <v>19</v>
      </c>
    </row>
    <row r="160" spans="8:24" x14ac:dyDescent="0.45">
      <c r="H160" t="s">
        <v>1737</v>
      </c>
      <c r="I160" t="s">
        <v>632</v>
      </c>
      <c r="J160">
        <v>3.5283984275661799E-4</v>
      </c>
      <c r="K160" t="s">
        <v>14</v>
      </c>
      <c r="U160" t="s">
        <v>1738</v>
      </c>
      <c r="V160" t="s">
        <v>1962</v>
      </c>
      <c r="W160" t="s">
        <v>1767</v>
      </c>
      <c r="X160" t="s">
        <v>19</v>
      </c>
    </row>
    <row r="161" spans="8:24" x14ac:dyDescent="0.45">
      <c r="H161" t="s">
        <v>1742</v>
      </c>
      <c r="I161" t="s">
        <v>632</v>
      </c>
      <c r="J161">
        <v>1.6445979055246231E-2</v>
      </c>
      <c r="K161" t="s">
        <v>14</v>
      </c>
      <c r="U161" t="s">
        <v>1738</v>
      </c>
      <c r="V161" t="s">
        <v>1963</v>
      </c>
      <c r="W161" t="s">
        <v>1767</v>
      </c>
      <c r="X161" t="s">
        <v>19</v>
      </c>
    </row>
    <row r="162" spans="8:24" x14ac:dyDescent="0.45">
      <c r="H162" t="s">
        <v>1746</v>
      </c>
      <c r="I162" t="s">
        <v>632</v>
      </c>
      <c r="J162">
        <v>3.1982095585414434E-2</v>
      </c>
      <c r="K162" t="s">
        <v>14</v>
      </c>
      <c r="U162" t="s">
        <v>1738</v>
      </c>
      <c r="V162" t="s">
        <v>1964</v>
      </c>
      <c r="W162" t="s">
        <v>1767</v>
      </c>
      <c r="X162" t="s">
        <v>19</v>
      </c>
    </row>
    <row r="163" spans="8:24" x14ac:dyDescent="0.45">
      <c r="H163" t="s">
        <v>1750</v>
      </c>
      <c r="I163" t="s">
        <v>632</v>
      </c>
      <c r="J163">
        <v>3.5091521295678427E-2</v>
      </c>
      <c r="K163" t="s">
        <v>14</v>
      </c>
      <c r="U163" t="s">
        <v>1738</v>
      </c>
      <c r="V163" t="s">
        <v>1965</v>
      </c>
      <c r="W163" t="s">
        <v>1767</v>
      </c>
      <c r="X163" t="s">
        <v>19</v>
      </c>
    </row>
    <row r="164" spans="8:24" x14ac:dyDescent="0.45">
      <c r="H164" t="s">
        <v>1754</v>
      </c>
      <c r="I164" t="s">
        <v>632</v>
      </c>
      <c r="J164">
        <v>1.0661472985465862E-2</v>
      </c>
      <c r="K164" t="s">
        <v>14</v>
      </c>
      <c r="U164" t="s">
        <v>1738</v>
      </c>
      <c r="V164" t="s">
        <v>1966</v>
      </c>
      <c r="W164" t="s">
        <v>1767</v>
      </c>
      <c r="X164" t="s">
        <v>19</v>
      </c>
    </row>
    <row r="165" spans="8:24" x14ac:dyDescent="0.45">
      <c r="H165" t="s">
        <v>1758</v>
      </c>
      <c r="I165" t="s">
        <v>632</v>
      </c>
      <c r="J165">
        <v>2.1116067351929522E-2</v>
      </c>
      <c r="K165" t="s">
        <v>14</v>
      </c>
      <c r="U165" t="s">
        <v>1738</v>
      </c>
      <c r="V165" t="s">
        <v>1967</v>
      </c>
      <c r="W165" t="s">
        <v>1767</v>
      </c>
      <c r="X165" t="s">
        <v>19</v>
      </c>
    </row>
    <row r="166" spans="8:24" x14ac:dyDescent="0.45">
      <c r="H166" t="s">
        <v>1762</v>
      </c>
      <c r="I166" t="s">
        <v>632</v>
      </c>
      <c r="J166">
        <v>0.31782824399542253</v>
      </c>
      <c r="K166" t="s">
        <v>14</v>
      </c>
      <c r="U166" t="s">
        <v>1738</v>
      </c>
      <c r="V166" t="s">
        <v>1968</v>
      </c>
      <c r="W166" t="s">
        <v>1767</v>
      </c>
      <c r="X166" t="s">
        <v>19</v>
      </c>
    </row>
    <row r="167" spans="8:24" x14ac:dyDescent="0.45">
      <c r="H167" t="s">
        <v>1766</v>
      </c>
      <c r="I167" t="s">
        <v>632</v>
      </c>
      <c r="J167">
        <v>0.30642554348487039</v>
      </c>
      <c r="K167" t="s">
        <v>14</v>
      </c>
      <c r="U167" t="s">
        <v>1738</v>
      </c>
      <c r="V167" t="s">
        <v>1969</v>
      </c>
      <c r="W167" t="s">
        <v>1767</v>
      </c>
      <c r="X167" t="s">
        <v>19</v>
      </c>
    </row>
    <row r="168" spans="8:24" x14ac:dyDescent="0.45">
      <c r="H168" t="s">
        <v>1770</v>
      </c>
      <c r="I168" t="s">
        <v>632</v>
      </c>
      <c r="J168">
        <v>1.7607964745084518E-14</v>
      </c>
      <c r="K168" t="s">
        <v>14</v>
      </c>
      <c r="U168" t="s">
        <v>1738</v>
      </c>
      <c r="V168" t="s">
        <v>1970</v>
      </c>
      <c r="W168" t="s">
        <v>1767</v>
      </c>
      <c r="X168" t="s">
        <v>19</v>
      </c>
    </row>
    <row r="169" spans="8:24" x14ac:dyDescent="0.45">
      <c r="H169" t="s">
        <v>1774</v>
      </c>
      <c r="I169" t="s">
        <v>632</v>
      </c>
      <c r="J169">
        <v>1.4498987157540831E-2</v>
      </c>
      <c r="K169" t="s">
        <v>14</v>
      </c>
      <c r="U169" t="s">
        <v>1738</v>
      </c>
      <c r="V169" t="s">
        <v>1970</v>
      </c>
      <c r="W169" t="s">
        <v>1875</v>
      </c>
      <c r="X169" t="s">
        <v>19</v>
      </c>
    </row>
    <row r="170" spans="8:24" x14ac:dyDescent="0.45">
      <c r="H170" t="s">
        <v>1778</v>
      </c>
      <c r="I170" t="s">
        <v>632</v>
      </c>
      <c r="J170">
        <v>4.4020087942358744E-9</v>
      </c>
      <c r="K170" t="s">
        <v>14</v>
      </c>
      <c r="U170" t="s">
        <v>1738</v>
      </c>
      <c r="V170" t="s">
        <v>1971</v>
      </c>
      <c r="W170" t="s">
        <v>1767</v>
      </c>
      <c r="X170" t="s">
        <v>19</v>
      </c>
    </row>
    <row r="171" spans="8:24" x14ac:dyDescent="0.45">
      <c r="H171" t="s">
        <v>1782</v>
      </c>
      <c r="I171" t="s">
        <v>632</v>
      </c>
      <c r="J171">
        <v>5.2982630039185002E-4</v>
      </c>
      <c r="K171" t="s">
        <v>14</v>
      </c>
      <c r="U171" t="s">
        <v>1738</v>
      </c>
      <c r="V171" t="s">
        <v>1971</v>
      </c>
      <c r="W171" t="s">
        <v>1875</v>
      </c>
      <c r="X171" t="s">
        <v>19</v>
      </c>
    </row>
    <row r="172" spans="8:24" x14ac:dyDescent="0.45">
      <c r="H172" t="s">
        <v>1786</v>
      </c>
      <c r="I172" t="s">
        <v>632</v>
      </c>
      <c r="J172">
        <v>0.22506741854325624</v>
      </c>
      <c r="K172" t="s">
        <v>14</v>
      </c>
      <c r="U172" t="s">
        <v>1738</v>
      </c>
      <c r="V172" t="s">
        <v>1972</v>
      </c>
      <c r="W172" t="s">
        <v>1767</v>
      </c>
      <c r="X172" t="s">
        <v>19</v>
      </c>
    </row>
    <row r="173" spans="8:24" x14ac:dyDescent="0.45">
      <c r="H173" t="s">
        <v>1790</v>
      </c>
      <c r="I173" t="s">
        <v>632</v>
      </c>
      <c r="J173">
        <v>3.5283984275661799E-4</v>
      </c>
      <c r="K173" t="s">
        <v>14</v>
      </c>
      <c r="U173" t="s">
        <v>1738</v>
      </c>
      <c r="V173" t="s">
        <v>1972</v>
      </c>
      <c r="W173" t="s">
        <v>1875</v>
      </c>
      <c r="X173" t="s">
        <v>19</v>
      </c>
    </row>
    <row r="174" spans="8:24" x14ac:dyDescent="0.45">
      <c r="H174" t="s">
        <v>1792</v>
      </c>
      <c r="I174" t="s">
        <v>632</v>
      </c>
      <c r="J174">
        <v>1.6445979055246231E-2</v>
      </c>
      <c r="K174" t="s">
        <v>14</v>
      </c>
      <c r="U174" t="s">
        <v>1738</v>
      </c>
      <c r="V174" t="s">
        <v>1973</v>
      </c>
      <c r="W174" t="s">
        <v>1875</v>
      </c>
      <c r="X174" t="s">
        <v>19</v>
      </c>
    </row>
    <row r="175" spans="8:24" x14ac:dyDescent="0.45">
      <c r="H175" t="s">
        <v>1795</v>
      </c>
      <c r="I175" t="s">
        <v>632</v>
      </c>
      <c r="J175">
        <v>3.1982095585414434E-2</v>
      </c>
      <c r="K175" t="s">
        <v>14</v>
      </c>
      <c r="U175" t="s">
        <v>1738</v>
      </c>
      <c r="V175" t="s">
        <v>1974</v>
      </c>
      <c r="W175" t="s">
        <v>1875</v>
      </c>
      <c r="X175" t="s">
        <v>19</v>
      </c>
    </row>
    <row r="176" spans="8:24" x14ac:dyDescent="0.45">
      <c r="H176" t="s">
        <v>1797</v>
      </c>
      <c r="I176" t="s">
        <v>632</v>
      </c>
      <c r="J176">
        <v>3.5091521295678427E-2</v>
      </c>
      <c r="K176" t="s">
        <v>14</v>
      </c>
      <c r="U176" t="s">
        <v>1738</v>
      </c>
      <c r="V176" t="s">
        <v>1975</v>
      </c>
      <c r="W176" t="s">
        <v>1875</v>
      </c>
      <c r="X176" t="s">
        <v>19</v>
      </c>
    </row>
    <row r="177" spans="8:24" x14ac:dyDescent="0.45">
      <c r="H177" t="s">
        <v>1799</v>
      </c>
      <c r="I177" t="s">
        <v>632</v>
      </c>
      <c r="J177">
        <v>1.0661472985465862E-2</v>
      </c>
      <c r="K177" t="s">
        <v>14</v>
      </c>
      <c r="U177" t="s">
        <v>1738</v>
      </c>
      <c r="V177" t="s">
        <v>1975</v>
      </c>
      <c r="W177" t="s">
        <v>1767</v>
      </c>
      <c r="X177" t="s">
        <v>17</v>
      </c>
    </row>
    <row r="178" spans="8:24" x14ac:dyDescent="0.45">
      <c r="H178" t="s">
        <v>1801</v>
      </c>
      <c r="I178" t="s">
        <v>632</v>
      </c>
      <c r="J178">
        <v>2.1116067351929522E-2</v>
      </c>
      <c r="K178" t="s">
        <v>14</v>
      </c>
      <c r="U178" t="s">
        <v>1738</v>
      </c>
      <c r="V178" t="s">
        <v>1976</v>
      </c>
      <c r="W178" t="s">
        <v>1875</v>
      </c>
      <c r="X178" t="s">
        <v>19</v>
      </c>
    </row>
    <row r="179" spans="8:24" x14ac:dyDescent="0.45">
      <c r="H179" t="s">
        <v>1803</v>
      </c>
      <c r="I179" t="s">
        <v>632</v>
      </c>
      <c r="J179">
        <v>0.31782824399542253</v>
      </c>
      <c r="K179" t="s">
        <v>14</v>
      </c>
      <c r="U179" t="s">
        <v>1738</v>
      </c>
      <c r="V179" t="s">
        <v>1976</v>
      </c>
      <c r="W179" t="s">
        <v>1767</v>
      </c>
      <c r="X179" t="s">
        <v>17</v>
      </c>
    </row>
    <row r="180" spans="8:24" x14ac:dyDescent="0.45">
      <c r="H180" t="s">
        <v>1804</v>
      </c>
      <c r="I180" t="s">
        <v>632</v>
      </c>
      <c r="J180">
        <v>0.30642554348487039</v>
      </c>
      <c r="K180" t="s">
        <v>14</v>
      </c>
      <c r="U180" t="s">
        <v>1738</v>
      </c>
      <c r="V180" t="s">
        <v>1977</v>
      </c>
      <c r="W180" t="s">
        <v>1771</v>
      </c>
      <c r="X180" t="s">
        <v>19</v>
      </c>
    </row>
    <row r="181" spans="8:24" x14ac:dyDescent="0.45">
      <c r="H181" t="s">
        <v>1806</v>
      </c>
      <c r="I181" t="s">
        <v>632</v>
      </c>
      <c r="J181">
        <v>1.7607964745084518E-14</v>
      </c>
      <c r="K181" t="s">
        <v>14</v>
      </c>
      <c r="U181" t="s">
        <v>1738</v>
      </c>
      <c r="V181" t="s">
        <v>1978</v>
      </c>
      <c r="W181" t="s">
        <v>1771</v>
      </c>
      <c r="X181" t="s">
        <v>19</v>
      </c>
    </row>
    <row r="182" spans="8:24" x14ac:dyDescent="0.45">
      <c r="H182" t="s">
        <v>1807</v>
      </c>
      <c r="I182" t="s">
        <v>632</v>
      </c>
      <c r="J182">
        <v>1.4498987157540831E-2</v>
      </c>
      <c r="K182" t="s">
        <v>14</v>
      </c>
      <c r="U182" t="s">
        <v>1738</v>
      </c>
      <c r="V182" t="s">
        <v>1979</v>
      </c>
      <c r="W182" t="s">
        <v>1771</v>
      </c>
      <c r="X182" t="s">
        <v>19</v>
      </c>
    </row>
    <row r="183" spans="8:24" x14ac:dyDescent="0.45">
      <c r="H183" t="s">
        <v>1809</v>
      </c>
      <c r="I183" t="s">
        <v>632</v>
      </c>
      <c r="J183">
        <v>4.4020087942358744E-9</v>
      </c>
      <c r="K183" t="s">
        <v>14</v>
      </c>
      <c r="U183" t="s">
        <v>1738</v>
      </c>
      <c r="V183" t="s">
        <v>1980</v>
      </c>
      <c r="W183" t="s">
        <v>1771</v>
      </c>
      <c r="X183" t="s">
        <v>19</v>
      </c>
    </row>
    <row r="184" spans="8:24" x14ac:dyDescent="0.45">
      <c r="H184" t="s">
        <v>1811</v>
      </c>
      <c r="I184" t="s">
        <v>632</v>
      </c>
      <c r="J184">
        <v>5.2982630039185002E-4</v>
      </c>
      <c r="K184" t="s">
        <v>14</v>
      </c>
      <c r="U184" t="s">
        <v>1738</v>
      </c>
      <c r="V184" t="s">
        <v>1981</v>
      </c>
      <c r="W184" t="s">
        <v>1771</v>
      </c>
      <c r="X184" t="s">
        <v>19</v>
      </c>
    </row>
    <row r="185" spans="8:24" x14ac:dyDescent="0.45">
      <c r="H185" t="s">
        <v>1813</v>
      </c>
      <c r="I185" t="s">
        <v>632</v>
      </c>
      <c r="J185">
        <v>0.22506741854325624</v>
      </c>
      <c r="K185" t="s">
        <v>14</v>
      </c>
      <c r="U185" t="s">
        <v>1738</v>
      </c>
      <c r="V185" t="s">
        <v>1982</v>
      </c>
      <c r="W185" t="s">
        <v>1771</v>
      </c>
      <c r="X185" t="s">
        <v>19</v>
      </c>
    </row>
    <row r="186" spans="8:24" x14ac:dyDescent="0.45">
      <c r="H186" t="s">
        <v>1815</v>
      </c>
      <c r="I186" t="s">
        <v>632</v>
      </c>
      <c r="J186">
        <v>3.5283984275661799E-4</v>
      </c>
      <c r="K186" t="s">
        <v>14</v>
      </c>
      <c r="U186" t="s">
        <v>1738</v>
      </c>
      <c r="V186" t="s">
        <v>1983</v>
      </c>
      <c r="W186" t="s">
        <v>1771</v>
      </c>
      <c r="X186" t="s">
        <v>19</v>
      </c>
    </row>
    <row r="187" spans="8:24" x14ac:dyDescent="0.45">
      <c r="H187" t="s">
        <v>1817</v>
      </c>
      <c r="I187" t="s">
        <v>632</v>
      </c>
      <c r="J187">
        <v>1.6445979055246231E-2</v>
      </c>
      <c r="K187" t="s">
        <v>14</v>
      </c>
      <c r="U187" t="s">
        <v>1738</v>
      </c>
      <c r="V187" t="s">
        <v>1984</v>
      </c>
      <c r="W187" t="s">
        <v>1771</v>
      </c>
      <c r="X187" t="s">
        <v>19</v>
      </c>
    </row>
    <row r="188" spans="8:24" x14ac:dyDescent="0.45">
      <c r="H188" t="s">
        <v>1819</v>
      </c>
      <c r="I188" t="s">
        <v>632</v>
      </c>
      <c r="J188">
        <v>3.1982095585414434E-2</v>
      </c>
      <c r="K188" t="s">
        <v>14</v>
      </c>
      <c r="U188" t="s">
        <v>1738</v>
      </c>
      <c r="V188" t="s">
        <v>1985</v>
      </c>
      <c r="W188" t="s">
        <v>1771</v>
      </c>
      <c r="X188" t="s">
        <v>19</v>
      </c>
    </row>
    <row r="189" spans="8:24" x14ac:dyDescent="0.45">
      <c r="H189" t="s">
        <v>1821</v>
      </c>
      <c r="I189" t="s">
        <v>632</v>
      </c>
      <c r="J189">
        <v>3.5091521295678427E-2</v>
      </c>
      <c r="K189" t="s">
        <v>14</v>
      </c>
      <c r="U189" t="s">
        <v>1738</v>
      </c>
      <c r="V189" t="s">
        <v>1986</v>
      </c>
      <c r="W189" t="s">
        <v>1771</v>
      </c>
      <c r="X189" t="s">
        <v>19</v>
      </c>
    </row>
    <row r="190" spans="8:24" x14ac:dyDescent="0.45">
      <c r="H190" t="s">
        <v>1823</v>
      </c>
      <c r="I190" t="s">
        <v>632</v>
      </c>
      <c r="J190">
        <v>1.0661472985465862E-2</v>
      </c>
      <c r="K190" t="s">
        <v>14</v>
      </c>
      <c r="U190" t="s">
        <v>1738</v>
      </c>
      <c r="V190" t="s">
        <v>1987</v>
      </c>
      <c r="W190" t="s">
        <v>1771</v>
      </c>
      <c r="X190" t="s">
        <v>19</v>
      </c>
    </row>
    <row r="191" spans="8:24" x14ac:dyDescent="0.45">
      <c r="H191" t="s">
        <v>1825</v>
      </c>
      <c r="I191" t="s">
        <v>632</v>
      </c>
      <c r="J191">
        <v>2.1116067351929522E-2</v>
      </c>
      <c r="K191" t="s">
        <v>14</v>
      </c>
      <c r="U191" t="s">
        <v>1738</v>
      </c>
      <c r="V191" t="s">
        <v>1987</v>
      </c>
      <c r="W191" t="s">
        <v>1988</v>
      </c>
      <c r="X191" t="s">
        <v>19</v>
      </c>
    </row>
    <row r="192" spans="8:24" x14ac:dyDescent="0.45">
      <c r="H192" t="s">
        <v>1827</v>
      </c>
      <c r="I192" t="s">
        <v>632</v>
      </c>
      <c r="J192">
        <v>0.31782824399542253</v>
      </c>
      <c r="K192" t="s">
        <v>14</v>
      </c>
      <c r="U192" t="s">
        <v>1738</v>
      </c>
      <c r="V192" t="s">
        <v>1989</v>
      </c>
      <c r="W192" t="s">
        <v>1771</v>
      </c>
      <c r="X192" t="s">
        <v>19</v>
      </c>
    </row>
    <row r="193" spans="8:24" x14ac:dyDescent="0.45">
      <c r="H193" t="s">
        <v>1829</v>
      </c>
      <c r="I193" t="s">
        <v>632</v>
      </c>
      <c r="J193">
        <v>0.30642554348487039</v>
      </c>
      <c r="K193" t="s">
        <v>14</v>
      </c>
      <c r="U193" t="s">
        <v>1738</v>
      </c>
      <c r="V193" t="s">
        <v>1989</v>
      </c>
      <c r="W193" t="s">
        <v>1988</v>
      </c>
      <c r="X193" t="s">
        <v>19</v>
      </c>
    </row>
    <row r="194" spans="8:24" x14ac:dyDescent="0.45">
      <c r="H194" t="s">
        <v>1831</v>
      </c>
      <c r="I194" t="s">
        <v>632</v>
      </c>
      <c r="J194">
        <v>1.7607964745084518E-14</v>
      </c>
      <c r="K194" t="s">
        <v>14</v>
      </c>
      <c r="U194" t="s">
        <v>1738</v>
      </c>
      <c r="V194" t="s">
        <v>1990</v>
      </c>
      <c r="W194" t="s">
        <v>1771</v>
      </c>
      <c r="X194" t="s">
        <v>19</v>
      </c>
    </row>
    <row r="195" spans="8:24" x14ac:dyDescent="0.45">
      <c r="H195" t="s">
        <v>1833</v>
      </c>
      <c r="I195" t="s">
        <v>632</v>
      </c>
      <c r="J195">
        <v>1.4498987157540831E-2</v>
      </c>
      <c r="K195" t="s">
        <v>14</v>
      </c>
      <c r="U195" t="s">
        <v>1738</v>
      </c>
      <c r="V195" t="s">
        <v>1990</v>
      </c>
      <c r="W195" t="s">
        <v>1988</v>
      </c>
      <c r="X195" t="s">
        <v>19</v>
      </c>
    </row>
    <row r="196" spans="8:24" x14ac:dyDescent="0.45">
      <c r="H196" t="s">
        <v>1834</v>
      </c>
      <c r="I196" t="s">
        <v>632</v>
      </c>
      <c r="J196">
        <v>4.4020087942358744E-9</v>
      </c>
      <c r="K196" t="s">
        <v>14</v>
      </c>
      <c r="U196" t="s">
        <v>1738</v>
      </c>
      <c r="V196" t="s">
        <v>1991</v>
      </c>
      <c r="W196" t="s">
        <v>1988</v>
      </c>
      <c r="X196" t="s">
        <v>19</v>
      </c>
    </row>
    <row r="197" spans="8:24" x14ac:dyDescent="0.45">
      <c r="H197" t="s">
        <v>1836</v>
      </c>
      <c r="I197" t="s">
        <v>632</v>
      </c>
      <c r="J197">
        <v>5.2982630039185002E-4</v>
      </c>
      <c r="K197" t="s">
        <v>14</v>
      </c>
      <c r="U197" t="s">
        <v>1738</v>
      </c>
      <c r="V197" t="s">
        <v>1992</v>
      </c>
      <c r="W197" t="s">
        <v>1988</v>
      </c>
      <c r="X197" t="s">
        <v>19</v>
      </c>
    </row>
    <row r="198" spans="8:24" x14ac:dyDescent="0.45">
      <c r="H198" t="s">
        <v>1837</v>
      </c>
      <c r="I198" t="s">
        <v>632</v>
      </c>
      <c r="J198">
        <v>0.22506741854325624</v>
      </c>
      <c r="K198" t="s">
        <v>14</v>
      </c>
      <c r="U198" t="s">
        <v>1738</v>
      </c>
      <c r="V198" t="s">
        <v>1993</v>
      </c>
      <c r="W198" t="s">
        <v>1988</v>
      </c>
      <c r="X198" t="s">
        <v>19</v>
      </c>
    </row>
    <row r="199" spans="8:24" x14ac:dyDescent="0.45">
      <c r="H199" t="s">
        <v>1839</v>
      </c>
      <c r="I199" t="s">
        <v>632</v>
      </c>
      <c r="J199">
        <v>3.5283984275661799E-4</v>
      </c>
      <c r="K199" t="s">
        <v>14</v>
      </c>
      <c r="U199" t="s">
        <v>1738</v>
      </c>
      <c r="V199" t="s">
        <v>1993</v>
      </c>
      <c r="W199" t="s">
        <v>1771</v>
      </c>
      <c r="X199" t="s">
        <v>17</v>
      </c>
    </row>
    <row r="200" spans="8:24" x14ac:dyDescent="0.45">
      <c r="H200" t="s">
        <v>1841</v>
      </c>
      <c r="I200" t="s">
        <v>632</v>
      </c>
      <c r="J200">
        <v>1.6445979055246231E-2</v>
      </c>
      <c r="K200" t="s">
        <v>14</v>
      </c>
      <c r="U200" t="s">
        <v>1738</v>
      </c>
      <c r="V200" t="s">
        <v>1994</v>
      </c>
      <c r="W200" t="s">
        <v>1988</v>
      </c>
      <c r="X200" t="s">
        <v>19</v>
      </c>
    </row>
    <row r="201" spans="8:24" x14ac:dyDescent="0.45">
      <c r="H201" t="s">
        <v>1843</v>
      </c>
      <c r="I201" t="s">
        <v>632</v>
      </c>
      <c r="J201">
        <v>3.1982095585414434E-2</v>
      </c>
      <c r="K201" t="s">
        <v>14</v>
      </c>
      <c r="U201" t="s">
        <v>1738</v>
      </c>
      <c r="V201" t="s">
        <v>1994</v>
      </c>
      <c r="W201" t="s">
        <v>1771</v>
      </c>
      <c r="X201" t="s">
        <v>17</v>
      </c>
    </row>
    <row r="202" spans="8:24" x14ac:dyDescent="0.45">
      <c r="H202" t="s">
        <v>1844</v>
      </c>
      <c r="I202" t="s">
        <v>632</v>
      </c>
      <c r="J202">
        <v>3.5091521295678427E-2</v>
      </c>
      <c r="K202" t="s">
        <v>14</v>
      </c>
      <c r="U202" t="s">
        <v>1738</v>
      </c>
      <c r="V202" t="s">
        <v>1995</v>
      </c>
      <c r="W202" t="s">
        <v>1775</v>
      </c>
      <c r="X202" t="s">
        <v>19</v>
      </c>
    </row>
    <row r="203" spans="8:24" x14ac:dyDescent="0.45">
      <c r="H203" t="s">
        <v>1846</v>
      </c>
      <c r="I203" t="s">
        <v>632</v>
      </c>
      <c r="J203">
        <v>1.0661472985465862E-2</v>
      </c>
      <c r="K203" t="s">
        <v>14</v>
      </c>
      <c r="U203" t="s">
        <v>1738</v>
      </c>
      <c r="V203" t="s">
        <v>1996</v>
      </c>
      <c r="W203" t="s">
        <v>1775</v>
      </c>
      <c r="X203" t="s">
        <v>19</v>
      </c>
    </row>
    <row r="204" spans="8:24" x14ac:dyDescent="0.45">
      <c r="H204" t="s">
        <v>1847</v>
      </c>
      <c r="I204" t="s">
        <v>632</v>
      </c>
      <c r="J204">
        <v>2.1116067351929522E-2</v>
      </c>
      <c r="K204" t="s">
        <v>14</v>
      </c>
      <c r="U204" t="s">
        <v>1738</v>
      </c>
      <c r="V204" t="s">
        <v>1997</v>
      </c>
      <c r="W204" t="s">
        <v>1775</v>
      </c>
      <c r="X204" t="s">
        <v>19</v>
      </c>
    </row>
    <row r="205" spans="8:24" x14ac:dyDescent="0.45">
      <c r="H205" t="s">
        <v>1849</v>
      </c>
      <c r="I205" t="s">
        <v>632</v>
      </c>
      <c r="J205">
        <v>0.31782824399542253</v>
      </c>
      <c r="K205" t="s">
        <v>14</v>
      </c>
      <c r="U205" t="s">
        <v>1738</v>
      </c>
      <c r="V205" t="s">
        <v>1998</v>
      </c>
      <c r="W205" t="s">
        <v>1775</v>
      </c>
      <c r="X205" t="s">
        <v>19</v>
      </c>
    </row>
    <row r="206" spans="8:24" x14ac:dyDescent="0.45">
      <c r="H206" t="s">
        <v>1851</v>
      </c>
      <c r="I206" t="s">
        <v>632</v>
      </c>
      <c r="J206">
        <v>0.30642554348487039</v>
      </c>
      <c r="K206" t="s">
        <v>14</v>
      </c>
      <c r="U206" t="s">
        <v>1738</v>
      </c>
      <c r="V206" t="s">
        <v>1999</v>
      </c>
      <c r="W206" t="s">
        <v>1775</v>
      </c>
      <c r="X206" t="s">
        <v>19</v>
      </c>
    </row>
    <row r="207" spans="8:24" x14ac:dyDescent="0.45">
      <c r="H207" t="s">
        <v>1853</v>
      </c>
      <c r="I207" t="s">
        <v>632</v>
      </c>
      <c r="J207">
        <v>1.7607964745084518E-14</v>
      </c>
      <c r="K207" t="s">
        <v>14</v>
      </c>
      <c r="U207" t="s">
        <v>1738</v>
      </c>
      <c r="V207" t="s">
        <v>2000</v>
      </c>
      <c r="W207" t="s">
        <v>1775</v>
      </c>
      <c r="X207" t="s">
        <v>19</v>
      </c>
    </row>
    <row r="208" spans="8:24" x14ac:dyDescent="0.45">
      <c r="H208" t="s">
        <v>1855</v>
      </c>
      <c r="I208" t="s">
        <v>632</v>
      </c>
      <c r="J208">
        <v>1.4498987157540831E-2</v>
      </c>
      <c r="K208" t="s">
        <v>14</v>
      </c>
      <c r="U208" t="s">
        <v>1738</v>
      </c>
      <c r="V208" t="s">
        <v>2001</v>
      </c>
      <c r="W208" t="s">
        <v>1775</v>
      </c>
      <c r="X208" t="s">
        <v>19</v>
      </c>
    </row>
    <row r="209" spans="8:24" x14ac:dyDescent="0.45">
      <c r="H209" t="s">
        <v>1857</v>
      </c>
      <c r="I209" t="s">
        <v>632</v>
      </c>
      <c r="J209">
        <v>4.4020087942358744E-9</v>
      </c>
      <c r="K209" t="s">
        <v>14</v>
      </c>
      <c r="U209" t="s">
        <v>1738</v>
      </c>
      <c r="V209" t="s">
        <v>2002</v>
      </c>
      <c r="W209" t="s">
        <v>1775</v>
      </c>
      <c r="X209" t="s">
        <v>19</v>
      </c>
    </row>
    <row r="210" spans="8:24" x14ac:dyDescent="0.45">
      <c r="H210" t="s">
        <v>1859</v>
      </c>
      <c r="I210" t="s">
        <v>632</v>
      </c>
      <c r="J210">
        <v>5.2982630039185002E-4</v>
      </c>
      <c r="K210" t="s">
        <v>14</v>
      </c>
      <c r="U210" t="s">
        <v>1738</v>
      </c>
      <c r="V210" t="s">
        <v>2003</v>
      </c>
      <c r="W210" t="s">
        <v>1775</v>
      </c>
      <c r="X210" t="s">
        <v>19</v>
      </c>
    </row>
    <row r="211" spans="8:24" x14ac:dyDescent="0.45">
      <c r="H211" t="s">
        <v>1861</v>
      </c>
      <c r="I211" t="s">
        <v>632</v>
      </c>
      <c r="J211">
        <v>0.22506741854325624</v>
      </c>
      <c r="K211" t="s">
        <v>14</v>
      </c>
      <c r="U211" t="s">
        <v>1738</v>
      </c>
      <c r="V211" t="s">
        <v>2004</v>
      </c>
      <c r="W211" t="s">
        <v>1775</v>
      </c>
      <c r="X211" t="s">
        <v>19</v>
      </c>
    </row>
    <row r="212" spans="8:24" x14ac:dyDescent="0.45">
      <c r="H212" t="s">
        <v>1863</v>
      </c>
      <c r="I212" t="s">
        <v>738</v>
      </c>
      <c r="J212">
        <v>0.22129961796242309</v>
      </c>
      <c r="K212" t="s">
        <v>14</v>
      </c>
      <c r="U212" t="s">
        <v>1738</v>
      </c>
      <c r="V212" t="s">
        <v>2005</v>
      </c>
      <c r="W212" t="s">
        <v>1775</v>
      </c>
      <c r="X212" t="s">
        <v>19</v>
      </c>
    </row>
    <row r="213" spans="8:24" x14ac:dyDescent="0.45">
      <c r="H213" t="s">
        <v>1863</v>
      </c>
      <c r="I213" t="s">
        <v>740</v>
      </c>
      <c r="J213">
        <v>0.33337400759921781</v>
      </c>
      <c r="K213" t="s">
        <v>14</v>
      </c>
      <c r="U213" t="s">
        <v>1738</v>
      </c>
      <c r="V213" t="s">
        <v>2005</v>
      </c>
      <c r="W213" t="s">
        <v>1867</v>
      </c>
      <c r="X213" t="s">
        <v>19</v>
      </c>
    </row>
    <row r="214" spans="8:24" x14ac:dyDescent="0.45">
      <c r="H214" t="s">
        <v>1866</v>
      </c>
      <c r="I214" t="s">
        <v>738</v>
      </c>
      <c r="J214">
        <v>1.2371755414452699E-2</v>
      </c>
      <c r="K214" t="s">
        <v>14</v>
      </c>
      <c r="U214" t="s">
        <v>1738</v>
      </c>
      <c r="V214" t="s">
        <v>2006</v>
      </c>
      <c r="W214" t="s">
        <v>1775</v>
      </c>
      <c r="X214" t="s">
        <v>19</v>
      </c>
    </row>
    <row r="215" spans="8:24" x14ac:dyDescent="0.45">
      <c r="H215" t="s">
        <v>1866</v>
      </c>
      <c r="I215" t="s">
        <v>740</v>
      </c>
      <c r="J215">
        <v>2.7021693364500999E-3</v>
      </c>
      <c r="K215" t="s">
        <v>14</v>
      </c>
      <c r="U215" t="s">
        <v>1738</v>
      </c>
      <c r="V215" t="s">
        <v>2006</v>
      </c>
      <c r="W215" t="s">
        <v>1867</v>
      </c>
      <c r="X215" t="s">
        <v>19</v>
      </c>
    </row>
    <row r="216" spans="8:24" x14ac:dyDescent="0.45">
      <c r="H216" t="s">
        <v>1869</v>
      </c>
      <c r="I216" t="s">
        <v>738</v>
      </c>
      <c r="J216">
        <v>3.1572513030559998E-3</v>
      </c>
      <c r="K216" t="s">
        <v>14</v>
      </c>
      <c r="U216" t="s">
        <v>1738</v>
      </c>
      <c r="V216" t="s">
        <v>2007</v>
      </c>
      <c r="W216" t="s">
        <v>1775</v>
      </c>
      <c r="X216" t="s">
        <v>19</v>
      </c>
    </row>
    <row r="217" spans="8:24" x14ac:dyDescent="0.45">
      <c r="H217" t="s">
        <v>1869</v>
      </c>
      <c r="I217" t="s">
        <v>740</v>
      </c>
      <c r="J217">
        <v>6.5063281600347004E-3</v>
      </c>
      <c r="K217" t="s">
        <v>14</v>
      </c>
      <c r="U217" t="s">
        <v>1738</v>
      </c>
      <c r="V217" t="s">
        <v>2007</v>
      </c>
      <c r="W217" t="s">
        <v>1867</v>
      </c>
      <c r="X217" t="s">
        <v>19</v>
      </c>
    </row>
    <row r="218" spans="8:24" x14ac:dyDescent="0.45">
      <c r="H218" t="s">
        <v>1871</v>
      </c>
      <c r="I218" t="s">
        <v>738</v>
      </c>
      <c r="J218">
        <v>0.47078407310195342</v>
      </c>
      <c r="K218" t="s">
        <v>14</v>
      </c>
      <c r="U218" t="s">
        <v>1738</v>
      </c>
      <c r="V218" t="s">
        <v>2008</v>
      </c>
      <c r="W218" t="s">
        <v>1867</v>
      </c>
      <c r="X218" t="s">
        <v>19</v>
      </c>
    </row>
    <row r="219" spans="8:24" x14ac:dyDescent="0.45">
      <c r="H219" t="s">
        <v>1871</v>
      </c>
      <c r="I219" t="s">
        <v>740</v>
      </c>
      <c r="J219">
        <v>5.5352135887112602E-2</v>
      </c>
      <c r="K219" t="s">
        <v>14</v>
      </c>
      <c r="U219" t="s">
        <v>1738</v>
      </c>
      <c r="V219" t="s">
        <v>2009</v>
      </c>
      <c r="W219" t="s">
        <v>1867</v>
      </c>
      <c r="X219" t="s">
        <v>19</v>
      </c>
    </row>
    <row r="220" spans="8:24" x14ac:dyDescent="0.45">
      <c r="H220" t="s">
        <v>1874</v>
      </c>
      <c r="I220" t="s">
        <v>738</v>
      </c>
      <c r="J220">
        <v>1.8914329788108301E-2</v>
      </c>
      <c r="K220" t="s">
        <v>14</v>
      </c>
      <c r="U220" t="s">
        <v>1738</v>
      </c>
      <c r="V220" t="s">
        <v>2010</v>
      </c>
      <c r="W220" t="s">
        <v>1867</v>
      </c>
      <c r="X220" t="s">
        <v>19</v>
      </c>
    </row>
    <row r="221" spans="8:24" x14ac:dyDescent="0.45">
      <c r="H221" t="s">
        <v>1874</v>
      </c>
      <c r="I221" t="s">
        <v>740</v>
      </c>
      <c r="J221">
        <v>0.11312133608545361</v>
      </c>
      <c r="K221" t="s">
        <v>14</v>
      </c>
      <c r="U221" t="s">
        <v>1738</v>
      </c>
      <c r="V221" t="s">
        <v>2010</v>
      </c>
      <c r="W221" t="s">
        <v>1775</v>
      </c>
      <c r="X221" t="s">
        <v>17</v>
      </c>
    </row>
    <row r="222" spans="8:24" x14ac:dyDescent="0.45">
      <c r="H222" t="s">
        <v>1877</v>
      </c>
      <c r="I222" t="s">
        <v>738</v>
      </c>
      <c r="J222">
        <v>1.0853847845137699E-2</v>
      </c>
      <c r="K222" t="s">
        <v>14</v>
      </c>
      <c r="U222" t="s">
        <v>1738</v>
      </c>
      <c r="V222" t="s">
        <v>2011</v>
      </c>
      <c r="W222" t="s">
        <v>1867</v>
      </c>
      <c r="X222" t="s">
        <v>19</v>
      </c>
    </row>
    <row r="223" spans="8:24" x14ac:dyDescent="0.45">
      <c r="H223" t="s">
        <v>1877</v>
      </c>
      <c r="I223" t="s">
        <v>740</v>
      </c>
      <c r="J223">
        <v>1.1634576918387614E-9</v>
      </c>
      <c r="K223" t="s">
        <v>14</v>
      </c>
      <c r="U223" t="s">
        <v>1738</v>
      </c>
      <c r="V223" t="s">
        <v>2011</v>
      </c>
      <c r="W223" t="s">
        <v>1775</v>
      </c>
      <c r="X223" t="s">
        <v>17</v>
      </c>
    </row>
    <row r="224" spans="8:24" x14ac:dyDescent="0.45">
      <c r="H224" t="s">
        <v>1879</v>
      </c>
      <c r="I224" t="s">
        <v>738</v>
      </c>
      <c r="J224">
        <v>0.2110002077962963</v>
      </c>
      <c r="K224" t="s">
        <v>14</v>
      </c>
      <c r="U224" t="s">
        <v>1738</v>
      </c>
      <c r="V224" t="s">
        <v>2012</v>
      </c>
      <c r="W224" t="s">
        <v>1779</v>
      </c>
      <c r="X224" t="s">
        <v>19</v>
      </c>
    </row>
    <row r="225" spans="8:24" x14ac:dyDescent="0.45">
      <c r="H225" t="s">
        <v>1879</v>
      </c>
      <c r="I225" t="s">
        <v>740</v>
      </c>
      <c r="J225">
        <v>0.45691498715254941</v>
      </c>
      <c r="K225" t="s">
        <v>14</v>
      </c>
      <c r="U225" t="s">
        <v>1738</v>
      </c>
      <c r="V225" t="s">
        <v>2013</v>
      </c>
      <c r="W225" t="s">
        <v>1779</v>
      </c>
      <c r="X225" t="s">
        <v>19</v>
      </c>
    </row>
    <row r="226" spans="8:24" x14ac:dyDescent="0.45">
      <c r="H226" t="s">
        <v>1882</v>
      </c>
      <c r="I226" t="s">
        <v>738</v>
      </c>
      <c r="J226">
        <v>2.0440268411355499E-2</v>
      </c>
      <c r="K226" t="s">
        <v>14</v>
      </c>
      <c r="U226" t="s">
        <v>1738</v>
      </c>
      <c r="V226" t="s">
        <v>2014</v>
      </c>
      <c r="W226" t="s">
        <v>1779</v>
      </c>
      <c r="X226" t="s">
        <v>19</v>
      </c>
    </row>
    <row r="227" spans="8:24" x14ac:dyDescent="0.45">
      <c r="H227" t="s">
        <v>1882</v>
      </c>
      <c r="I227" t="s">
        <v>740</v>
      </c>
      <c r="J227">
        <v>6.3253357164403997E-3</v>
      </c>
      <c r="K227" t="s">
        <v>14</v>
      </c>
      <c r="U227" t="s">
        <v>1738</v>
      </c>
      <c r="V227" t="s">
        <v>2015</v>
      </c>
      <c r="W227" t="s">
        <v>1779</v>
      </c>
      <c r="X227" t="s">
        <v>19</v>
      </c>
    </row>
    <row r="228" spans="8:24" x14ac:dyDescent="0.45">
      <c r="H228" t="s">
        <v>1884</v>
      </c>
      <c r="I228" t="s">
        <v>738</v>
      </c>
      <c r="J228">
        <v>2.8540186424276001E-3</v>
      </c>
      <c r="K228" t="s">
        <v>14</v>
      </c>
      <c r="U228" t="s">
        <v>1738</v>
      </c>
      <c r="V228" t="s">
        <v>2016</v>
      </c>
      <c r="W228" t="s">
        <v>1779</v>
      </c>
      <c r="X228" t="s">
        <v>19</v>
      </c>
    </row>
    <row r="229" spans="8:24" x14ac:dyDescent="0.45">
      <c r="H229" t="s">
        <v>1884</v>
      </c>
      <c r="I229" t="s">
        <v>740</v>
      </c>
      <c r="J229">
        <v>4.0363331096024918E-5</v>
      </c>
      <c r="K229" t="s">
        <v>14</v>
      </c>
      <c r="U229" t="s">
        <v>1738</v>
      </c>
      <c r="V229" t="s">
        <v>2017</v>
      </c>
      <c r="W229" t="s">
        <v>1779</v>
      </c>
      <c r="X229" t="s">
        <v>19</v>
      </c>
    </row>
    <row r="230" spans="8:24" x14ac:dyDescent="0.45">
      <c r="H230" t="s">
        <v>1886</v>
      </c>
      <c r="I230" t="s">
        <v>738</v>
      </c>
      <c r="J230">
        <v>2.4524158353578002E-3</v>
      </c>
      <c r="K230" t="s">
        <v>14</v>
      </c>
      <c r="U230" t="s">
        <v>1738</v>
      </c>
      <c r="V230" t="s">
        <v>2018</v>
      </c>
      <c r="W230" t="s">
        <v>1779</v>
      </c>
      <c r="X230" t="s">
        <v>19</v>
      </c>
    </row>
    <row r="231" spans="8:24" x14ac:dyDescent="0.45">
      <c r="H231" t="s">
        <v>1886</v>
      </c>
      <c r="I231" t="s">
        <v>740</v>
      </c>
      <c r="J231">
        <v>1.5118277744972999E-3</v>
      </c>
      <c r="K231" t="s">
        <v>14</v>
      </c>
      <c r="U231" t="s">
        <v>1738</v>
      </c>
      <c r="V231" t="s">
        <v>2019</v>
      </c>
      <c r="W231" t="s">
        <v>1779</v>
      </c>
      <c r="X231" t="s">
        <v>19</v>
      </c>
    </row>
    <row r="232" spans="8:24" x14ac:dyDescent="0.45">
      <c r="H232" t="s">
        <v>1889</v>
      </c>
      <c r="I232" t="s">
        <v>738</v>
      </c>
      <c r="J232">
        <v>5.8722138994311002E-3</v>
      </c>
      <c r="K232" t="s">
        <v>14</v>
      </c>
      <c r="U232" t="s">
        <v>1738</v>
      </c>
      <c r="V232" t="s">
        <v>2020</v>
      </c>
      <c r="W232" t="s">
        <v>1779</v>
      </c>
      <c r="X232" t="s">
        <v>19</v>
      </c>
    </row>
    <row r="233" spans="8:24" x14ac:dyDescent="0.45">
      <c r="H233" t="s">
        <v>1889</v>
      </c>
      <c r="I233" t="s">
        <v>740</v>
      </c>
      <c r="J233">
        <v>4.1515077936898001E-3</v>
      </c>
      <c r="K233" t="s">
        <v>14</v>
      </c>
      <c r="U233" t="s">
        <v>1738</v>
      </c>
      <c r="V233" t="s">
        <v>2021</v>
      </c>
      <c r="W233" t="s">
        <v>1779</v>
      </c>
      <c r="X233" t="s">
        <v>19</v>
      </c>
    </row>
    <row r="234" spans="8:24" x14ac:dyDescent="0.45">
      <c r="U234" t="s">
        <v>1738</v>
      </c>
      <c r="V234" t="s">
        <v>2022</v>
      </c>
      <c r="W234" t="s">
        <v>1779</v>
      </c>
      <c r="X234" t="s">
        <v>19</v>
      </c>
    </row>
    <row r="235" spans="8:24" x14ac:dyDescent="0.45">
      <c r="U235" t="s">
        <v>1738</v>
      </c>
      <c r="V235" t="s">
        <v>2022</v>
      </c>
      <c r="W235" t="s">
        <v>1878</v>
      </c>
      <c r="X235" t="s">
        <v>19</v>
      </c>
    </row>
    <row r="236" spans="8:24" x14ac:dyDescent="0.45">
      <c r="U236" t="s">
        <v>1738</v>
      </c>
      <c r="V236" t="s">
        <v>2023</v>
      </c>
      <c r="W236" t="s">
        <v>1779</v>
      </c>
      <c r="X236" t="s">
        <v>19</v>
      </c>
    </row>
    <row r="237" spans="8:24" x14ac:dyDescent="0.45">
      <c r="U237" t="s">
        <v>1738</v>
      </c>
      <c r="V237" t="s">
        <v>2023</v>
      </c>
      <c r="W237" t="s">
        <v>1878</v>
      </c>
      <c r="X237" t="s">
        <v>19</v>
      </c>
    </row>
    <row r="238" spans="8:24" x14ac:dyDescent="0.45">
      <c r="U238" t="s">
        <v>1738</v>
      </c>
      <c r="V238" t="s">
        <v>2024</v>
      </c>
      <c r="W238" t="s">
        <v>1779</v>
      </c>
      <c r="X238" t="s">
        <v>19</v>
      </c>
    </row>
    <row r="239" spans="8:24" x14ac:dyDescent="0.45">
      <c r="U239" t="s">
        <v>1738</v>
      </c>
      <c r="V239" t="s">
        <v>2024</v>
      </c>
      <c r="W239" t="s">
        <v>1878</v>
      </c>
      <c r="X239" t="s">
        <v>19</v>
      </c>
    </row>
    <row r="240" spans="8:24" x14ac:dyDescent="0.45">
      <c r="U240" t="s">
        <v>1738</v>
      </c>
      <c r="V240" t="s">
        <v>2025</v>
      </c>
      <c r="W240" t="s">
        <v>1878</v>
      </c>
      <c r="X240" t="s">
        <v>19</v>
      </c>
    </row>
    <row r="241" spans="21:24" x14ac:dyDescent="0.45">
      <c r="U241" t="s">
        <v>1738</v>
      </c>
      <c r="V241" t="s">
        <v>2026</v>
      </c>
      <c r="W241" t="s">
        <v>1878</v>
      </c>
      <c r="X241" t="s">
        <v>19</v>
      </c>
    </row>
    <row r="242" spans="21:24" x14ac:dyDescent="0.45">
      <c r="U242" t="s">
        <v>1738</v>
      </c>
      <c r="V242" t="s">
        <v>2027</v>
      </c>
      <c r="W242" t="s">
        <v>1878</v>
      </c>
      <c r="X242" t="s">
        <v>19</v>
      </c>
    </row>
    <row r="243" spans="21:24" x14ac:dyDescent="0.45">
      <c r="U243" t="s">
        <v>1738</v>
      </c>
      <c r="V243" t="s">
        <v>2027</v>
      </c>
      <c r="W243" t="s">
        <v>1779</v>
      </c>
      <c r="X243" t="s">
        <v>17</v>
      </c>
    </row>
    <row r="244" spans="21:24" x14ac:dyDescent="0.45">
      <c r="U244" t="s">
        <v>1738</v>
      </c>
      <c r="V244" t="s">
        <v>2028</v>
      </c>
      <c r="W244" t="s">
        <v>1878</v>
      </c>
      <c r="X244" t="s">
        <v>19</v>
      </c>
    </row>
    <row r="245" spans="21:24" x14ac:dyDescent="0.45">
      <c r="U245" t="s">
        <v>1738</v>
      </c>
      <c r="V245" t="s">
        <v>2028</v>
      </c>
      <c r="W245" t="s">
        <v>1779</v>
      </c>
      <c r="X245" t="s">
        <v>17</v>
      </c>
    </row>
    <row r="246" spans="21:24" x14ac:dyDescent="0.45">
      <c r="U246" t="s">
        <v>1738</v>
      </c>
      <c r="V246" t="s">
        <v>2029</v>
      </c>
      <c r="W246" t="s">
        <v>1783</v>
      </c>
      <c r="X246" t="s">
        <v>19</v>
      </c>
    </row>
    <row r="247" spans="21:24" x14ac:dyDescent="0.45">
      <c r="U247" t="s">
        <v>1738</v>
      </c>
      <c r="V247" t="s">
        <v>2030</v>
      </c>
      <c r="W247" t="s">
        <v>1783</v>
      </c>
      <c r="X247" t="s">
        <v>19</v>
      </c>
    </row>
    <row r="248" spans="21:24" x14ac:dyDescent="0.45">
      <c r="U248" t="s">
        <v>1738</v>
      </c>
      <c r="V248" t="s">
        <v>2031</v>
      </c>
      <c r="W248" t="s">
        <v>1783</v>
      </c>
      <c r="X248" t="s">
        <v>19</v>
      </c>
    </row>
    <row r="249" spans="21:24" x14ac:dyDescent="0.45">
      <c r="U249" t="s">
        <v>1738</v>
      </c>
      <c r="V249" t="s">
        <v>2032</v>
      </c>
      <c r="W249" t="s">
        <v>1783</v>
      </c>
      <c r="X249" t="s">
        <v>19</v>
      </c>
    </row>
    <row r="250" spans="21:24" x14ac:dyDescent="0.45">
      <c r="U250" t="s">
        <v>1738</v>
      </c>
      <c r="V250" t="s">
        <v>2033</v>
      </c>
      <c r="W250" t="s">
        <v>1783</v>
      </c>
      <c r="X250" t="s">
        <v>19</v>
      </c>
    </row>
    <row r="251" spans="21:24" x14ac:dyDescent="0.45">
      <c r="U251" t="s">
        <v>1738</v>
      </c>
      <c r="V251" t="s">
        <v>2034</v>
      </c>
      <c r="W251" t="s">
        <v>1783</v>
      </c>
      <c r="X251" t="s">
        <v>19</v>
      </c>
    </row>
    <row r="252" spans="21:24" x14ac:dyDescent="0.45">
      <c r="U252" t="s">
        <v>1738</v>
      </c>
      <c r="V252" t="s">
        <v>2035</v>
      </c>
      <c r="W252" t="s">
        <v>1783</v>
      </c>
      <c r="X252" t="s">
        <v>19</v>
      </c>
    </row>
    <row r="253" spans="21:24" x14ac:dyDescent="0.45">
      <c r="U253" t="s">
        <v>1738</v>
      </c>
      <c r="V253" t="s">
        <v>2036</v>
      </c>
      <c r="W253" t="s">
        <v>1783</v>
      </c>
      <c r="X253" t="s">
        <v>19</v>
      </c>
    </row>
    <row r="254" spans="21:24" x14ac:dyDescent="0.45">
      <c r="U254" t="s">
        <v>1738</v>
      </c>
      <c r="V254" t="s">
        <v>2037</v>
      </c>
      <c r="W254" t="s">
        <v>1783</v>
      </c>
      <c r="X254" t="s">
        <v>19</v>
      </c>
    </row>
    <row r="255" spans="21:24" x14ac:dyDescent="0.45">
      <c r="U255" t="s">
        <v>1738</v>
      </c>
      <c r="V255" t="s">
        <v>2038</v>
      </c>
      <c r="W255" t="s">
        <v>1783</v>
      </c>
      <c r="X255" t="s">
        <v>19</v>
      </c>
    </row>
    <row r="256" spans="21:24" x14ac:dyDescent="0.45">
      <c r="U256" t="s">
        <v>1738</v>
      </c>
      <c r="V256" t="s">
        <v>2039</v>
      </c>
      <c r="W256" t="s">
        <v>1783</v>
      </c>
      <c r="X256" t="s">
        <v>19</v>
      </c>
    </row>
    <row r="257" spans="21:24" x14ac:dyDescent="0.45">
      <c r="U257" t="s">
        <v>1738</v>
      </c>
      <c r="V257" t="s">
        <v>2039</v>
      </c>
      <c r="W257" t="s">
        <v>2040</v>
      </c>
      <c r="X257" t="s">
        <v>19</v>
      </c>
    </row>
    <row r="258" spans="21:24" x14ac:dyDescent="0.45">
      <c r="U258" t="s">
        <v>1738</v>
      </c>
      <c r="V258" t="s">
        <v>2041</v>
      </c>
      <c r="W258" t="s">
        <v>1783</v>
      </c>
      <c r="X258" t="s">
        <v>19</v>
      </c>
    </row>
    <row r="259" spans="21:24" x14ac:dyDescent="0.45">
      <c r="U259" t="s">
        <v>1738</v>
      </c>
      <c r="V259" t="s">
        <v>2041</v>
      </c>
      <c r="W259" t="s">
        <v>2040</v>
      </c>
      <c r="X259" t="s">
        <v>19</v>
      </c>
    </row>
    <row r="260" spans="21:24" x14ac:dyDescent="0.45">
      <c r="U260" t="s">
        <v>1738</v>
      </c>
      <c r="V260" t="s">
        <v>2042</v>
      </c>
      <c r="W260" t="s">
        <v>1783</v>
      </c>
      <c r="X260" t="s">
        <v>19</v>
      </c>
    </row>
    <row r="261" spans="21:24" x14ac:dyDescent="0.45">
      <c r="U261" t="s">
        <v>1738</v>
      </c>
      <c r="V261" t="s">
        <v>2042</v>
      </c>
      <c r="W261" t="s">
        <v>2040</v>
      </c>
      <c r="X261" t="s">
        <v>19</v>
      </c>
    </row>
    <row r="262" spans="21:24" x14ac:dyDescent="0.45">
      <c r="U262" t="s">
        <v>1738</v>
      </c>
      <c r="V262" t="s">
        <v>2043</v>
      </c>
      <c r="W262" t="s">
        <v>2040</v>
      </c>
      <c r="X262" t="s">
        <v>19</v>
      </c>
    </row>
    <row r="263" spans="21:24" x14ac:dyDescent="0.45">
      <c r="U263" t="s">
        <v>1738</v>
      </c>
      <c r="V263" t="s">
        <v>2044</v>
      </c>
      <c r="W263" t="s">
        <v>2040</v>
      </c>
      <c r="X263" t="s">
        <v>19</v>
      </c>
    </row>
    <row r="264" spans="21:24" x14ac:dyDescent="0.45">
      <c r="U264" t="s">
        <v>1738</v>
      </c>
      <c r="V264" t="s">
        <v>2045</v>
      </c>
      <c r="W264" t="s">
        <v>2040</v>
      </c>
      <c r="X264" t="s">
        <v>19</v>
      </c>
    </row>
    <row r="265" spans="21:24" x14ac:dyDescent="0.45">
      <c r="U265" t="s">
        <v>1738</v>
      </c>
      <c r="V265" t="s">
        <v>2045</v>
      </c>
      <c r="W265" t="s">
        <v>1783</v>
      </c>
      <c r="X265" t="s">
        <v>17</v>
      </c>
    </row>
    <row r="266" spans="21:24" x14ac:dyDescent="0.45">
      <c r="U266" t="s">
        <v>1738</v>
      </c>
      <c r="V266" t="s">
        <v>2046</v>
      </c>
      <c r="W266" t="s">
        <v>2040</v>
      </c>
      <c r="X266" t="s">
        <v>19</v>
      </c>
    </row>
    <row r="267" spans="21:24" x14ac:dyDescent="0.45">
      <c r="U267" t="s">
        <v>1738</v>
      </c>
      <c r="V267" t="s">
        <v>2046</v>
      </c>
      <c r="W267" t="s">
        <v>1783</v>
      </c>
      <c r="X267" t="s">
        <v>17</v>
      </c>
    </row>
    <row r="268" spans="21:24" x14ac:dyDescent="0.45">
      <c r="U268" t="s">
        <v>1738</v>
      </c>
      <c r="V268" t="s">
        <v>2047</v>
      </c>
      <c r="W268" t="s">
        <v>1787</v>
      </c>
      <c r="X268" t="s">
        <v>19</v>
      </c>
    </row>
    <row r="269" spans="21:24" x14ac:dyDescent="0.45">
      <c r="U269" t="s">
        <v>1738</v>
      </c>
      <c r="V269" t="s">
        <v>2048</v>
      </c>
      <c r="W269" t="s">
        <v>1787</v>
      </c>
      <c r="X269" t="s">
        <v>19</v>
      </c>
    </row>
    <row r="270" spans="21:24" x14ac:dyDescent="0.45">
      <c r="U270" t="s">
        <v>1738</v>
      </c>
      <c r="V270" t="s">
        <v>2049</v>
      </c>
      <c r="W270" t="s">
        <v>1787</v>
      </c>
      <c r="X270" t="s">
        <v>19</v>
      </c>
    </row>
    <row r="271" spans="21:24" x14ac:dyDescent="0.45">
      <c r="U271" t="s">
        <v>1738</v>
      </c>
      <c r="V271" t="s">
        <v>2050</v>
      </c>
      <c r="W271" t="s">
        <v>1787</v>
      </c>
      <c r="X271" t="s">
        <v>19</v>
      </c>
    </row>
    <row r="272" spans="21:24" x14ac:dyDescent="0.45">
      <c r="U272" t="s">
        <v>1738</v>
      </c>
      <c r="V272" t="s">
        <v>2051</v>
      </c>
      <c r="W272" t="s">
        <v>1787</v>
      </c>
      <c r="X272" t="s">
        <v>19</v>
      </c>
    </row>
    <row r="273" spans="21:24" x14ac:dyDescent="0.45">
      <c r="U273" t="s">
        <v>1738</v>
      </c>
      <c r="V273" t="s">
        <v>2052</v>
      </c>
      <c r="W273" t="s">
        <v>1787</v>
      </c>
      <c r="X273" t="s">
        <v>19</v>
      </c>
    </row>
    <row r="274" spans="21:24" x14ac:dyDescent="0.45">
      <c r="U274" t="s">
        <v>1738</v>
      </c>
      <c r="V274" t="s">
        <v>2053</v>
      </c>
      <c r="W274" t="s">
        <v>1787</v>
      </c>
      <c r="X274" t="s">
        <v>19</v>
      </c>
    </row>
    <row r="275" spans="21:24" x14ac:dyDescent="0.45">
      <c r="U275" t="s">
        <v>1738</v>
      </c>
      <c r="V275" t="s">
        <v>2054</v>
      </c>
      <c r="W275" t="s">
        <v>1787</v>
      </c>
      <c r="X275" t="s">
        <v>19</v>
      </c>
    </row>
    <row r="276" spans="21:24" x14ac:dyDescent="0.45">
      <c r="U276" t="s">
        <v>1738</v>
      </c>
      <c r="V276" t="s">
        <v>2055</v>
      </c>
      <c r="W276" t="s">
        <v>1787</v>
      </c>
      <c r="X276" t="s">
        <v>19</v>
      </c>
    </row>
    <row r="277" spans="21:24" x14ac:dyDescent="0.45">
      <c r="U277" t="s">
        <v>1738</v>
      </c>
      <c r="V277" t="s">
        <v>2056</v>
      </c>
      <c r="W277" t="s">
        <v>1787</v>
      </c>
      <c r="X277" t="s">
        <v>19</v>
      </c>
    </row>
    <row r="278" spans="21:24" x14ac:dyDescent="0.45">
      <c r="U278" t="s">
        <v>1738</v>
      </c>
      <c r="V278" t="s">
        <v>2057</v>
      </c>
      <c r="W278" t="s">
        <v>1787</v>
      </c>
      <c r="X278" t="s">
        <v>19</v>
      </c>
    </row>
    <row r="279" spans="21:24" x14ac:dyDescent="0.45">
      <c r="U279" t="s">
        <v>1738</v>
      </c>
      <c r="V279" t="s">
        <v>2057</v>
      </c>
      <c r="W279" t="s">
        <v>1880</v>
      </c>
      <c r="X279" t="s">
        <v>19</v>
      </c>
    </row>
    <row r="280" spans="21:24" x14ac:dyDescent="0.45">
      <c r="U280" t="s">
        <v>1738</v>
      </c>
      <c r="V280" t="s">
        <v>2058</v>
      </c>
      <c r="W280" t="s">
        <v>1787</v>
      </c>
      <c r="X280" t="s">
        <v>19</v>
      </c>
    </row>
    <row r="281" spans="21:24" x14ac:dyDescent="0.45">
      <c r="U281" t="s">
        <v>1738</v>
      </c>
      <c r="V281" t="s">
        <v>2058</v>
      </c>
      <c r="W281" t="s">
        <v>1880</v>
      </c>
      <c r="X281" t="s">
        <v>19</v>
      </c>
    </row>
    <row r="282" spans="21:24" x14ac:dyDescent="0.45">
      <c r="U282" t="s">
        <v>1738</v>
      </c>
      <c r="V282" t="s">
        <v>2059</v>
      </c>
      <c r="W282" t="s">
        <v>1787</v>
      </c>
      <c r="X282" t="s">
        <v>19</v>
      </c>
    </row>
    <row r="283" spans="21:24" x14ac:dyDescent="0.45">
      <c r="U283" t="s">
        <v>1738</v>
      </c>
      <c r="V283" t="s">
        <v>2059</v>
      </c>
      <c r="W283" t="s">
        <v>1880</v>
      </c>
      <c r="X283" t="s">
        <v>19</v>
      </c>
    </row>
    <row r="284" spans="21:24" x14ac:dyDescent="0.45">
      <c r="U284" t="s">
        <v>1738</v>
      </c>
      <c r="V284" t="s">
        <v>2060</v>
      </c>
      <c r="W284" t="s">
        <v>1880</v>
      </c>
      <c r="X284" t="s">
        <v>19</v>
      </c>
    </row>
    <row r="285" spans="21:24" x14ac:dyDescent="0.45">
      <c r="U285" t="s">
        <v>1738</v>
      </c>
      <c r="V285" t="s">
        <v>2061</v>
      </c>
      <c r="W285" t="s">
        <v>1880</v>
      </c>
      <c r="X285" t="s">
        <v>19</v>
      </c>
    </row>
    <row r="286" spans="21:24" x14ac:dyDescent="0.45">
      <c r="U286" t="s">
        <v>1738</v>
      </c>
      <c r="V286" t="s">
        <v>2062</v>
      </c>
      <c r="W286" t="s">
        <v>1880</v>
      </c>
      <c r="X286" t="s">
        <v>19</v>
      </c>
    </row>
    <row r="287" spans="21:24" x14ac:dyDescent="0.45">
      <c r="U287" t="s">
        <v>1738</v>
      </c>
      <c r="V287" t="s">
        <v>2062</v>
      </c>
      <c r="W287" t="s">
        <v>1787</v>
      </c>
      <c r="X287" t="s">
        <v>17</v>
      </c>
    </row>
    <row r="288" spans="21:24" x14ac:dyDescent="0.45">
      <c r="U288" t="s">
        <v>1738</v>
      </c>
      <c r="V288" t="s">
        <v>2063</v>
      </c>
      <c r="W288" t="s">
        <v>1880</v>
      </c>
      <c r="X288" t="s">
        <v>19</v>
      </c>
    </row>
    <row r="289" spans="21:24" x14ac:dyDescent="0.45">
      <c r="U289" t="s">
        <v>1738</v>
      </c>
      <c r="V289" t="s">
        <v>2063</v>
      </c>
      <c r="W289" t="s">
        <v>1787</v>
      </c>
      <c r="X289" t="s">
        <v>17</v>
      </c>
    </row>
    <row r="290" spans="21:24" x14ac:dyDescent="0.45">
      <c r="U290" t="s">
        <v>1738</v>
      </c>
      <c r="V290" t="s">
        <v>2064</v>
      </c>
      <c r="W290" t="s">
        <v>1739</v>
      </c>
      <c r="X290" t="s">
        <v>19</v>
      </c>
    </row>
    <row r="291" spans="21:24" x14ac:dyDescent="0.45">
      <c r="U291" t="s">
        <v>1738</v>
      </c>
      <c r="V291" t="s">
        <v>2064</v>
      </c>
      <c r="W291" t="s">
        <v>1739</v>
      </c>
      <c r="X291" t="s">
        <v>17</v>
      </c>
    </row>
    <row r="292" spans="21:24" x14ac:dyDescent="0.45">
      <c r="U292" t="s">
        <v>1738</v>
      </c>
      <c r="V292" t="s">
        <v>2065</v>
      </c>
      <c r="W292" t="s">
        <v>1739</v>
      </c>
      <c r="X292" t="s">
        <v>19</v>
      </c>
    </row>
    <row r="293" spans="21:24" x14ac:dyDescent="0.45">
      <c r="U293" t="s">
        <v>1738</v>
      </c>
      <c r="V293" t="s">
        <v>2065</v>
      </c>
      <c r="W293" t="s">
        <v>1739</v>
      </c>
      <c r="X293" t="s">
        <v>17</v>
      </c>
    </row>
    <row r="294" spans="21:24" x14ac:dyDescent="0.45">
      <c r="U294" t="s">
        <v>1738</v>
      </c>
      <c r="V294" t="s">
        <v>2066</v>
      </c>
      <c r="W294" t="s">
        <v>1743</v>
      </c>
      <c r="X294" t="s">
        <v>19</v>
      </c>
    </row>
    <row r="295" spans="21:24" x14ac:dyDescent="0.45">
      <c r="U295" t="s">
        <v>1738</v>
      </c>
      <c r="V295" t="s">
        <v>2066</v>
      </c>
      <c r="W295" t="s">
        <v>1743</v>
      </c>
      <c r="X295" t="s">
        <v>17</v>
      </c>
    </row>
    <row r="296" spans="21:24" x14ac:dyDescent="0.45">
      <c r="U296" t="s">
        <v>1738</v>
      </c>
      <c r="V296" t="s">
        <v>2067</v>
      </c>
      <c r="W296" t="s">
        <v>1743</v>
      </c>
      <c r="X296" t="s">
        <v>19</v>
      </c>
    </row>
    <row r="297" spans="21:24" x14ac:dyDescent="0.45">
      <c r="U297" t="s">
        <v>1738</v>
      </c>
      <c r="V297" t="s">
        <v>2067</v>
      </c>
      <c r="W297" t="s">
        <v>1743</v>
      </c>
      <c r="X297" t="s">
        <v>17</v>
      </c>
    </row>
    <row r="298" spans="21:24" x14ac:dyDescent="0.45">
      <c r="U298" t="s">
        <v>1738</v>
      </c>
      <c r="V298" t="s">
        <v>2068</v>
      </c>
      <c r="W298" t="s">
        <v>1747</v>
      </c>
      <c r="X298" t="s">
        <v>19</v>
      </c>
    </row>
    <row r="299" spans="21:24" x14ac:dyDescent="0.45">
      <c r="U299" t="s">
        <v>1738</v>
      </c>
      <c r="V299" t="s">
        <v>2068</v>
      </c>
      <c r="W299" t="s">
        <v>1747</v>
      </c>
      <c r="X299" t="s">
        <v>17</v>
      </c>
    </row>
    <row r="300" spans="21:24" x14ac:dyDescent="0.45">
      <c r="U300" t="s">
        <v>1738</v>
      </c>
      <c r="V300" t="s">
        <v>2069</v>
      </c>
      <c r="W300" t="s">
        <v>1747</v>
      </c>
      <c r="X300" t="s">
        <v>19</v>
      </c>
    </row>
    <row r="301" spans="21:24" x14ac:dyDescent="0.45">
      <c r="U301" t="s">
        <v>1738</v>
      </c>
      <c r="V301" t="s">
        <v>2069</v>
      </c>
      <c r="W301" t="s">
        <v>1747</v>
      </c>
      <c r="X301" t="s">
        <v>17</v>
      </c>
    </row>
    <row r="302" spans="21:24" x14ac:dyDescent="0.45">
      <c r="U302" t="s">
        <v>1738</v>
      </c>
      <c r="V302" t="s">
        <v>2070</v>
      </c>
      <c r="W302" t="s">
        <v>1751</v>
      </c>
      <c r="X302" t="s">
        <v>19</v>
      </c>
    </row>
    <row r="303" spans="21:24" x14ac:dyDescent="0.45">
      <c r="U303" t="s">
        <v>1738</v>
      </c>
      <c r="V303" t="s">
        <v>2070</v>
      </c>
      <c r="W303" t="s">
        <v>1751</v>
      </c>
      <c r="X303" t="s">
        <v>17</v>
      </c>
    </row>
    <row r="304" spans="21:24" x14ac:dyDescent="0.45">
      <c r="U304" t="s">
        <v>1738</v>
      </c>
      <c r="V304" t="s">
        <v>2071</v>
      </c>
      <c r="W304" t="s">
        <v>1751</v>
      </c>
      <c r="X304" t="s">
        <v>19</v>
      </c>
    </row>
    <row r="305" spans="21:24" x14ac:dyDescent="0.45">
      <c r="U305" t="s">
        <v>1738</v>
      </c>
      <c r="V305" t="s">
        <v>2071</v>
      </c>
      <c r="W305" t="s">
        <v>1751</v>
      </c>
      <c r="X305" t="s">
        <v>17</v>
      </c>
    </row>
    <row r="306" spans="21:24" x14ac:dyDescent="0.45">
      <c r="U306" t="s">
        <v>1738</v>
      </c>
      <c r="V306" t="s">
        <v>2072</v>
      </c>
      <c r="W306" t="s">
        <v>1755</v>
      </c>
      <c r="X306" t="s">
        <v>19</v>
      </c>
    </row>
    <row r="307" spans="21:24" x14ac:dyDescent="0.45">
      <c r="U307" t="s">
        <v>1738</v>
      </c>
      <c r="V307" t="s">
        <v>2072</v>
      </c>
      <c r="W307" t="s">
        <v>1755</v>
      </c>
      <c r="X307" t="s">
        <v>17</v>
      </c>
    </row>
    <row r="308" spans="21:24" x14ac:dyDescent="0.45">
      <c r="U308" t="s">
        <v>1738</v>
      </c>
      <c r="V308" t="s">
        <v>2073</v>
      </c>
      <c r="W308" t="s">
        <v>1755</v>
      </c>
      <c r="X308" t="s">
        <v>19</v>
      </c>
    </row>
    <row r="309" spans="21:24" x14ac:dyDescent="0.45">
      <c r="U309" t="s">
        <v>1738</v>
      </c>
      <c r="V309" t="s">
        <v>2073</v>
      </c>
      <c r="W309" t="s">
        <v>1755</v>
      </c>
      <c r="X309" t="s">
        <v>17</v>
      </c>
    </row>
    <row r="310" spans="21:24" x14ac:dyDescent="0.45">
      <c r="U310" t="s">
        <v>1738</v>
      </c>
      <c r="V310" t="s">
        <v>2074</v>
      </c>
      <c r="W310" t="s">
        <v>1759</v>
      </c>
      <c r="X310" t="s">
        <v>19</v>
      </c>
    </row>
    <row r="311" spans="21:24" x14ac:dyDescent="0.45">
      <c r="U311" t="s">
        <v>1738</v>
      </c>
      <c r="V311" t="s">
        <v>2074</v>
      </c>
      <c r="W311" t="s">
        <v>1759</v>
      </c>
      <c r="X311" t="s">
        <v>17</v>
      </c>
    </row>
    <row r="312" spans="21:24" x14ac:dyDescent="0.45">
      <c r="U312" t="s">
        <v>1738</v>
      </c>
      <c r="V312" t="s">
        <v>2075</v>
      </c>
      <c r="W312" t="s">
        <v>1759</v>
      </c>
      <c r="X312" t="s">
        <v>19</v>
      </c>
    </row>
    <row r="313" spans="21:24" x14ac:dyDescent="0.45">
      <c r="U313" t="s">
        <v>1738</v>
      </c>
      <c r="V313" t="s">
        <v>2075</v>
      </c>
      <c r="W313" t="s">
        <v>1759</v>
      </c>
      <c r="X313" t="s">
        <v>17</v>
      </c>
    </row>
    <row r="314" spans="21:24" x14ac:dyDescent="0.45">
      <c r="U314" t="s">
        <v>1738</v>
      </c>
      <c r="V314" t="s">
        <v>2076</v>
      </c>
      <c r="W314" t="s">
        <v>1763</v>
      </c>
      <c r="X314" t="s">
        <v>19</v>
      </c>
    </row>
    <row r="315" spans="21:24" x14ac:dyDescent="0.45">
      <c r="U315" t="s">
        <v>1738</v>
      </c>
      <c r="V315" t="s">
        <v>2076</v>
      </c>
      <c r="W315" t="s">
        <v>1763</v>
      </c>
      <c r="X315" t="s">
        <v>17</v>
      </c>
    </row>
    <row r="316" spans="21:24" x14ac:dyDescent="0.45">
      <c r="U316" t="s">
        <v>1738</v>
      </c>
      <c r="V316" t="s">
        <v>2077</v>
      </c>
      <c r="W316" t="s">
        <v>1763</v>
      </c>
      <c r="X316" t="s">
        <v>19</v>
      </c>
    </row>
    <row r="317" spans="21:24" x14ac:dyDescent="0.45">
      <c r="U317" t="s">
        <v>1738</v>
      </c>
      <c r="V317" t="s">
        <v>2077</v>
      </c>
      <c r="W317" t="s">
        <v>1763</v>
      </c>
      <c r="X317" t="s">
        <v>17</v>
      </c>
    </row>
    <row r="318" spans="21:24" x14ac:dyDescent="0.45">
      <c r="U318" t="s">
        <v>1738</v>
      </c>
      <c r="V318" t="s">
        <v>2078</v>
      </c>
      <c r="W318" t="s">
        <v>1767</v>
      </c>
      <c r="X318" t="s">
        <v>19</v>
      </c>
    </row>
    <row r="319" spans="21:24" x14ac:dyDescent="0.45">
      <c r="U319" t="s">
        <v>1738</v>
      </c>
      <c r="V319" t="s">
        <v>2078</v>
      </c>
      <c r="W319" t="s">
        <v>1767</v>
      </c>
      <c r="X319" t="s">
        <v>17</v>
      </c>
    </row>
    <row r="320" spans="21:24" x14ac:dyDescent="0.45">
      <c r="U320" t="s">
        <v>1738</v>
      </c>
      <c r="V320" t="s">
        <v>2079</v>
      </c>
      <c r="W320" t="s">
        <v>1767</v>
      </c>
      <c r="X320" t="s">
        <v>19</v>
      </c>
    </row>
    <row r="321" spans="21:24" x14ac:dyDescent="0.45">
      <c r="U321" t="s">
        <v>1738</v>
      </c>
      <c r="V321" t="s">
        <v>2079</v>
      </c>
      <c r="W321" t="s">
        <v>1767</v>
      </c>
      <c r="X321" t="s">
        <v>17</v>
      </c>
    </row>
    <row r="322" spans="21:24" x14ac:dyDescent="0.45">
      <c r="U322" t="s">
        <v>1738</v>
      </c>
      <c r="V322" t="s">
        <v>2080</v>
      </c>
      <c r="W322" t="s">
        <v>1771</v>
      </c>
      <c r="X322" t="s">
        <v>19</v>
      </c>
    </row>
    <row r="323" spans="21:24" x14ac:dyDescent="0.45">
      <c r="U323" t="s">
        <v>1738</v>
      </c>
      <c r="V323" t="s">
        <v>2080</v>
      </c>
      <c r="W323" t="s">
        <v>1771</v>
      </c>
      <c r="X323" t="s">
        <v>17</v>
      </c>
    </row>
    <row r="324" spans="21:24" x14ac:dyDescent="0.45">
      <c r="U324" t="s">
        <v>1738</v>
      </c>
      <c r="V324" t="s">
        <v>2081</v>
      </c>
      <c r="W324" t="s">
        <v>1771</v>
      </c>
      <c r="X324" t="s">
        <v>19</v>
      </c>
    </row>
    <row r="325" spans="21:24" x14ac:dyDescent="0.45">
      <c r="U325" t="s">
        <v>1738</v>
      </c>
      <c r="V325" t="s">
        <v>2081</v>
      </c>
      <c r="W325" t="s">
        <v>1771</v>
      </c>
      <c r="X325" t="s">
        <v>17</v>
      </c>
    </row>
    <row r="326" spans="21:24" x14ac:dyDescent="0.45">
      <c r="U326" t="s">
        <v>1738</v>
      </c>
      <c r="V326" t="s">
        <v>2082</v>
      </c>
      <c r="W326" t="s">
        <v>1775</v>
      </c>
      <c r="X326" t="s">
        <v>19</v>
      </c>
    </row>
    <row r="327" spans="21:24" x14ac:dyDescent="0.45">
      <c r="U327" t="s">
        <v>1738</v>
      </c>
      <c r="V327" t="s">
        <v>2082</v>
      </c>
      <c r="W327" t="s">
        <v>1775</v>
      </c>
      <c r="X327" t="s">
        <v>17</v>
      </c>
    </row>
    <row r="328" spans="21:24" x14ac:dyDescent="0.45">
      <c r="U328" t="s">
        <v>1738</v>
      </c>
      <c r="V328" t="s">
        <v>2083</v>
      </c>
      <c r="W328" t="s">
        <v>1775</v>
      </c>
      <c r="X328" t="s">
        <v>19</v>
      </c>
    </row>
    <row r="329" spans="21:24" x14ac:dyDescent="0.45">
      <c r="U329" t="s">
        <v>1738</v>
      </c>
      <c r="V329" t="s">
        <v>2083</v>
      </c>
      <c r="W329" t="s">
        <v>1775</v>
      </c>
      <c r="X329" t="s">
        <v>17</v>
      </c>
    </row>
    <row r="330" spans="21:24" x14ac:dyDescent="0.45">
      <c r="U330" t="s">
        <v>1738</v>
      </c>
      <c r="V330" t="s">
        <v>2084</v>
      </c>
      <c r="W330" t="s">
        <v>1779</v>
      </c>
      <c r="X330" t="s">
        <v>19</v>
      </c>
    </row>
    <row r="331" spans="21:24" x14ac:dyDescent="0.45">
      <c r="U331" t="s">
        <v>1738</v>
      </c>
      <c r="V331" t="s">
        <v>2084</v>
      </c>
      <c r="W331" t="s">
        <v>1779</v>
      </c>
      <c r="X331" t="s">
        <v>17</v>
      </c>
    </row>
    <row r="332" spans="21:24" x14ac:dyDescent="0.45">
      <c r="U332" t="s">
        <v>1738</v>
      </c>
      <c r="V332" t="s">
        <v>2085</v>
      </c>
      <c r="W332" t="s">
        <v>1779</v>
      </c>
      <c r="X332" t="s">
        <v>19</v>
      </c>
    </row>
    <row r="333" spans="21:24" x14ac:dyDescent="0.45">
      <c r="U333" t="s">
        <v>1738</v>
      </c>
      <c r="V333" t="s">
        <v>2085</v>
      </c>
      <c r="W333" t="s">
        <v>1779</v>
      </c>
      <c r="X333" t="s">
        <v>17</v>
      </c>
    </row>
    <row r="334" spans="21:24" x14ac:dyDescent="0.45">
      <c r="U334" t="s">
        <v>1738</v>
      </c>
      <c r="V334" t="s">
        <v>2086</v>
      </c>
      <c r="W334" t="s">
        <v>1783</v>
      </c>
      <c r="X334" t="s">
        <v>19</v>
      </c>
    </row>
    <row r="335" spans="21:24" x14ac:dyDescent="0.45">
      <c r="U335" t="s">
        <v>1738</v>
      </c>
      <c r="V335" t="s">
        <v>2086</v>
      </c>
      <c r="W335" t="s">
        <v>1783</v>
      </c>
      <c r="X335" t="s">
        <v>17</v>
      </c>
    </row>
    <row r="336" spans="21:24" x14ac:dyDescent="0.45">
      <c r="U336" t="s">
        <v>1738</v>
      </c>
      <c r="V336" t="s">
        <v>2087</v>
      </c>
      <c r="W336" t="s">
        <v>1783</v>
      </c>
      <c r="X336" t="s">
        <v>19</v>
      </c>
    </row>
    <row r="337" spans="21:24" x14ac:dyDescent="0.45">
      <c r="U337" t="s">
        <v>1738</v>
      </c>
      <c r="V337" t="s">
        <v>2087</v>
      </c>
      <c r="W337" t="s">
        <v>1783</v>
      </c>
      <c r="X337" t="s">
        <v>17</v>
      </c>
    </row>
    <row r="338" spans="21:24" x14ac:dyDescent="0.45">
      <c r="U338" t="s">
        <v>1738</v>
      </c>
      <c r="V338" t="s">
        <v>2088</v>
      </c>
      <c r="W338" t="s">
        <v>1787</v>
      </c>
      <c r="X338" t="s">
        <v>19</v>
      </c>
    </row>
    <row r="339" spans="21:24" x14ac:dyDescent="0.45">
      <c r="U339" t="s">
        <v>1738</v>
      </c>
      <c r="V339" t="s">
        <v>2088</v>
      </c>
      <c r="W339" t="s">
        <v>1787</v>
      </c>
      <c r="X339" t="s">
        <v>17</v>
      </c>
    </row>
    <row r="340" spans="21:24" x14ac:dyDescent="0.45">
      <c r="U340" t="s">
        <v>1738</v>
      </c>
      <c r="V340" t="s">
        <v>2089</v>
      </c>
      <c r="W340" t="s">
        <v>1787</v>
      </c>
      <c r="X340" t="s">
        <v>19</v>
      </c>
    </row>
    <row r="341" spans="21:24" x14ac:dyDescent="0.45">
      <c r="U341" t="s">
        <v>1738</v>
      </c>
      <c r="V341" t="s">
        <v>2089</v>
      </c>
      <c r="W341" t="s">
        <v>1787</v>
      </c>
      <c r="X341" t="s">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3E8D3-2D12-456E-AC0E-D1016228C589}">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0.63342243011471211</v>
      </c>
      <c r="H3" s="2">
        <v>1.8764269406392693</v>
      </c>
      <c r="I3" s="2">
        <v>0.63165279508218353</v>
      </c>
      <c r="J3" s="2">
        <v>1.8626155831661646</v>
      </c>
      <c r="O3" t="s">
        <v>973</v>
      </c>
    </row>
    <row r="4" spans="6:31" x14ac:dyDescent="0.45">
      <c r="F4" t="s">
        <v>974</v>
      </c>
      <c r="G4" s="2">
        <v>0.2121617106582025</v>
      </c>
      <c r="H4" s="2">
        <v>0.91954505980894763</v>
      </c>
      <c r="I4" s="2"/>
      <c r="J4" s="2"/>
    </row>
    <row r="5" spans="6:31" x14ac:dyDescent="0.45">
      <c r="F5" t="s">
        <v>975</v>
      </c>
      <c r="G5" s="2">
        <v>0.33864273764630681</v>
      </c>
      <c r="H5" s="2">
        <v>1.1279587010213374</v>
      </c>
      <c r="I5" s="2"/>
      <c r="J5" s="2"/>
    </row>
    <row r="6" spans="6:31" x14ac:dyDescent="0.45">
      <c r="F6" t="s">
        <v>979</v>
      </c>
      <c r="G6" s="2">
        <v>0.14269406392694065</v>
      </c>
      <c r="H6" s="2">
        <v>0.39954337899543385</v>
      </c>
      <c r="I6" s="2">
        <v>0.14212637294829078</v>
      </c>
      <c r="J6" s="2">
        <v>0.4394360113538196</v>
      </c>
      <c r="N6" t="s">
        <v>977</v>
      </c>
      <c r="Y6" t="s">
        <v>978</v>
      </c>
    </row>
    <row r="7" spans="6:31" x14ac:dyDescent="0.45">
      <c r="F7" t="s">
        <v>987</v>
      </c>
      <c r="G7" s="2">
        <v>0.67328301183487105</v>
      </c>
      <c r="H7" s="2">
        <v>1.0197869101978689</v>
      </c>
      <c r="I7" s="2">
        <v>0.6804594454643883</v>
      </c>
      <c r="J7" s="2">
        <v>1.0215496638903296</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991</v>
      </c>
      <c r="G8" s="2">
        <v>0.46195536209618909</v>
      </c>
      <c r="H8" s="2">
        <v>0.72536149162861496</v>
      </c>
      <c r="I8" s="2">
        <v>1.307536365503884E-2</v>
      </c>
      <c r="J8" s="2">
        <v>2.4469125406328854E-2</v>
      </c>
      <c r="N8" t="s">
        <v>988</v>
      </c>
      <c r="O8" t="s">
        <v>974</v>
      </c>
      <c r="P8" s="3" t="s">
        <v>989</v>
      </c>
      <c r="Q8" s="4">
        <f>-1/8.76</f>
        <v>-0.11415525114155252</v>
      </c>
      <c r="S8" s="4">
        <f>VLOOKUP(O8,$F$3:$J$11,3,FALSE)</f>
        <v>0.91954505980894763</v>
      </c>
      <c r="T8" s="4">
        <f>MIN(S8*$U$1,0.95)</f>
        <v>0.95</v>
      </c>
      <c r="U8">
        <v>0</v>
      </c>
      <c r="V8">
        <v>3</v>
      </c>
      <c r="Y8" t="s">
        <v>990</v>
      </c>
      <c r="Z8" t="s">
        <v>974</v>
      </c>
      <c r="AA8">
        <f>-1/8.76</f>
        <v>-0.11415525114155252</v>
      </c>
      <c r="AB8" s="4">
        <f>VLOOKUP(Z8,$F$3:$J$11,2,FALSE)</f>
        <v>0.2121617106582025</v>
      </c>
      <c r="AC8">
        <f>AB8*$W$1</f>
        <v>4.2432342131640502E-2</v>
      </c>
      <c r="AD8">
        <v>0</v>
      </c>
      <c r="AE8">
        <v>3</v>
      </c>
    </row>
    <row r="9" spans="6:31" x14ac:dyDescent="0.45">
      <c r="F9" t="s">
        <v>994</v>
      </c>
      <c r="G9" s="2">
        <v>5.7077625570776259E-2</v>
      </c>
      <c r="H9" s="2">
        <v>0.12571192648895851</v>
      </c>
      <c r="I9" s="2">
        <v>6.2964065912249359E-2</v>
      </c>
      <c r="J9" s="2">
        <v>0.10955352184585913</v>
      </c>
      <c r="N9" t="s">
        <v>992</v>
      </c>
      <c r="O9" t="s">
        <v>975</v>
      </c>
      <c r="P9" s="3" t="s">
        <v>989</v>
      </c>
      <c r="Q9" s="4">
        <f>-1/8.76</f>
        <v>-0.11415525114155252</v>
      </c>
      <c r="S9" s="4">
        <f>VLOOKUP(O9,$F$3:$J$11,3,FALSE)</f>
        <v>1.1279587010213374</v>
      </c>
      <c r="T9" s="4">
        <f>MIN(S9*$U$1,0.95)</f>
        <v>0.95</v>
      </c>
      <c r="U9">
        <v>0</v>
      </c>
      <c r="V9">
        <v>3</v>
      </c>
      <c r="Y9" t="s">
        <v>993</v>
      </c>
      <c r="Z9" t="s">
        <v>975</v>
      </c>
      <c r="AA9">
        <f>-1/8.76</f>
        <v>-0.11415525114155252</v>
      </c>
      <c r="AB9" s="4">
        <f>VLOOKUP(Z9,$F$3:$J$11,2,FALSE)</f>
        <v>0.33864273764630681</v>
      </c>
      <c r="AC9">
        <f>AB9*$W$1</f>
        <v>6.7728547529261371E-2</v>
      </c>
      <c r="AD9">
        <v>0</v>
      </c>
      <c r="AE9">
        <v>3</v>
      </c>
    </row>
    <row r="10" spans="6:31" ht="14.65" customHeight="1" x14ac:dyDescent="0.45">
      <c r="F10" t="s">
        <v>1583</v>
      </c>
      <c r="G10" s="2"/>
      <c r="H10" s="2"/>
      <c r="I10" s="2">
        <v>7.2089041095890413E-2</v>
      </c>
      <c r="J10" s="2">
        <v>0.44129390265431834</v>
      </c>
      <c r="N10" t="s">
        <v>992</v>
      </c>
      <c r="O10" t="s">
        <v>987</v>
      </c>
      <c r="P10" s="3" t="s">
        <v>989</v>
      </c>
      <c r="Q10" s="4">
        <f>-1/8.76</f>
        <v>-0.11415525114155252</v>
      </c>
      <c r="S10" s="4">
        <f>VLOOKUP(O10,$F$3:$J$11,3,FALSE)</f>
        <v>1.0197869101978689</v>
      </c>
      <c r="T10" s="4">
        <f>MIN(S10*$U$1,0.95)</f>
        <v>0.95</v>
      </c>
      <c r="U10">
        <v>0</v>
      </c>
      <c r="V10">
        <v>3</v>
      </c>
      <c r="Y10" t="s">
        <v>995</v>
      </c>
      <c r="Z10" t="s">
        <v>991</v>
      </c>
      <c r="AA10">
        <f>-1/8.76</f>
        <v>-0.11415525114155252</v>
      </c>
      <c r="AB10" s="4">
        <f>VLOOKUP(Z10,$F$3:$J$11,2,FALSE)</f>
        <v>0.46195536209618909</v>
      </c>
      <c r="AC10" s="5">
        <f>AB10*$W$1</f>
        <v>9.239107241923783E-2</v>
      </c>
      <c r="AD10">
        <v>0</v>
      </c>
      <c r="AE10">
        <v>3</v>
      </c>
    </row>
    <row r="11" spans="6:31" ht="14.65" customHeight="1" x14ac:dyDescent="0.45">
      <c r="F11" t="s">
        <v>996</v>
      </c>
      <c r="G11" s="2">
        <v>0.16186192326041027</v>
      </c>
      <c r="H11" s="2">
        <v>0.32665964172813489</v>
      </c>
      <c r="I11" s="2">
        <v>0.16093359290063056</v>
      </c>
      <c r="J11" s="2">
        <v>0.30096522811050896</v>
      </c>
    </row>
    <row r="15" spans="6:31" x14ac:dyDescent="0.45">
      <c r="X15" s="6">
        <v>2.5</v>
      </c>
      <c r="Y15" s="7" t="s">
        <v>997</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4E069-A021-42A8-B13E-11D22432D2C0}">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1738</v>
      </c>
      <c r="C11">
        <v>4</v>
      </c>
      <c r="D11">
        <v>8</v>
      </c>
      <c r="E11">
        <v>4</v>
      </c>
      <c r="F11">
        <v>8</v>
      </c>
      <c r="G11">
        <v>0</v>
      </c>
      <c r="H11">
        <v>0</v>
      </c>
      <c r="I11">
        <v>0</v>
      </c>
      <c r="J11">
        <v>1</v>
      </c>
    </row>
    <row r="14" spans="2:10" x14ac:dyDescent="0.45">
      <c r="B14" t="s">
        <v>5674</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4</v>
      </c>
      <c r="G20">
        <f>D11</f>
        <v>8</v>
      </c>
      <c r="H20">
        <v>4</v>
      </c>
    </row>
    <row r="21" spans="1:8" x14ac:dyDescent="0.45">
      <c r="A21" t="s">
        <v>1014</v>
      </c>
      <c r="B21" t="str">
        <f t="shared" ref="B21:B23" si="0">"uce_buildrate_"&amp;A21</f>
        <v>uce_buildrate_wind</v>
      </c>
      <c r="C21" t="str">
        <f>A21&amp;"*"</f>
        <v>wind*</v>
      </c>
      <c r="D21" t="s">
        <v>1013</v>
      </c>
      <c r="E21">
        <v>1</v>
      </c>
      <c r="F21">
        <f>E11</f>
        <v>4</v>
      </c>
      <c r="G21">
        <f>F11</f>
        <v>8</v>
      </c>
      <c r="H21">
        <v>4</v>
      </c>
    </row>
    <row r="22" spans="1:8" x14ac:dyDescent="0.45">
      <c r="A22" t="s">
        <v>979</v>
      </c>
      <c r="B22" t="str">
        <f t="shared" si="0"/>
        <v>uce_buildrate_hydro</v>
      </c>
      <c r="C22" t="str">
        <f t="shared" ref="C22:C23" si="1">A22</f>
        <v>hydro</v>
      </c>
      <c r="D22" t="s">
        <v>1013</v>
      </c>
      <c r="E22">
        <v>1</v>
      </c>
      <c r="F22">
        <f>G11</f>
        <v>0</v>
      </c>
      <c r="G22">
        <f>H11</f>
        <v>0</v>
      </c>
      <c r="H22">
        <v>4</v>
      </c>
    </row>
    <row r="23" spans="1:8" x14ac:dyDescent="0.45">
      <c r="A23" t="s">
        <v>987</v>
      </c>
      <c r="B23" t="str">
        <f t="shared" si="0"/>
        <v>uce_buildrate_nuclear</v>
      </c>
      <c r="C23" t="str">
        <f t="shared" si="1"/>
        <v>nuclear</v>
      </c>
      <c r="D23" t="s">
        <v>1013</v>
      </c>
      <c r="E23">
        <v>1</v>
      </c>
      <c r="F23">
        <f>I11</f>
        <v>0</v>
      </c>
      <c r="G23">
        <f>J11</f>
        <v>1</v>
      </c>
      <c r="H23">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234F-20FA-43E9-A3D9-73F18271CB9B}">
  <dimension ref="A1:I29"/>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2090</v>
      </c>
      <c r="C5" t="s">
        <v>2091</v>
      </c>
      <c r="D5">
        <v>1</v>
      </c>
      <c r="E5">
        <v>2</v>
      </c>
      <c r="G5" t="s">
        <v>2090</v>
      </c>
      <c r="H5" t="s">
        <v>2091</v>
      </c>
      <c r="I5">
        <v>-1</v>
      </c>
    </row>
    <row r="6" spans="1:9" x14ac:dyDescent="0.45">
      <c r="A6" t="s">
        <v>1020</v>
      </c>
      <c r="B6" t="s">
        <v>2092</v>
      </c>
      <c r="C6" t="s">
        <v>2093</v>
      </c>
      <c r="D6">
        <v>1</v>
      </c>
      <c r="E6">
        <v>2</v>
      </c>
      <c r="G6" t="s">
        <v>2092</v>
      </c>
      <c r="H6" t="s">
        <v>2093</v>
      </c>
      <c r="I6">
        <v>-1</v>
      </c>
    </row>
    <row r="7" spans="1:9" x14ac:dyDescent="0.45">
      <c r="A7" t="s">
        <v>1020</v>
      </c>
      <c r="B7" t="s">
        <v>2094</v>
      </c>
      <c r="C7" t="s">
        <v>2095</v>
      </c>
      <c r="D7">
        <v>1</v>
      </c>
      <c r="E7">
        <v>2</v>
      </c>
      <c r="G7" t="s">
        <v>2094</v>
      </c>
      <c r="H7" t="s">
        <v>2095</v>
      </c>
      <c r="I7">
        <v>-1</v>
      </c>
    </row>
    <row r="8" spans="1:9" x14ac:dyDescent="0.45">
      <c r="A8" t="s">
        <v>1020</v>
      </c>
      <c r="B8" t="s">
        <v>2096</v>
      </c>
      <c r="C8" t="s">
        <v>2097</v>
      </c>
      <c r="D8">
        <v>1</v>
      </c>
      <c r="E8">
        <v>2</v>
      </c>
      <c r="G8" t="s">
        <v>2096</v>
      </c>
      <c r="H8" t="s">
        <v>2097</v>
      </c>
      <c r="I8">
        <v>-1</v>
      </c>
    </row>
    <row r="9" spans="1:9" x14ac:dyDescent="0.45">
      <c r="A9" t="s">
        <v>1020</v>
      </c>
      <c r="B9" t="s">
        <v>2098</v>
      </c>
      <c r="C9" t="s">
        <v>2099</v>
      </c>
      <c r="D9">
        <v>1</v>
      </c>
      <c r="E9">
        <v>2</v>
      </c>
      <c r="G9" t="s">
        <v>2098</v>
      </c>
      <c r="H9" t="s">
        <v>2099</v>
      </c>
      <c r="I9">
        <v>-1</v>
      </c>
    </row>
    <row r="10" spans="1:9" x14ac:dyDescent="0.45">
      <c r="A10" t="s">
        <v>1020</v>
      </c>
      <c r="B10" t="s">
        <v>2100</v>
      </c>
      <c r="C10" t="s">
        <v>2101</v>
      </c>
      <c r="D10">
        <v>1</v>
      </c>
      <c r="E10">
        <v>2</v>
      </c>
      <c r="G10" t="s">
        <v>2100</v>
      </c>
      <c r="H10" t="s">
        <v>2101</v>
      </c>
      <c r="I10">
        <v>-1</v>
      </c>
    </row>
    <row r="11" spans="1:9" x14ac:dyDescent="0.45">
      <c r="A11" t="s">
        <v>1020</v>
      </c>
      <c r="B11" t="s">
        <v>2102</v>
      </c>
      <c r="C11" t="s">
        <v>2103</v>
      </c>
      <c r="D11">
        <v>1</v>
      </c>
      <c r="E11">
        <v>2</v>
      </c>
      <c r="G11" t="s">
        <v>2102</v>
      </c>
      <c r="H11" t="s">
        <v>2103</v>
      </c>
      <c r="I11">
        <v>-1</v>
      </c>
    </row>
    <row r="12" spans="1:9" x14ac:dyDescent="0.45">
      <c r="A12" t="s">
        <v>1020</v>
      </c>
      <c r="B12" t="s">
        <v>2104</v>
      </c>
      <c r="C12" t="s">
        <v>2105</v>
      </c>
      <c r="D12">
        <v>1</v>
      </c>
      <c r="E12">
        <v>2</v>
      </c>
      <c r="G12" t="s">
        <v>2104</v>
      </c>
      <c r="H12" t="s">
        <v>2105</v>
      </c>
      <c r="I12">
        <v>-1</v>
      </c>
    </row>
    <row r="13" spans="1:9" x14ac:dyDescent="0.45">
      <c r="A13" t="s">
        <v>1020</v>
      </c>
      <c r="B13" t="s">
        <v>2106</v>
      </c>
      <c r="C13" t="s">
        <v>2107</v>
      </c>
      <c r="D13">
        <v>1</v>
      </c>
      <c r="E13">
        <v>2</v>
      </c>
      <c r="G13" t="s">
        <v>2106</v>
      </c>
      <c r="H13" t="s">
        <v>2107</v>
      </c>
      <c r="I13">
        <v>-1</v>
      </c>
    </row>
    <row r="14" spans="1:9" x14ac:dyDescent="0.45">
      <c r="A14" t="s">
        <v>1020</v>
      </c>
      <c r="B14" t="s">
        <v>2108</v>
      </c>
      <c r="C14" t="s">
        <v>2109</v>
      </c>
      <c r="D14">
        <v>1</v>
      </c>
      <c r="E14">
        <v>2</v>
      </c>
      <c r="G14" t="s">
        <v>2108</v>
      </c>
      <c r="H14" t="s">
        <v>2109</v>
      </c>
      <c r="I14">
        <v>-1</v>
      </c>
    </row>
    <row r="15" spans="1:9" x14ac:dyDescent="0.45">
      <c r="A15" t="s">
        <v>1020</v>
      </c>
      <c r="B15" t="s">
        <v>2110</v>
      </c>
      <c r="C15" t="s">
        <v>2111</v>
      </c>
      <c r="D15">
        <v>1</v>
      </c>
      <c r="E15">
        <v>2</v>
      </c>
      <c r="G15" t="s">
        <v>2110</v>
      </c>
      <c r="H15" t="s">
        <v>2111</v>
      </c>
      <c r="I15">
        <v>-1</v>
      </c>
    </row>
    <row r="16" spans="1:9" x14ac:dyDescent="0.45">
      <c r="A16" t="s">
        <v>1020</v>
      </c>
      <c r="B16" t="s">
        <v>2112</v>
      </c>
      <c r="C16" t="s">
        <v>2113</v>
      </c>
      <c r="D16">
        <v>1</v>
      </c>
      <c r="E16">
        <v>2</v>
      </c>
      <c r="G16" t="s">
        <v>2112</v>
      </c>
      <c r="H16" t="s">
        <v>2113</v>
      </c>
      <c r="I16">
        <v>-1</v>
      </c>
    </row>
    <row r="17" spans="1:9" x14ac:dyDescent="0.45">
      <c r="A17" t="s">
        <v>1020</v>
      </c>
      <c r="B17" t="s">
        <v>2114</v>
      </c>
      <c r="C17" t="s">
        <v>2115</v>
      </c>
      <c r="D17">
        <v>1</v>
      </c>
      <c r="E17">
        <v>2</v>
      </c>
      <c r="G17" t="s">
        <v>2114</v>
      </c>
      <c r="H17" t="s">
        <v>2115</v>
      </c>
      <c r="I17">
        <v>-1</v>
      </c>
    </row>
    <row r="18" spans="1:9" x14ac:dyDescent="0.45">
      <c r="A18" t="s">
        <v>1020</v>
      </c>
      <c r="B18" t="s">
        <v>2116</v>
      </c>
      <c r="C18" t="s">
        <v>2117</v>
      </c>
      <c r="D18">
        <v>1</v>
      </c>
      <c r="E18">
        <v>2</v>
      </c>
      <c r="G18" t="s">
        <v>2116</v>
      </c>
      <c r="H18" t="s">
        <v>2117</v>
      </c>
      <c r="I18">
        <v>-1</v>
      </c>
    </row>
    <row r="19" spans="1:9" x14ac:dyDescent="0.45">
      <c r="A19" t="s">
        <v>1020</v>
      </c>
      <c r="B19" t="s">
        <v>2118</v>
      </c>
      <c r="C19" t="s">
        <v>2119</v>
      </c>
      <c r="D19">
        <v>1</v>
      </c>
      <c r="E19">
        <v>2</v>
      </c>
      <c r="G19" t="s">
        <v>2118</v>
      </c>
      <c r="H19" t="s">
        <v>2119</v>
      </c>
      <c r="I19">
        <v>-1</v>
      </c>
    </row>
    <row r="20" spans="1:9" x14ac:dyDescent="0.45">
      <c r="A20" t="s">
        <v>1020</v>
      </c>
      <c r="B20" t="s">
        <v>2120</v>
      </c>
      <c r="C20" t="s">
        <v>2121</v>
      </c>
      <c r="D20">
        <v>1</v>
      </c>
      <c r="E20">
        <v>2</v>
      </c>
      <c r="G20" t="s">
        <v>2120</v>
      </c>
      <c r="H20" t="s">
        <v>2121</v>
      </c>
      <c r="I20">
        <v>-1</v>
      </c>
    </row>
    <row r="21" spans="1:9" x14ac:dyDescent="0.45">
      <c r="A21" t="s">
        <v>1020</v>
      </c>
      <c r="B21" t="s">
        <v>2122</v>
      </c>
      <c r="C21" t="s">
        <v>2123</v>
      </c>
      <c r="D21">
        <v>1</v>
      </c>
      <c r="E21">
        <v>2</v>
      </c>
      <c r="G21" t="s">
        <v>2122</v>
      </c>
      <c r="H21" t="s">
        <v>2123</v>
      </c>
      <c r="I21">
        <v>-1</v>
      </c>
    </row>
    <row r="22" spans="1:9" x14ac:dyDescent="0.45">
      <c r="A22" t="s">
        <v>1020</v>
      </c>
      <c r="B22" t="s">
        <v>2124</v>
      </c>
      <c r="C22" t="s">
        <v>2125</v>
      </c>
      <c r="D22">
        <v>1</v>
      </c>
      <c r="E22">
        <v>2</v>
      </c>
      <c r="G22" t="s">
        <v>2124</v>
      </c>
      <c r="H22" t="s">
        <v>2125</v>
      </c>
      <c r="I22">
        <v>-1</v>
      </c>
    </row>
    <row r="23" spans="1:9" x14ac:dyDescent="0.45">
      <c r="A23" t="s">
        <v>1020</v>
      </c>
      <c r="B23" t="s">
        <v>2126</v>
      </c>
      <c r="C23" t="s">
        <v>2127</v>
      </c>
      <c r="D23">
        <v>1</v>
      </c>
      <c r="E23">
        <v>2</v>
      </c>
      <c r="G23" t="s">
        <v>2126</v>
      </c>
      <c r="H23" t="s">
        <v>2127</v>
      </c>
      <c r="I23">
        <v>-1</v>
      </c>
    </row>
    <row r="24" spans="1:9" x14ac:dyDescent="0.45">
      <c r="A24" t="s">
        <v>1020</v>
      </c>
      <c r="B24" t="s">
        <v>2128</v>
      </c>
      <c r="C24" t="s">
        <v>2129</v>
      </c>
      <c r="D24">
        <v>1</v>
      </c>
      <c r="E24">
        <v>2</v>
      </c>
      <c r="G24" t="s">
        <v>2128</v>
      </c>
      <c r="H24" t="s">
        <v>2129</v>
      </c>
      <c r="I24">
        <v>-1</v>
      </c>
    </row>
    <row r="25" spans="1:9" x14ac:dyDescent="0.45">
      <c r="A25" t="s">
        <v>1020</v>
      </c>
      <c r="B25" t="s">
        <v>2130</v>
      </c>
      <c r="C25" t="s">
        <v>2131</v>
      </c>
      <c r="D25">
        <v>1</v>
      </c>
      <c r="E25">
        <v>2</v>
      </c>
      <c r="G25" t="s">
        <v>2130</v>
      </c>
      <c r="H25" t="s">
        <v>2131</v>
      </c>
      <c r="I25">
        <v>-1</v>
      </c>
    </row>
    <row r="26" spans="1:9" x14ac:dyDescent="0.45">
      <c r="A26" t="s">
        <v>1020</v>
      </c>
      <c r="B26" t="s">
        <v>2132</v>
      </c>
      <c r="C26" t="s">
        <v>2133</v>
      </c>
      <c r="D26">
        <v>1</v>
      </c>
      <c r="E26">
        <v>2</v>
      </c>
      <c r="G26" t="s">
        <v>2132</v>
      </c>
      <c r="H26" t="s">
        <v>2133</v>
      </c>
      <c r="I26">
        <v>-1</v>
      </c>
    </row>
    <row r="27" spans="1:9" x14ac:dyDescent="0.45">
      <c r="A27" t="s">
        <v>1020</v>
      </c>
      <c r="B27" t="s">
        <v>2134</v>
      </c>
      <c r="C27" t="s">
        <v>2135</v>
      </c>
      <c r="D27">
        <v>1</v>
      </c>
      <c r="E27">
        <v>2</v>
      </c>
      <c r="G27" t="s">
        <v>2134</v>
      </c>
      <c r="H27" t="s">
        <v>2135</v>
      </c>
      <c r="I27">
        <v>-1</v>
      </c>
    </row>
    <row r="28" spans="1:9" x14ac:dyDescent="0.45">
      <c r="A28" t="s">
        <v>1020</v>
      </c>
      <c r="B28" t="s">
        <v>2136</v>
      </c>
      <c r="C28" t="s">
        <v>2137</v>
      </c>
      <c r="D28">
        <v>1</v>
      </c>
      <c r="E28">
        <v>2</v>
      </c>
      <c r="G28" t="s">
        <v>2136</v>
      </c>
      <c r="H28" t="s">
        <v>2137</v>
      </c>
      <c r="I28">
        <v>-1</v>
      </c>
    </row>
    <row r="29" spans="1:9" x14ac:dyDescent="0.45">
      <c r="A29" t="s">
        <v>1020</v>
      </c>
      <c r="B29" t="s">
        <v>2138</v>
      </c>
      <c r="C29" t="s">
        <v>2139</v>
      </c>
      <c r="D29">
        <v>1</v>
      </c>
      <c r="E29">
        <v>2</v>
      </c>
      <c r="G29" t="s">
        <v>2138</v>
      </c>
      <c r="H29" t="s">
        <v>2139</v>
      </c>
      <c r="I29">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1659-12F1-46BD-B657-130A61342201}">
  <dimension ref="B2:AG289"/>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5677</v>
      </c>
    </row>
    <row r="4" spans="2:33" x14ac:dyDescent="0.45">
      <c r="B4" t="s">
        <v>2140</v>
      </c>
      <c r="C4">
        <v>1.6981030000000001</v>
      </c>
      <c r="D4">
        <v>115.50000000000001</v>
      </c>
      <c r="E4">
        <v>0.99370000000000003</v>
      </c>
      <c r="H4" t="s">
        <v>2141</v>
      </c>
      <c r="I4" t="s">
        <v>13</v>
      </c>
      <c r="J4">
        <v>0.13732908122381646</v>
      </c>
      <c r="K4" t="s">
        <v>14</v>
      </c>
      <c r="P4" t="s">
        <v>2142</v>
      </c>
      <c r="Q4" t="s">
        <v>2141</v>
      </c>
      <c r="R4" t="s">
        <v>2143</v>
      </c>
      <c r="S4" t="s">
        <v>17</v>
      </c>
      <c r="U4" t="s">
        <v>2142</v>
      </c>
      <c r="V4" t="s">
        <v>2144</v>
      </c>
      <c r="W4" t="s">
        <v>2143</v>
      </c>
      <c r="X4" t="s">
        <v>19</v>
      </c>
      <c r="AA4" t="s">
        <v>6</v>
      </c>
      <c r="AB4" t="s">
        <v>20</v>
      </c>
      <c r="AC4" t="s">
        <v>21</v>
      </c>
      <c r="AD4" t="s">
        <v>22</v>
      </c>
      <c r="AE4" t="s">
        <v>23</v>
      </c>
      <c r="AF4" t="s">
        <v>24</v>
      </c>
      <c r="AG4" t="s">
        <v>25</v>
      </c>
    </row>
    <row r="5" spans="2:33" x14ac:dyDescent="0.45">
      <c r="B5" t="s">
        <v>2145</v>
      </c>
      <c r="C5">
        <v>0.98311199999999999</v>
      </c>
      <c r="D5">
        <v>15.400000000000002</v>
      </c>
      <c r="E5">
        <v>0.99916000000000005</v>
      </c>
      <c r="H5" t="s">
        <v>2141</v>
      </c>
      <c r="I5" t="s">
        <v>27</v>
      </c>
      <c r="J5">
        <v>0.13732908122381646</v>
      </c>
      <c r="K5" t="s">
        <v>14</v>
      </c>
      <c r="P5" t="s">
        <v>2142</v>
      </c>
      <c r="Q5" t="s">
        <v>2146</v>
      </c>
      <c r="R5" t="s">
        <v>2147</v>
      </c>
      <c r="S5" t="s">
        <v>17</v>
      </c>
      <c r="U5" t="s">
        <v>2142</v>
      </c>
      <c r="V5" t="s">
        <v>2148</v>
      </c>
      <c r="W5" t="s">
        <v>2143</v>
      </c>
      <c r="X5" t="s">
        <v>19</v>
      </c>
      <c r="AA5" t="s">
        <v>31</v>
      </c>
      <c r="AB5" t="s">
        <v>32</v>
      </c>
      <c r="AC5">
        <v>2</v>
      </c>
      <c r="AE5">
        <v>0</v>
      </c>
      <c r="AF5" t="s">
        <v>33</v>
      </c>
      <c r="AG5" t="s">
        <v>34</v>
      </c>
    </row>
    <row r="6" spans="2:33" x14ac:dyDescent="0.45">
      <c r="B6" t="s">
        <v>2149</v>
      </c>
      <c r="C6">
        <v>3.3962050000000001</v>
      </c>
      <c r="D6">
        <v>18.700000000000003</v>
      </c>
      <c r="E6">
        <v>0.99897999999999998</v>
      </c>
      <c r="H6" t="s">
        <v>2141</v>
      </c>
      <c r="I6" t="s">
        <v>36</v>
      </c>
      <c r="J6">
        <v>0.13732908122381646</v>
      </c>
      <c r="K6" t="s">
        <v>14</v>
      </c>
      <c r="P6" t="s">
        <v>2142</v>
      </c>
      <c r="Q6" t="s">
        <v>2150</v>
      </c>
      <c r="R6" t="s">
        <v>2151</v>
      </c>
      <c r="S6" t="s">
        <v>17</v>
      </c>
      <c r="U6" t="s">
        <v>2142</v>
      </c>
      <c r="V6" t="s">
        <v>2152</v>
      </c>
      <c r="W6" t="s">
        <v>2143</v>
      </c>
      <c r="X6" t="s">
        <v>19</v>
      </c>
      <c r="AA6" t="s">
        <v>31</v>
      </c>
      <c r="AB6" t="s">
        <v>32</v>
      </c>
      <c r="AD6">
        <v>2</v>
      </c>
      <c r="AE6">
        <v>0</v>
      </c>
      <c r="AF6" t="s">
        <v>40</v>
      </c>
    </row>
    <row r="7" spans="2:33" x14ac:dyDescent="0.45">
      <c r="B7" t="s">
        <v>2153</v>
      </c>
      <c r="C7">
        <v>3.3962050000000001</v>
      </c>
      <c r="D7">
        <v>37.400000000000006</v>
      </c>
      <c r="E7">
        <v>0.99795999999999996</v>
      </c>
      <c r="H7" t="s">
        <v>2146</v>
      </c>
      <c r="I7" t="s">
        <v>13</v>
      </c>
      <c r="J7">
        <v>3.0054645705565879E-3</v>
      </c>
      <c r="K7" t="s">
        <v>14</v>
      </c>
      <c r="P7" t="s">
        <v>2142</v>
      </c>
      <c r="Q7" t="s">
        <v>2154</v>
      </c>
      <c r="R7" t="s">
        <v>2155</v>
      </c>
      <c r="S7" t="s">
        <v>17</v>
      </c>
      <c r="U7" t="s">
        <v>2142</v>
      </c>
      <c r="V7" t="s">
        <v>2156</v>
      </c>
      <c r="W7" t="s">
        <v>2143</v>
      </c>
      <c r="X7" t="s">
        <v>19</v>
      </c>
    </row>
    <row r="8" spans="2:33" x14ac:dyDescent="0.45">
      <c r="B8" t="s">
        <v>2157</v>
      </c>
      <c r="C8">
        <v>3.3962050000000001</v>
      </c>
      <c r="D8">
        <v>37.400000000000006</v>
      </c>
      <c r="E8">
        <v>0.99795999999999996</v>
      </c>
      <c r="H8" t="s">
        <v>2146</v>
      </c>
      <c r="I8" t="s">
        <v>27</v>
      </c>
      <c r="J8">
        <v>3.0054645705565879E-3</v>
      </c>
      <c r="K8" t="s">
        <v>14</v>
      </c>
      <c r="P8" t="s">
        <v>2142</v>
      </c>
      <c r="Q8" t="s">
        <v>2158</v>
      </c>
      <c r="R8" t="s">
        <v>2159</v>
      </c>
      <c r="S8" t="s">
        <v>17</v>
      </c>
      <c r="U8" t="s">
        <v>2142</v>
      </c>
      <c r="V8" t="s">
        <v>2160</v>
      </c>
      <c r="W8" t="s">
        <v>2143</v>
      </c>
      <c r="X8" t="s">
        <v>19</v>
      </c>
    </row>
    <row r="9" spans="2:33" x14ac:dyDescent="0.45">
      <c r="B9" t="s">
        <v>2161</v>
      </c>
      <c r="C9">
        <v>1.6981030000000001</v>
      </c>
      <c r="D9">
        <v>35.200000000000003</v>
      </c>
      <c r="E9">
        <v>0.99807999999999997</v>
      </c>
      <c r="H9" t="s">
        <v>2146</v>
      </c>
      <c r="I9" t="s">
        <v>36</v>
      </c>
      <c r="J9">
        <v>3.0054645705565879E-3</v>
      </c>
      <c r="K9" t="s">
        <v>14</v>
      </c>
      <c r="P9" t="s">
        <v>2142</v>
      </c>
      <c r="Q9" t="s">
        <v>2162</v>
      </c>
      <c r="R9" t="s">
        <v>2163</v>
      </c>
      <c r="S9" t="s">
        <v>17</v>
      </c>
      <c r="U9" t="s">
        <v>2142</v>
      </c>
      <c r="V9" t="s">
        <v>2164</v>
      </c>
      <c r="W9" t="s">
        <v>2143</v>
      </c>
      <c r="X9" t="s">
        <v>19</v>
      </c>
    </row>
    <row r="10" spans="2:33" x14ac:dyDescent="0.45">
      <c r="B10" t="s">
        <v>2165</v>
      </c>
      <c r="C10">
        <v>3.3962050000000001</v>
      </c>
      <c r="D10">
        <v>30.800000000000004</v>
      </c>
      <c r="E10">
        <v>0.99831999999999999</v>
      </c>
      <c r="H10" t="s">
        <v>2150</v>
      </c>
      <c r="I10" t="s">
        <v>13</v>
      </c>
      <c r="J10">
        <v>3.0258659748333659E-3</v>
      </c>
      <c r="K10" t="s">
        <v>14</v>
      </c>
      <c r="P10" t="s">
        <v>2142</v>
      </c>
      <c r="Q10" t="s">
        <v>2166</v>
      </c>
      <c r="R10" t="s">
        <v>2167</v>
      </c>
      <c r="S10" t="s">
        <v>17</v>
      </c>
      <c r="U10" t="s">
        <v>2142</v>
      </c>
      <c r="V10" t="s">
        <v>2168</v>
      </c>
      <c r="W10" t="s">
        <v>2143</v>
      </c>
      <c r="X10" t="s">
        <v>19</v>
      </c>
    </row>
    <row r="11" spans="2:33" x14ac:dyDescent="0.45">
      <c r="B11" t="s">
        <v>2169</v>
      </c>
      <c r="C11">
        <v>3.3962050000000001</v>
      </c>
      <c r="D11">
        <v>44</v>
      </c>
      <c r="E11">
        <v>0.99760000000000004</v>
      </c>
      <c r="H11" t="s">
        <v>2150</v>
      </c>
      <c r="I11" t="s">
        <v>27</v>
      </c>
      <c r="J11">
        <v>3.0258659748333659E-3</v>
      </c>
      <c r="K11" t="s">
        <v>14</v>
      </c>
      <c r="P11" t="s">
        <v>2142</v>
      </c>
      <c r="Q11" t="s">
        <v>2170</v>
      </c>
      <c r="R11" t="s">
        <v>2171</v>
      </c>
      <c r="S11" t="s">
        <v>17</v>
      </c>
      <c r="U11" t="s">
        <v>2142</v>
      </c>
      <c r="V11" t="s">
        <v>2172</v>
      </c>
      <c r="W11" t="s">
        <v>2143</v>
      </c>
      <c r="X11" t="s">
        <v>19</v>
      </c>
    </row>
    <row r="12" spans="2:33" x14ac:dyDescent="0.45">
      <c r="B12" t="s">
        <v>2173</v>
      </c>
      <c r="C12">
        <v>3.3962060000000003</v>
      </c>
      <c r="D12">
        <v>63.800000000000004</v>
      </c>
      <c r="E12">
        <v>0.99651999999999996</v>
      </c>
      <c r="H12" t="s">
        <v>2150</v>
      </c>
      <c r="I12" t="s">
        <v>36</v>
      </c>
      <c r="J12">
        <v>3.0258659748333659E-3</v>
      </c>
      <c r="K12" t="s">
        <v>14</v>
      </c>
      <c r="P12" t="s">
        <v>2142</v>
      </c>
      <c r="Q12" t="s">
        <v>2174</v>
      </c>
      <c r="R12" t="s">
        <v>2175</v>
      </c>
      <c r="S12" t="s">
        <v>17</v>
      </c>
      <c r="U12" t="s">
        <v>2142</v>
      </c>
      <c r="V12" t="s">
        <v>2176</v>
      </c>
      <c r="W12" t="s">
        <v>2143</v>
      </c>
      <c r="X12" t="s">
        <v>19</v>
      </c>
    </row>
    <row r="13" spans="2:33" x14ac:dyDescent="0.45">
      <c r="B13" t="s">
        <v>2177</v>
      </c>
      <c r="C13">
        <v>3.8877609999999998</v>
      </c>
      <c r="D13">
        <v>48.400000000000006</v>
      </c>
      <c r="E13">
        <v>0.99736000000000002</v>
      </c>
      <c r="H13" t="s">
        <v>2154</v>
      </c>
      <c r="I13" t="s">
        <v>13</v>
      </c>
      <c r="J13">
        <v>6.1934725033749298E-2</v>
      </c>
      <c r="K13" t="s">
        <v>14</v>
      </c>
      <c r="P13" t="s">
        <v>2142</v>
      </c>
      <c r="Q13" t="s">
        <v>2178</v>
      </c>
      <c r="R13" t="s">
        <v>2179</v>
      </c>
      <c r="S13" t="s">
        <v>17</v>
      </c>
      <c r="U13" t="s">
        <v>2142</v>
      </c>
      <c r="V13" t="s">
        <v>2180</v>
      </c>
      <c r="W13" t="s">
        <v>2143</v>
      </c>
      <c r="X13" t="s">
        <v>19</v>
      </c>
    </row>
    <row r="14" spans="2:33" x14ac:dyDescent="0.45">
      <c r="B14" t="s">
        <v>2181</v>
      </c>
      <c r="C14">
        <v>1.6981030000000001</v>
      </c>
      <c r="D14">
        <v>39.6</v>
      </c>
      <c r="E14">
        <v>0.99783999999999995</v>
      </c>
      <c r="H14" t="s">
        <v>2154</v>
      </c>
      <c r="I14" t="s">
        <v>27</v>
      </c>
      <c r="J14">
        <v>6.1934725033749298E-2</v>
      </c>
      <c r="K14" t="s">
        <v>14</v>
      </c>
      <c r="P14" t="s">
        <v>2142</v>
      </c>
      <c r="Q14" t="s">
        <v>2182</v>
      </c>
      <c r="R14" t="s">
        <v>2183</v>
      </c>
      <c r="S14" t="s">
        <v>17</v>
      </c>
      <c r="U14" t="s">
        <v>2142</v>
      </c>
      <c r="V14" t="s">
        <v>2184</v>
      </c>
      <c r="W14" t="s">
        <v>2143</v>
      </c>
      <c r="X14" t="s">
        <v>19</v>
      </c>
    </row>
    <row r="15" spans="2:33" x14ac:dyDescent="0.45">
      <c r="H15" t="s">
        <v>2154</v>
      </c>
      <c r="I15" t="s">
        <v>36</v>
      </c>
      <c r="J15">
        <v>6.1934725033749298E-2</v>
      </c>
      <c r="K15" t="s">
        <v>14</v>
      </c>
      <c r="P15" t="s">
        <v>2142</v>
      </c>
      <c r="Q15" t="s">
        <v>2185</v>
      </c>
      <c r="R15" t="s">
        <v>2143</v>
      </c>
      <c r="S15" t="s">
        <v>17</v>
      </c>
      <c r="U15" t="s">
        <v>2142</v>
      </c>
      <c r="V15" t="s">
        <v>2184</v>
      </c>
      <c r="W15" t="s">
        <v>2186</v>
      </c>
      <c r="X15" t="s">
        <v>19</v>
      </c>
    </row>
    <row r="16" spans="2:33" x14ac:dyDescent="0.45">
      <c r="H16" t="s">
        <v>2158</v>
      </c>
      <c r="I16" t="s">
        <v>13</v>
      </c>
      <c r="J16">
        <v>0.2927796463248431</v>
      </c>
      <c r="K16" t="s">
        <v>14</v>
      </c>
      <c r="P16" t="s">
        <v>2142</v>
      </c>
      <c r="Q16" t="s">
        <v>2187</v>
      </c>
      <c r="R16" t="s">
        <v>2147</v>
      </c>
      <c r="S16" t="s">
        <v>17</v>
      </c>
      <c r="U16" t="s">
        <v>2142</v>
      </c>
      <c r="V16" t="s">
        <v>2188</v>
      </c>
      <c r="W16" t="s">
        <v>2143</v>
      </c>
      <c r="X16" t="s">
        <v>19</v>
      </c>
    </row>
    <row r="17" spans="8:24" x14ac:dyDescent="0.45">
      <c r="H17" t="s">
        <v>2158</v>
      </c>
      <c r="I17" t="s">
        <v>27</v>
      </c>
      <c r="J17">
        <v>0.2927796463248431</v>
      </c>
      <c r="K17" t="s">
        <v>14</v>
      </c>
      <c r="P17" t="s">
        <v>2142</v>
      </c>
      <c r="Q17" t="s">
        <v>2189</v>
      </c>
      <c r="R17" t="s">
        <v>2151</v>
      </c>
      <c r="S17" t="s">
        <v>17</v>
      </c>
      <c r="U17" t="s">
        <v>2142</v>
      </c>
      <c r="V17" t="s">
        <v>2188</v>
      </c>
      <c r="W17" t="s">
        <v>2186</v>
      </c>
      <c r="X17" t="s">
        <v>19</v>
      </c>
    </row>
    <row r="18" spans="8:24" x14ac:dyDescent="0.45">
      <c r="H18" t="s">
        <v>2158</v>
      </c>
      <c r="I18" t="s">
        <v>36</v>
      </c>
      <c r="J18">
        <v>0.2927796463248431</v>
      </c>
      <c r="K18" t="s">
        <v>14</v>
      </c>
      <c r="P18" t="s">
        <v>2142</v>
      </c>
      <c r="Q18" t="s">
        <v>2190</v>
      </c>
      <c r="R18" t="s">
        <v>2155</v>
      </c>
      <c r="S18" t="s">
        <v>17</v>
      </c>
      <c r="U18" t="s">
        <v>2142</v>
      </c>
      <c r="V18" t="s">
        <v>2191</v>
      </c>
      <c r="W18" t="s">
        <v>2143</v>
      </c>
      <c r="X18" t="s">
        <v>19</v>
      </c>
    </row>
    <row r="19" spans="8:24" x14ac:dyDescent="0.45">
      <c r="H19" t="s">
        <v>2162</v>
      </c>
      <c r="I19" t="s">
        <v>13</v>
      </c>
      <c r="J19">
        <v>0.12470320051888077</v>
      </c>
      <c r="K19" t="s">
        <v>14</v>
      </c>
      <c r="P19" t="s">
        <v>2142</v>
      </c>
      <c r="Q19" t="s">
        <v>2192</v>
      </c>
      <c r="R19" t="s">
        <v>2159</v>
      </c>
      <c r="S19" t="s">
        <v>17</v>
      </c>
      <c r="U19" t="s">
        <v>2142</v>
      </c>
      <c r="V19" t="s">
        <v>2191</v>
      </c>
      <c r="W19" t="s">
        <v>2186</v>
      </c>
      <c r="X19" t="s">
        <v>19</v>
      </c>
    </row>
    <row r="20" spans="8:24" x14ac:dyDescent="0.45">
      <c r="H20" t="s">
        <v>2162</v>
      </c>
      <c r="I20" t="s">
        <v>27</v>
      </c>
      <c r="J20">
        <v>0.12470320051888077</v>
      </c>
      <c r="K20" t="s">
        <v>14</v>
      </c>
      <c r="P20" t="s">
        <v>2142</v>
      </c>
      <c r="Q20" t="s">
        <v>2193</v>
      </c>
      <c r="R20" t="s">
        <v>2163</v>
      </c>
      <c r="S20" t="s">
        <v>17</v>
      </c>
      <c r="U20" t="s">
        <v>2142</v>
      </c>
      <c r="V20" t="s">
        <v>2194</v>
      </c>
      <c r="W20" t="s">
        <v>2186</v>
      </c>
      <c r="X20" t="s">
        <v>19</v>
      </c>
    </row>
    <row r="21" spans="8:24" x14ac:dyDescent="0.45">
      <c r="H21" t="s">
        <v>2162</v>
      </c>
      <c r="I21" t="s">
        <v>36</v>
      </c>
      <c r="J21">
        <v>0.12470320051888077</v>
      </c>
      <c r="K21" t="s">
        <v>14</v>
      </c>
      <c r="P21" t="s">
        <v>2142</v>
      </c>
      <c r="Q21" t="s">
        <v>2195</v>
      </c>
      <c r="R21" t="s">
        <v>2167</v>
      </c>
      <c r="S21" t="s">
        <v>17</v>
      </c>
      <c r="U21" t="s">
        <v>2142</v>
      </c>
      <c r="V21" t="s">
        <v>2196</v>
      </c>
      <c r="W21" t="s">
        <v>2186</v>
      </c>
      <c r="X21" t="s">
        <v>19</v>
      </c>
    </row>
    <row r="22" spans="8:24" x14ac:dyDescent="0.45">
      <c r="H22" t="s">
        <v>2166</v>
      </c>
      <c r="I22" t="s">
        <v>13</v>
      </c>
      <c r="J22">
        <v>7.3994780822397271E-2</v>
      </c>
      <c r="K22" t="s">
        <v>14</v>
      </c>
      <c r="P22" t="s">
        <v>2142</v>
      </c>
      <c r="Q22" t="s">
        <v>2197</v>
      </c>
      <c r="R22" t="s">
        <v>2171</v>
      </c>
      <c r="S22" t="s">
        <v>17</v>
      </c>
      <c r="U22" t="s">
        <v>2142</v>
      </c>
      <c r="V22" t="s">
        <v>2198</v>
      </c>
      <c r="W22" t="s">
        <v>2186</v>
      </c>
      <c r="X22" t="s">
        <v>19</v>
      </c>
    </row>
    <row r="23" spans="8:24" x14ac:dyDescent="0.45">
      <c r="H23" t="s">
        <v>2166</v>
      </c>
      <c r="I23" t="s">
        <v>27</v>
      </c>
      <c r="J23">
        <v>7.3994780822397271E-2</v>
      </c>
      <c r="K23" t="s">
        <v>14</v>
      </c>
      <c r="P23" t="s">
        <v>2142</v>
      </c>
      <c r="Q23" t="s">
        <v>2199</v>
      </c>
      <c r="R23" t="s">
        <v>2175</v>
      </c>
      <c r="S23" t="s">
        <v>17</v>
      </c>
      <c r="U23" t="s">
        <v>2142</v>
      </c>
      <c r="V23" t="s">
        <v>2198</v>
      </c>
      <c r="W23" t="s">
        <v>2143</v>
      </c>
      <c r="X23" t="s">
        <v>17</v>
      </c>
    </row>
    <row r="24" spans="8:24" x14ac:dyDescent="0.45">
      <c r="H24" t="s">
        <v>2166</v>
      </c>
      <c r="I24" t="s">
        <v>36</v>
      </c>
      <c r="J24">
        <v>7.3994780822397271E-2</v>
      </c>
      <c r="K24" t="s">
        <v>14</v>
      </c>
      <c r="P24" t="s">
        <v>2142</v>
      </c>
      <c r="Q24" t="s">
        <v>2200</v>
      </c>
      <c r="R24" t="s">
        <v>2179</v>
      </c>
      <c r="S24" t="s">
        <v>17</v>
      </c>
      <c r="U24" t="s">
        <v>2142</v>
      </c>
      <c r="V24" t="s">
        <v>2201</v>
      </c>
      <c r="W24" t="s">
        <v>2186</v>
      </c>
      <c r="X24" t="s">
        <v>19</v>
      </c>
    </row>
    <row r="25" spans="8:24" x14ac:dyDescent="0.45">
      <c r="H25" t="s">
        <v>2170</v>
      </c>
      <c r="I25" t="s">
        <v>13</v>
      </c>
      <c r="J25">
        <v>0.1115709138346376</v>
      </c>
      <c r="K25" t="s">
        <v>14</v>
      </c>
      <c r="P25" t="s">
        <v>2142</v>
      </c>
      <c r="Q25" t="s">
        <v>2202</v>
      </c>
      <c r="R25" t="s">
        <v>2183</v>
      </c>
      <c r="S25" t="s">
        <v>17</v>
      </c>
      <c r="U25" t="s">
        <v>2142</v>
      </c>
      <c r="V25" t="s">
        <v>2201</v>
      </c>
      <c r="W25" t="s">
        <v>2143</v>
      </c>
      <c r="X25" t="s">
        <v>17</v>
      </c>
    </row>
    <row r="26" spans="8:24" x14ac:dyDescent="0.45">
      <c r="H26" t="s">
        <v>2170</v>
      </c>
      <c r="I26" t="s">
        <v>27</v>
      </c>
      <c r="J26">
        <v>0.1115709138346376</v>
      </c>
      <c r="K26" t="s">
        <v>14</v>
      </c>
      <c r="P26" t="s">
        <v>2142</v>
      </c>
      <c r="Q26" t="s">
        <v>2203</v>
      </c>
      <c r="R26" t="s">
        <v>2143</v>
      </c>
      <c r="S26" t="s">
        <v>17</v>
      </c>
      <c r="U26" t="s">
        <v>2142</v>
      </c>
      <c r="V26" t="s">
        <v>2204</v>
      </c>
      <c r="W26" t="s">
        <v>2147</v>
      </c>
      <c r="X26" t="s">
        <v>19</v>
      </c>
    </row>
    <row r="27" spans="8:24" x14ac:dyDescent="0.45">
      <c r="H27" t="s">
        <v>2170</v>
      </c>
      <c r="I27" t="s">
        <v>36</v>
      </c>
      <c r="J27">
        <v>0.1115709138346376</v>
      </c>
      <c r="K27" t="s">
        <v>14</v>
      </c>
      <c r="P27" t="s">
        <v>2142</v>
      </c>
      <c r="Q27" t="s">
        <v>2205</v>
      </c>
      <c r="R27" t="s">
        <v>2147</v>
      </c>
      <c r="S27" t="s">
        <v>17</v>
      </c>
      <c r="U27" t="s">
        <v>2142</v>
      </c>
      <c r="V27" t="s">
        <v>2206</v>
      </c>
      <c r="W27" t="s">
        <v>2147</v>
      </c>
      <c r="X27" t="s">
        <v>19</v>
      </c>
    </row>
    <row r="28" spans="8:24" x14ac:dyDescent="0.45">
      <c r="H28" t="s">
        <v>2174</v>
      </c>
      <c r="I28" t="s">
        <v>13</v>
      </c>
      <c r="J28">
        <v>9.0417675174541051E-2</v>
      </c>
      <c r="K28" t="s">
        <v>14</v>
      </c>
      <c r="P28" t="s">
        <v>2142</v>
      </c>
      <c r="Q28" t="s">
        <v>2207</v>
      </c>
      <c r="R28" t="s">
        <v>2151</v>
      </c>
      <c r="S28" t="s">
        <v>17</v>
      </c>
      <c r="U28" t="s">
        <v>2142</v>
      </c>
      <c r="V28" t="s">
        <v>2208</v>
      </c>
      <c r="W28" t="s">
        <v>2147</v>
      </c>
      <c r="X28" t="s">
        <v>19</v>
      </c>
    </row>
    <row r="29" spans="8:24" x14ac:dyDescent="0.45">
      <c r="H29" t="s">
        <v>2174</v>
      </c>
      <c r="I29" t="s">
        <v>27</v>
      </c>
      <c r="J29">
        <v>9.0417675174541051E-2</v>
      </c>
      <c r="K29" t="s">
        <v>14</v>
      </c>
      <c r="P29" t="s">
        <v>2142</v>
      </c>
      <c r="Q29" t="s">
        <v>2209</v>
      </c>
      <c r="R29" t="s">
        <v>2155</v>
      </c>
      <c r="S29" t="s">
        <v>17</v>
      </c>
      <c r="U29" t="s">
        <v>2142</v>
      </c>
      <c r="V29" t="s">
        <v>2210</v>
      </c>
      <c r="W29" t="s">
        <v>2147</v>
      </c>
      <c r="X29" t="s">
        <v>19</v>
      </c>
    </row>
    <row r="30" spans="8:24" x14ac:dyDescent="0.45">
      <c r="H30" t="s">
        <v>2174</v>
      </c>
      <c r="I30" t="s">
        <v>36</v>
      </c>
      <c r="J30">
        <v>9.0417675174541051E-2</v>
      </c>
      <c r="K30" t="s">
        <v>14</v>
      </c>
      <c r="P30" t="s">
        <v>2142</v>
      </c>
      <c r="Q30" t="s">
        <v>2211</v>
      </c>
      <c r="R30" t="s">
        <v>2159</v>
      </c>
      <c r="S30" t="s">
        <v>17</v>
      </c>
      <c r="U30" t="s">
        <v>2142</v>
      </c>
      <c r="V30" t="s">
        <v>2212</v>
      </c>
      <c r="W30" t="s">
        <v>2147</v>
      </c>
      <c r="X30" t="s">
        <v>19</v>
      </c>
    </row>
    <row r="31" spans="8:24" x14ac:dyDescent="0.45">
      <c r="H31" t="s">
        <v>2178</v>
      </c>
      <c r="I31" t="s">
        <v>13</v>
      </c>
      <c r="J31">
        <v>4.8225139218706518E-2</v>
      </c>
      <c r="K31" t="s">
        <v>14</v>
      </c>
      <c r="P31" t="s">
        <v>2142</v>
      </c>
      <c r="Q31" t="s">
        <v>2213</v>
      </c>
      <c r="R31" t="s">
        <v>2163</v>
      </c>
      <c r="S31" t="s">
        <v>17</v>
      </c>
      <c r="U31" t="s">
        <v>2142</v>
      </c>
      <c r="V31" t="s">
        <v>2214</v>
      </c>
      <c r="W31" t="s">
        <v>2147</v>
      </c>
      <c r="X31" t="s">
        <v>19</v>
      </c>
    </row>
    <row r="32" spans="8:24" x14ac:dyDescent="0.45">
      <c r="H32" t="s">
        <v>2178</v>
      </c>
      <c r="I32" t="s">
        <v>27</v>
      </c>
      <c r="J32">
        <v>4.8225139218706518E-2</v>
      </c>
      <c r="K32" t="s">
        <v>14</v>
      </c>
      <c r="P32" t="s">
        <v>2142</v>
      </c>
      <c r="Q32" t="s">
        <v>2215</v>
      </c>
      <c r="R32" t="s">
        <v>2167</v>
      </c>
      <c r="S32" t="s">
        <v>17</v>
      </c>
      <c r="U32" t="s">
        <v>2142</v>
      </c>
      <c r="V32" t="s">
        <v>2216</v>
      </c>
      <c r="W32" t="s">
        <v>2147</v>
      </c>
      <c r="X32" t="s">
        <v>19</v>
      </c>
    </row>
    <row r="33" spans="8:24" x14ac:dyDescent="0.45">
      <c r="H33" t="s">
        <v>2178</v>
      </c>
      <c r="I33" t="s">
        <v>36</v>
      </c>
      <c r="J33">
        <v>4.8225139218706518E-2</v>
      </c>
      <c r="K33" t="s">
        <v>14</v>
      </c>
      <c r="P33" t="s">
        <v>2142</v>
      </c>
      <c r="Q33" t="s">
        <v>2217</v>
      </c>
      <c r="R33" t="s">
        <v>2171</v>
      </c>
      <c r="S33" t="s">
        <v>17</v>
      </c>
      <c r="U33" t="s">
        <v>2142</v>
      </c>
      <c r="V33" t="s">
        <v>2218</v>
      </c>
      <c r="W33" t="s">
        <v>2147</v>
      </c>
      <c r="X33" t="s">
        <v>19</v>
      </c>
    </row>
    <row r="34" spans="8:24" x14ac:dyDescent="0.45">
      <c r="H34" t="s">
        <v>2182</v>
      </c>
      <c r="I34" t="s">
        <v>13</v>
      </c>
      <c r="J34">
        <v>3.3013507303037433E-2</v>
      </c>
      <c r="K34" t="s">
        <v>14</v>
      </c>
      <c r="P34" t="s">
        <v>2142</v>
      </c>
      <c r="Q34" t="s">
        <v>2219</v>
      </c>
      <c r="R34" t="s">
        <v>2175</v>
      </c>
      <c r="S34" t="s">
        <v>17</v>
      </c>
      <c r="U34" t="s">
        <v>2142</v>
      </c>
      <c r="V34" t="s">
        <v>2220</v>
      </c>
      <c r="W34" t="s">
        <v>2147</v>
      </c>
      <c r="X34" t="s">
        <v>19</v>
      </c>
    </row>
    <row r="35" spans="8:24" x14ac:dyDescent="0.45">
      <c r="H35" t="s">
        <v>2182</v>
      </c>
      <c r="I35" t="s">
        <v>27</v>
      </c>
      <c r="J35">
        <v>3.3013507303037433E-2</v>
      </c>
      <c r="K35" t="s">
        <v>14</v>
      </c>
      <c r="P35" t="s">
        <v>2142</v>
      </c>
      <c r="Q35" t="s">
        <v>2221</v>
      </c>
      <c r="R35" t="s">
        <v>2179</v>
      </c>
      <c r="S35" t="s">
        <v>17</v>
      </c>
      <c r="U35" t="s">
        <v>2142</v>
      </c>
      <c r="V35" t="s">
        <v>2222</v>
      </c>
      <c r="W35" t="s">
        <v>2147</v>
      </c>
      <c r="X35" t="s">
        <v>19</v>
      </c>
    </row>
    <row r="36" spans="8:24" x14ac:dyDescent="0.45">
      <c r="H36" t="s">
        <v>2182</v>
      </c>
      <c r="I36" t="s">
        <v>36</v>
      </c>
      <c r="J36">
        <v>3.3013507303037433E-2</v>
      </c>
      <c r="K36" t="s">
        <v>14</v>
      </c>
      <c r="P36" t="s">
        <v>2142</v>
      </c>
      <c r="Q36" t="s">
        <v>2223</v>
      </c>
      <c r="R36" t="s">
        <v>2183</v>
      </c>
      <c r="S36" t="s">
        <v>17</v>
      </c>
      <c r="U36" t="s">
        <v>2142</v>
      </c>
      <c r="V36" t="s">
        <v>2224</v>
      </c>
      <c r="W36" t="s">
        <v>2147</v>
      </c>
      <c r="X36" t="s">
        <v>19</v>
      </c>
    </row>
    <row r="37" spans="8:24" x14ac:dyDescent="0.45">
      <c r="H37" t="s">
        <v>2185</v>
      </c>
      <c r="I37" t="s">
        <v>13</v>
      </c>
      <c r="J37">
        <v>0.13732908122381646</v>
      </c>
      <c r="K37" t="s">
        <v>14</v>
      </c>
      <c r="P37" t="s">
        <v>2142</v>
      </c>
      <c r="Q37" t="s">
        <v>2225</v>
      </c>
      <c r="R37" t="s">
        <v>2143</v>
      </c>
      <c r="S37" t="s">
        <v>17</v>
      </c>
      <c r="U37" t="s">
        <v>2142</v>
      </c>
      <c r="V37" t="s">
        <v>2224</v>
      </c>
      <c r="W37" t="s">
        <v>2226</v>
      </c>
      <c r="X37" t="s">
        <v>19</v>
      </c>
    </row>
    <row r="38" spans="8:24" x14ac:dyDescent="0.45">
      <c r="H38" t="s">
        <v>2185</v>
      </c>
      <c r="I38" t="s">
        <v>27</v>
      </c>
      <c r="J38">
        <v>0.13732908122381646</v>
      </c>
      <c r="K38" t="s">
        <v>14</v>
      </c>
      <c r="P38" t="s">
        <v>2142</v>
      </c>
      <c r="Q38" t="s">
        <v>2227</v>
      </c>
      <c r="R38" t="s">
        <v>2147</v>
      </c>
      <c r="S38" t="s">
        <v>17</v>
      </c>
      <c r="U38" t="s">
        <v>2142</v>
      </c>
      <c r="V38" t="s">
        <v>2228</v>
      </c>
      <c r="W38" t="s">
        <v>2147</v>
      </c>
      <c r="X38" t="s">
        <v>19</v>
      </c>
    </row>
    <row r="39" spans="8:24" x14ac:dyDescent="0.45">
      <c r="H39" t="s">
        <v>2185</v>
      </c>
      <c r="I39" t="s">
        <v>36</v>
      </c>
      <c r="J39">
        <v>0.13732908122381646</v>
      </c>
      <c r="K39" t="s">
        <v>14</v>
      </c>
      <c r="P39" t="s">
        <v>2142</v>
      </c>
      <c r="Q39" t="s">
        <v>2229</v>
      </c>
      <c r="R39" t="s">
        <v>2151</v>
      </c>
      <c r="S39" t="s">
        <v>17</v>
      </c>
      <c r="U39" t="s">
        <v>2142</v>
      </c>
      <c r="V39" t="s">
        <v>2228</v>
      </c>
      <c r="W39" t="s">
        <v>2226</v>
      </c>
      <c r="X39" t="s">
        <v>19</v>
      </c>
    </row>
    <row r="40" spans="8:24" x14ac:dyDescent="0.45">
      <c r="H40" t="s">
        <v>2187</v>
      </c>
      <c r="I40" t="s">
        <v>13</v>
      </c>
      <c r="J40">
        <v>3.0054645705565879E-3</v>
      </c>
      <c r="K40" t="s">
        <v>14</v>
      </c>
      <c r="P40" t="s">
        <v>2142</v>
      </c>
      <c r="Q40" t="s">
        <v>2230</v>
      </c>
      <c r="R40" t="s">
        <v>2155</v>
      </c>
      <c r="S40" t="s">
        <v>17</v>
      </c>
      <c r="U40" t="s">
        <v>2142</v>
      </c>
      <c r="V40" t="s">
        <v>2231</v>
      </c>
      <c r="W40" t="s">
        <v>2147</v>
      </c>
      <c r="X40" t="s">
        <v>19</v>
      </c>
    </row>
    <row r="41" spans="8:24" x14ac:dyDescent="0.45">
      <c r="H41" t="s">
        <v>2187</v>
      </c>
      <c r="I41" t="s">
        <v>27</v>
      </c>
      <c r="J41">
        <v>3.0054645705565879E-3</v>
      </c>
      <c r="K41" t="s">
        <v>14</v>
      </c>
      <c r="P41" t="s">
        <v>2142</v>
      </c>
      <c r="Q41" t="s">
        <v>2232</v>
      </c>
      <c r="R41" t="s">
        <v>2159</v>
      </c>
      <c r="S41" t="s">
        <v>17</v>
      </c>
      <c r="U41" t="s">
        <v>2142</v>
      </c>
      <c r="V41" t="s">
        <v>2231</v>
      </c>
      <c r="W41" t="s">
        <v>2226</v>
      </c>
      <c r="X41" t="s">
        <v>19</v>
      </c>
    </row>
    <row r="42" spans="8:24" x14ac:dyDescent="0.45">
      <c r="H42" t="s">
        <v>2187</v>
      </c>
      <c r="I42" t="s">
        <v>36</v>
      </c>
      <c r="J42">
        <v>3.0054645705565879E-3</v>
      </c>
      <c r="K42" t="s">
        <v>14</v>
      </c>
      <c r="P42" t="s">
        <v>2142</v>
      </c>
      <c r="Q42" t="s">
        <v>2233</v>
      </c>
      <c r="R42" t="s">
        <v>2163</v>
      </c>
      <c r="S42" t="s">
        <v>17</v>
      </c>
      <c r="U42" t="s">
        <v>2142</v>
      </c>
      <c r="V42" t="s">
        <v>2234</v>
      </c>
      <c r="W42" t="s">
        <v>2226</v>
      </c>
      <c r="X42" t="s">
        <v>19</v>
      </c>
    </row>
    <row r="43" spans="8:24" x14ac:dyDescent="0.45">
      <c r="H43" t="s">
        <v>2189</v>
      </c>
      <c r="I43" t="s">
        <v>13</v>
      </c>
      <c r="J43">
        <v>3.0258659748333659E-3</v>
      </c>
      <c r="K43" t="s">
        <v>14</v>
      </c>
      <c r="P43" t="s">
        <v>2142</v>
      </c>
      <c r="Q43" t="s">
        <v>2235</v>
      </c>
      <c r="R43" t="s">
        <v>2167</v>
      </c>
      <c r="S43" t="s">
        <v>17</v>
      </c>
      <c r="U43" t="s">
        <v>2142</v>
      </c>
      <c r="V43" t="s">
        <v>2236</v>
      </c>
      <c r="W43" t="s">
        <v>2226</v>
      </c>
      <c r="X43" t="s">
        <v>19</v>
      </c>
    </row>
    <row r="44" spans="8:24" x14ac:dyDescent="0.45">
      <c r="H44" t="s">
        <v>2189</v>
      </c>
      <c r="I44" t="s">
        <v>27</v>
      </c>
      <c r="J44">
        <v>3.0258659748333659E-3</v>
      </c>
      <c r="K44" t="s">
        <v>14</v>
      </c>
      <c r="P44" t="s">
        <v>2142</v>
      </c>
      <c r="Q44" t="s">
        <v>2237</v>
      </c>
      <c r="R44" t="s">
        <v>2171</v>
      </c>
      <c r="S44" t="s">
        <v>17</v>
      </c>
      <c r="U44" t="s">
        <v>2142</v>
      </c>
      <c r="V44" t="s">
        <v>2238</v>
      </c>
      <c r="W44" t="s">
        <v>2226</v>
      </c>
      <c r="X44" t="s">
        <v>19</v>
      </c>
    </row>
    <row r="45" spans="8:24" x14ac:dyDescent="0.45">
      <c r="H45" t="s">
        <v>2189</v>
      </c>
      <c r="I45" t="s">
        <v>36</v>
      </c>
      <c r="J45">
        <v>3.0258659748333659E-3</v>
      </c>
      <c r="K45" t="s">
        <v>14</v>
      </c>
      <c r="P45" t="s">
        <v>2142</v>
      </c>
      <c r="Q45" t="s">
        <v>2239</v>
      </c>
      <c r="R45" t="s">
        <v>2175</v>
      </c>
      <c r="S45" t="s">
        <v>17</v>
      </c>
      <c r="U45" t="s">
        <v>2142</v>
      </c>
      <c r="V45" t="s">
        <v>2238</v>
      </c>
      <c r="W45" t="s">
        <v>2147</v>
      </c>
      <c r="X45" t="s">
        <v>17</v>
      </c>
    </row>
    <row r="46" spans="8:24" x14ac:dyDescent="0.45">
      <c r="H46" t="s">
        <v>2190</v>
      </c>
      <c r="I46" t="s">
        <v>13</v>
      </c>
      <c r="J46">
        <v>6.1934725033749298E-2</v>
      </c>
      <c r="K46" t="s">
        <v>14</v>
      </c>
      <c r="P46" t="s">
        <v>2142</v>
      </c>
      <c r="Q46" t="s">
        <v>2240</v>
      </c>
      <c r="R46" t="s">
        <v>2179</v>
      </c>
      <c r="S46" t="s">
        <v>17</v>
      </c>
      <c r="U46" t="s">
        <v>2142</v>
      </c>
      <c r="V46" t="s">
        <v>2241</v>
      </c>
      <c r="W46" t="s">
        <v>2226</v>
      </c>
      <c r="X46" t="s">
        <v>19</v>
      </c>
    </row>
    <row r="47" spans="8:24" x14ac:dyDescent="0.45">
      <c r="H47" t="s">
        <v>2190</v>
      </c>
      <c r="I47" t="s">
        <v>27</v>
      </c>
      <c r="J47">
        <v>6.1934725033749298E-2</v>
      </c>
      <c r="K47" t="s">
        <v>14</v>
      </c>
      <c r="P47" t="s">
        <v>2142</v>
      </c>
      <c r="Q47" t="s">
        <v>2242</v>
      </c>
      <c r="R47" t="s">
        <v>2183</v>
      </c>
      <c r="S47" t="s">
        <v>17</v>
      </c>
      <c r="U47" t="s">
        <v>2142</v>
      </c>
      <c r="V47" t="s">
        <v>2241</v>
      </c>
      <c r="W47" t="s">
        <v>2147</v>
      </c>
      <c r="X47" t="s">
        <v>17</v>
      </c>
    </row>
    <row r="48" spans="8:24" x14ac:dyDescent="0.45">
      <c r="H48" t="s">
        <v>2190</v>
      </c>
      <c r="I48" t="s">
        <v>36</v>
      </c>
      <c r="J48">
        <v>6.1934725033749298E-2</v>
      </c>
      <c r="K48" t="s">
        <v>14</v>
      </c>
      <c r="P48" t="s">
        <v>2142</v>
      </c>
      <c r="Q48" t="s">
        <v>2243</v>
      </c>
      <c r="R48" t="s">
        <v>2244</v>
      </c>
      <c r="S48" t="s">
        <v>17</v>
      </c>
      <c r="U48" t="s">
        <v>2142</v>
      </c>
      <c r="V48" t="s">
        <v>2245</v>
      </c>
      <c r="W48" t="s">
        <v>2151</v>
      </c>
      <c r="X48" t="s">
        <v>19</v>
      </c>
    </row>
    <row r="49" spans="8:24" x14ac:dyDescent="0.45">
      <c r="H49" t="s">
        <v>2192</v>
      </c>
      <c r="I49" t="s">
        <v>13</v>
      </c>
      <c r="J49">
        <v>0.2927796463248431</v>
      </c>
      <c r="K49" t="s">
        <v>14</v>
      </c>
      <c r="P49" t="s">
        <v>2142</v>
      </c>
      <c r="Q49" t="s">
        <v>2246</v>
      </c>
      <c r="R49" t="s">
        <v>2247</v>
      </c>
      <c r="S49" t="s">
        <v>17</v>
      </c>
      <c r="U49" t="s">
        <v>2142</v>
      </c>
      <c r="V49" t="s">
        <v>2248</v>
      </c>
      <c r="W49" t="s">
        <v>2151</v>
      </c>
      <c r="X49" t="s">
        <v>19</v>
      </c>
    </row>
    <row r="50" spans="8:24" x14ac:dyDescent="0.45">
      <c r="H50" t="s">
        <v>2192</v>
      </c>
      <c r="I50" t="s">
        <v>27</v>
      </c>
      <c r="J50">
        <v>0.2927796463248431</v>
      </c>
      <c r="K50" t="s">
        <v>14</v>
      </c>
      <c r="P50" t="s">
        <v>2142</v>
      </c>
      <c r="Q50" t="s">
        <v>2249</v>
      </c>
      <c r="R50" t="s">
        <v>2250</v>
      </c>
      <c r="S50" t="s">
        <v>17</v>
      </c>
      <c r="U50" t="s">
        <v>2142</v>
      </c>
      <c r="V50" t="s">
        <v>2251</v>
      </c>
      <c r="W50" t="s">
        <v>2151</v>
      </c>
      <c r="X50" t="s">
        <v>19</v>
      </c>
    </row>
    <row r="51" spans="8:24" x14ac:dyDescent="0.45">
      <c r="H51" t="s">
        <v>2192</v>
      </c>
      <c r="I51" t="s">
        <v>36</v>
      </c>
      <c r="J51">
        <v>0.2927796463248431</v>
      </c>
      <c r="K51" t="s">
        <v>14</v>
      </c>
      <c r="P51" t="s">
        <v>2142</v>
      </c>
      <c r="Q51" t="s">
        <v>2252</v>
      </c>
      <c r="R51" t="s">
        <v>2186</v>
      </c>
      <c r="S51" t="s">
        <v>17</v>
      </c>
      <c r="U51" t="s">
        <v>2142</v>
      </c>
      <c r="V51" t="s">
        <v>2253</v>
      </c>
      <c r="W51" t="s">
        <v>2151</v>
      </c>
      <c r="X51" t="s">
        <v>19</v>
      </c>
    </row>
    <row r="52" spans="8:24" x14ac:dyDescent="0.45">
      <c r="H52" t="s">
        <v>2193</v>
      </c>
      <c r="I52" t="s">
        <v>13</v>
      </c>
      <c r="J52">
        <v>0.12470320051888077</v>
      </c>
      <c r="K52" t="s">
        <v>14</v>
      </c>
      <c r="P52" t="s">
        <v>2142</v>
      </c>
      <c r="Q52" t="s">
        <v>2254</v>
      </c>
      <c r="R52" t="s">
        <v>2255</v>
      </c>
      <c r="S52" t="s">
        <v>17</v>
      </c>
      <c r="U52" t="s">
        <v>2142</v>
      </c>
      <c r="V52" t="s">
        <v>2256</v>
      </c>
      <c r="W52" t="s">
        <v>2151</v>
      </c>
      <c r="X52" t="s">
        <v>19</v>
      </c>
    </row>
    <row r="53" spans="8:24" x14ac:dyDescent="0.45">
      <c r="H53" t="s">
        <v>2193</v>
      </c>
      <c r="I53" t="s">
        <v>27</v>
      </c>
      <c r="J53">
        <v>0.12470320051888077</v>
      </c>
      <c r="K53" t="s">
        <v>14</v>
      </c>
      <c r="P53" t="s">
        <v>2142</v>
      </c>
      <c r="Q53" t="s">
        <v>2257</v>
      </c>
      <c r="R53" t="s">
        <v>2258</v>
      </c>
      <c r="S53" t="s">
        <v>17</v>
      </c>
      <c r="U53" t="s">
        <v>2142</v>
      </c>
      <c r="V53" t="s">
        <v>2259</v>
      </c>
      <c r="W53" t="s">
        <v>2151</v>
      </c>
      <c r="X53" t="s">
        <v>19</v>
      </c>
    </row>
    <row r="54" spans="8:24" x14ac:dyDescent="0.45">
      <c r="H54" t="s">
        <v>2193</v>
      </c>
      <c r="I54" t="s">
        <v>36</v>
      </c>
      <c r="J54">
        <v>0.12470320051888077</v>
      </c>
      <c r="K54" t="s">
        <v>14</v>
      </c>
      <c r="U54" t="s">
        <v>2142</v>
      </c>
      <c r="V54" t="s">
        <v>2260</v>
      </c>
      <c r="W54" t="s">
        <v>2151</v>
      </c>
      <c r="X54" t="s">
        <v>19</v>
      </c>
    </row>
    <row r="55" spans="8:24" x14ac:dyDescent="0.45">
      <c r="H55" t="s">
        <v>2195</v>
      </c>
      <c r="I55" t="s">
        <v>13</v>
      </c>
      <c r="J55">
        <v>7.3994780822397271E-2</v>
      </c>
      <c r="K55" t="s">
        <v>14</v>
      </c>
      <c r="U55" t="s">
        <v>2142</v>
      </c>
      <c r="V55" t="s">
        <v>2261</v>
      </c>
      <c r="W55" t="s">
        <v>2151</v>
      </c>
      <c r="X55" t="s">
        <v>19</v>
      </c>
    </row>
    <row r="56" spans="8:24" x14ac:dyDescent="0.45">
      <c r="H56" t="s">
        <v>2195</v>
      </c>
      <c r="I56" t="s">
        <v>27</v>
      </c>
      <c r="J56">
        <v>7.3994780822397271E-2</v>
      </c>
      <c r="K56" t="s">
        <v>14</v>
      </c>
      <c r="U56" t="s">
        <v>2142</v>
      </c>
      <c r="V56" t="s">
        <v>2262</v>
      </c>
      <c r="W56" t="s">
        <v>2151</v>
      </c>
      <c r="X56" t="s">
        <v>19</v>
      </c>
    </row>
    <row r="57" spans="8:24" x14ac:dyDescent="0.45">
      <c r="H57" t="s">
        <v>2195</v>
      </c>
      <c r="I57" t="s">
        <v>36</v>
      </c>
      <c r="J57">
        <v>7.3994780822397271E-2</v>
      </c>
      <c r="K57" t="s">
        <v>14</v>
      </c>
      <c r="U57" t="s">
        <v>2142</v>
      </c>
      <c r="V57" t="s">
        <v>2263</v>
      </c>
      <c r="W57" t="s">
        <v>2151</v>
      </c>
      <c r="X57" t="s">
        <v>19</v>
      </c>
    </row>
    <row r="58" spans="8:24" x14ac:dyDescent="0.45">
      <c r="H58" t="s">
        <v>2197</v>
      </c>
      <c r="I58" t="s">
        <v>13</v>
      </c>
      <c r="J58">
        <v>0.1115709138346376</v>
      </c>
      <c r="K58" t="s">
        <v>14</v>
      </c>
      <c r="U58" t="s">
        <v>2142</v>
      </c>
      <c r="V58" t="s">
        <v>2264</v>
      </c>
      <c r="W58" t="s">
        <v>2151</v>
      </c>
      <c r="X58" t="s">
        <v>19</v>
      </c>
    </row>
    <row r="59" spans="8:24" x14ac:dyDescent="0.45">
      <c r="H59" t="s">
        <v>2197</v>
      </c>
      <c r="I59" t="s">
        <v>27</v>
      </c>
      <c r="J59">
        <v>0.1115709138346376</v>
      </c>
      <c r="K59" t="s">
        <v>14</v>
      </c>
      <c r="U59" t="s">
        <v>2142</v>
      </c>
      <c r="V59" t="s">
        <v>2264</v>
      </c>
      <c r="W59" t="s">
        <v>2265</v>
      </c>
      <c r="X59" t="s">
        <v>19</v>
      </c>
    </row>
    <row r="60" spans="8:24" x14ac:dyDescent="0.45">
      <c r="H60" t="s">
        <v>2197</v>
      </c>
      <c r="I60" t="s">
        <v>36</v>
      </c>
      <c r="J60">
        <v>0.1115709138346376</v>
      </c>
      <c r="K60" t="s">
        <v>14</v>
      </c>
      <c r="U60" t="s">
        <v>2142</v>
      </c>
      <c r="V60" t="s">
        <v>2266</v>
      </c>
      <c r="W60" t="s">
        <v>2151</v>
      </c>
      <c r="X60" t="s">
        <v>19</v>
      </c>
    </row>
    <row r="61" spans="8:24" x14ac:dyDescent="0.45">
      <c r="H61" t="s">
        <v>2199</v>
      </c>
      <c r="I61" t="s">
        <v>13</v>
      </c>
      <c r="J61">
        <v>9.0417675174541051E-2</v>
      </c>
      <c r="K61" t="s">
        <v>14</v>
      </c>
      <c r="U61" t="s">
        <v>2142</v>
      </c>
      <c r="V61" t="s">
        <v>2266</v>
      </c>
      <c r="W61" t="s">
        <v>2265</v>
      </c>
      <c r="X61" t="s">
        <v>19</v>
      </c>
    </row>
    <row r="62" spans="8:24" x14ac:dyDescent="0.45">
      <c r="H62" t="s">
        <v>2199</v>
      </c>
      <c r="I62" t="s">
        <v>27</v>
      </c>
      <c r="J62">
        <v>9.0417675174541051E-2</v>
      </c>
      <c r="K62" t="s">
        <v>14</v>
      </c>
      <c r="U62" t="s">
        <v>2142</v>
      </c>
      <c r="V62" t="s">
        <v>2267</v>
      </c>
      <c r="W62" t="s">
        <v>2151</v>
      </c>
      <c r="X62" t="s">
        <v>19</v>
      </c>
    </row>
    <row r="63" spans="8:24" x14ac:dyDescent="0.45">
      <c r="H63" t="s">
        <v>2199</v>
      </c>
      <c r="I63" t="s">
        <v>36</v>
      </c>
      <c r="J63">
        <v>9.0417675174541051E-2</v>
      </c>
      <c r="K63" t="s">
        <v>14</v>
      </c>
      <c r="U63" t="s">
        <v>2142</v>
      </c>
      <c r="V63" t="s">
        <v>2267</v>
      </c>
      <c r="W63" t="s">
        <v>2265</v>
      </c>
      <c r="X63" t="s">
        <v>19</v>
      </c>
    </row>
    <row r="64" spans="8:24" x14ac:dyDescent="0.45">
      <c r="H64" t="s">
        <v>2200</v>
      </c>
      <c r="I64" t="s">
        <v>13</v>
      </c>
      <c r="J64">
        <v>4.8225139218706518E-2</v>
      </c>
      <c r="K64" t="s">
        <v>14</v>
      </c>
      <c r="U64" t="s">
        <v>2142</v>
      </c>
      <c r="V64" t="s">
        <v>2268</v>
      </c>
      <c r="W64" t="s">
        <v>2265</v>
      </c>
      <c r="X64" t="s">
        <v>19</v>
      </c>
    </row>
    <row r="65" spans="8:24" x14ac:dyDescent="0.45">
      <c r="H65" t="s">
        <v>2200</v>
      </c>
      <c r="I65" t="s">
        <v>27</v>
      </c>
      <c r="J65">
        <v>4.8225139218706518E-2</v>
      </c>
      <c r="K65" t="s">
        <v>14</v>
      </c>
      <c r="U65" t="s">
        <v>2142</v>
      </c>
      <c r="V65" t="s">
        <v>2269</v>
      </c>
      <c r="W65" t="s">
        <v>2265</v>
      </c>
      <c r="X65" t="s">
        <v>19</v>
      </c>
    </row>
    <row r="66" spans="8:24" x14ac:dyDescent="0.45">
      <c r="H66" t="s">
        <v>2200</v>
      </c>
      <c r="I66" t="s">
        <v>36</v>
      </c>
      <c r="J66">
        <v>4.8225139218706518E-2</v>
      </c>
      <c r="K66" t="s">
        <v>14</v>
      </c>
      <c r="U66" t="s">
        <v>2142</v>
      </c>
      <c r="V66" t="s">
        <v>2270</v>
      </c>
      <c r="W66" t="s">
        <v>2265</v>
      </c>
      <c r="X66" t="s">
        <v>19</v>
      </c>
    </row>
    <row r="67" spans="8:24" x14ac:dyDescent="0.45">
      <c r="H67" t="s">
        <v>2202</v>
      </c>
      <c r="I67" t="s">
        <v>13</v>
      </c>
      <c r="J67">
        <v>3.3013507303037433E-2</v>
      </c>
      <c r="K67" t="s">
        <v>14</v>
      </c>
      <c r="U67" t="s">
        <v>2142</v>
      </c>
      <c r="V67" t="s">
        <v>2270</v>
      </c>
      <c r="W67" t="s">
        <v>2151</v>
      </c>
      <c r="X67" t="s">
        <v>17</v>
      </c>
    </row>
    <row r="68" spans="8:24" x14ac:dyDescent="0.45">
      <c r="H68" t="s">
        <v>2202</v>
      </c>
      <c r="I68" t="s">
        <v>27</v>
      </c>
      <c r="J68">
        <v>3.3013507303037433E-2</v>
      </c>
      <c r="K68" t="s">
        <v>14</v>
      </c>
      <c r="U68" t="s">
        <v>2142</v>
      </c>
      <c r="V68" t="s">
        <v>2271</v>
      </c>
      <c r="W68" t="s">
        <v>2265</v>
      </c>
      <c r="X68" t="s">
        <v>19</v>
      </c>
    </row>
    <row r="69" spans="8:24" x14ac:dyDescent="0.45">
      <c r="H69" t="s">
        <v>2202</v>
      </c>
      <c r="I69" t="s">
        <v>36</v>
      </c>
      <c r="J69">
        <v>3.3013507303037433E-2</v>
      </c>
      <c r="K69" t="s">
        <v>14</v>
      </c>
      <c r="U69" t="s">
        <v>2142</v>
      </c>
      <c r="V69" t="s">
        <v>2271</v>
      </c>
      <c r="W69" t="s">
        <v>2151</v>
      </c>
      <c r="X69" t="s">
        <v>17</v>
      </c>
    </row>
    <row r="70" spans="8:24" x14ac:dyDescent="0.45">
      <c r="H70" t="s">
        <v>2203</v>
      </c>
      <c r="I70" t="s">
        <v>13</v>
      </c>
      <c r="J70">
        <v>0.13732908122381646</v>
      </c>
      <c r="K70" t="s">
        <v>14</v>
      </c>
      <c r="U70" t="s">
        <v>2142</v>
      </c>
      <c r="V70" t="s">
        <v>2272</v>
      </c>
      <c r="W70" t="s">
        <v>2155</v>
      </c>
      <c r="X70" t="s">
        <v>19</v>
      </c>
    </row>
    <row r="71" spans="8:24" x14ac:dyDescent="0.45">
      <c r="H71" t="s">
        <v>2203</v>
      </c>
      <c r="I71" t="s">
        <v>27</v>
      </c>
      <c r="J71">
        <v>0.13732908122381646</v>
      </c>
      <c r="K71" t="s">
        <v>14</v>
      </c>
      <c r="U71" t="s">
        <v>2142</v>
      </c>
      <c r="V71" t="s">
        <v>2273</v>
      </c>
      <c r="W71" t="s">
        <v>2155</v>
      </c>
      <c r="X71" t="s">
        <v>19</v>
      </c>
    </row>
    <row r="72" spans="8:24" x14ac:dyDescent="0.45">
      <c r="H72" t="s">
        <v>2203</v>
      </c>
      <c r="I72" t="s">
        <v>36</v>
      </c>
      <c r="J72">
        <v>0.13732908122381646</v>
      </c>
      <c r="K72" t="s">
        <v>14</v>
      </c>
      <c r="U72" t="s">
        <v>2142</v>
      </c>
      <c r="V72" t="s">
        <v>2274</v>
      </c>
      <c r="W72" t="s">
        <v>2155</v>
      </c>
      <c r="X72" t="s">
        <v>19</v>
      </c>
    </row>
    <row r="73" spans="8:24" x14ac:dyDescent="0.45">
      <c r="H73" t="s">
        <v>2205</v>
      </c>
      <c r="I73" t="s">
        <v>13</v>
      </c>
      <c r="J73">
        <v>3.0054645705565879E-3</v>
      </c>
      <c r="K73" t="s">
        <v>14</v>
      </c>
      <c r="U73" t="s">
        <v>2142</v>
      </c>
      <c r="V73" t="s">
        <v>2275</v>
      </c>
      <c r="W73" t="s">
        <v>2155</v>
      </c>
      <c r="X73" t="s">
        <v>19</v>
      </c>
    </row>
    <row r="74" spans="8:24" x14ac:dyDescent="0.45">
      <c r="H74" t="s">
        <v>2205</v>
      </c>
      <c r="I74" t="s">
        <v>27</v>
      </c>
      <c r="J74">
        <v>3.0054645705565879E-3</v>
      </c>
      <c r="K74" t="s">
        <v>14</v>
      </c>
      <c r="U74" t="s">
        <v>2142</v>
      </c>
      <c r="V74" t="s">
        <v>2276</v>
      </c>
      <c r="W74" t="s">
        <v>2155</v>
      </c>
      <c r="X74" t="s">
        <v>19</v>
      </c>
    </row>
    <row r="75" spans="8:24" x14ac:dyDescent="0.45">
      <c r="H75" t="s">
        <v>2205</v>
      </c>
      <c r="I75" t="s">
        <v>36</v>
      </c>
      <c r="J75">
        <v>3.0054645705565879E-3</v>
      </c>
      <c r="K75" t="s">
        <v>14</v>
      </c>
      <c r="U75" t="s">
        <v>2142</v>
      </c>
      <c r="V75" t="s">
        <v>2277</v>
      </c>
      <c r="W75" t="s">
        <v>2155</v>
      </c>
      <c r="X75" t="s">
        <v>19</v>
      </c>
    </row>
    <row r="76" spans="8:24" x14ac:dyDescent="0.45">
      <c r="H76" t="s">
        <v>2207</v>
      </c>
      <c r="I76" t="s">
        <v>13</v>
      </c>
      <c r="J76">
        <v>3.0258659748333659E-3</v>
      </c>
      <c r="K76" t="s">
        <v>14</v>
      </c>
      <c r="U76" t="s">
        <v>2142</v>
      </c>
      <c r="V76" t="s">
        <v>2278</v>
      </c>
      <c r="W76" t="s">
        <v>2155</v>
      </c>
      <c r="X76" t="s">
        <v>19</v>
      </c>
    </row>
    <row r="77" spans="8:24" x14ac:dyDescent="0.45">
      <c r="H77" t="s">
        <v>2207</v>
      </c>
      <c r="I77" t="s">
        <v>27</v>
      </c>
      <c r="J77">
        <v>3.0258659748333659E-3</v>
      </c>
      <c r="K77" t="s">
        <v>14</v>
      </c>
      <c r="U77" t="s">
        <v>2142</v>
      </c>
      <c r="V77" t="s">
        <v>2279</v>
      </c>
      <c r="W77" t="s">
        <v>2155</v>
      </c>
      <c r="X77" t="s">
        <v>19</v>
      </c>
    </row>
    <row r="78" spans="8:24" x14ac:dyDescent="0.45">
      <c r="H78" t="s">
        <v>2207</v>
      </c>
      <c r="I78" t="s">
        <v>36</v>
      </c>
      <c r="J78">
        <v>3.0258659748333659E-3</v>
      </c>
      <c r="K78" t="s">
        <v>14</v>
      </c>
      <c r="U78" t="s">
        <v>2142</v>
      </c>
      <c r="V78" t="s">
        <v>2280</v>
      </c>
      <c r="W78" t="s">
        <v>2155</v>
      </c>
      <c r="X78" t="s">
        <v>19</v>
      </c>
    </row>
    <row r="79" spans="8:24" x14ac:dyDescent="0.45">
      <c r="H79" t="s">
        <v>2209</v>
      </c>
      <c r="I79" t="s">
        <v>13</v>
      </c>
      <c r="J79">
        <v>6.1934725033749298E-2</v>
      </c>
      <c r="K79" t="s">
        <v>14</v>
      </c>
      <c r="U79" t="s">
        <v>2142</v>
      </c>
      <c r="V79" t="s">
        <v>2281</v>
      </c>
      <c r="W79" t="s">
        <v>2155</v>
      </c>
      <c r="X79" t="s">
        <v>19</v>
      </c>
    </row>
    <row r="80" spans="8:24" x14ac:dyDescent="0.45">
      <c r="H80" t="s">
        <v>2209</v>
      </c>
      <c r="I80" t="s">
        <v>27</v>
      </c>
      <c r="J80">
        <v>6.1934725033749298E-2</v>
      </c>
      <c r="K80" t="s">
        <v>14</v>
      </c>
      <c r="U80" t="s">
        <v>2142</v>
      </c>
      <c r="V80" t="s">
        <v>2282</v>
      </c>
      <c r="W80" t="s">
        <v>2155</v>
      </c>
      <c r="X80" t="s">
        <v>19</v>
      </c>
    </row>
    <row r="81" spans="8:24" x14ac:dyDescent="0.45">
      <c r="H81" t="s">
        <v>2209</v>
      </c>
      <c r="I81" t="s">
        <v>36</v>
      </c>
      <c r="J81">
        <v>6.1934725033749298E-2</v>
      </c>
      <c r="K81" t="s">
        <v>14</v>
      </c>
      <c r="U81" t="s">
        <v>2142</v>
      </c>
      <c r="V81" t="s">
        <v>2282</v>
      </c>
      <c r="W81" t="s">
        <v>2283</v>
      </c>
      <c r="X81" t="s">
        <v>19</v>
      </c>
    </row>
    <row r="82" spans="8:24" x14ac:dyDescent="0.45">
      <c r="H82" t="s">
        <v>2211</v>
      </c>
      <c r="I82" t="s">
        <v>13</v>
      </c>
      <c r="J82">
        <v>0.2927796463248431</v>
      </c>
      <c r="K82" t="s">
        <v>14</v>
      </c>
      <c r="U82" t="s">
        <v>2142</v>
      </c>
      <c r="V82" t="s">
        <v>2284</v>
      </c>
      <c r="W82" t="s">
        <v>2155</v>
      </c>
      <c r="X82" t="s">
        <v>19</v>
      </c>
    </row>
    <row r="83" spans="8:24" x14ac:dyDescent="0.45">
      <c r="H83" t="s">
        <v>2211</v>
      </c>
      <c r="I83" t="s">
        <v>27</v>
      </c>
      <c r="J83">
        <v>0.2927796463248431</v>
      </c>
      <c r="K83" t="s">
        <v>14</v>
      </c>
      <c r="U83" t="s">
        <v>2142</v>
      </c>
      <c r="V83" t="s">
        <v>2284</v>
      </c>
      <c r="W83" t="s">
        <v>2283</v>
      </c>
      <c r="X83" t="s">
        <v>19</v>
      </c>
    </row>
    <row r="84" spans="8:24" x14ac:dyDescent="0.45">
      <c r="H84" t="s">
        <v>2211</v>
      </c>
      <c r="I84" t="s">
        <v>36</v>
      </c>
      <c r="J84">
        <v>0.2927796463248431</v>
      </c>
      <c r="K84" t="s">
        <v>14</v>
      </c>
      <c r="U84" t="s">
        <v>2142</v>
      </c>
      <c r="V84" t="s">
        <v>2285</v>
      </c>
      <c r="W84" t="s">
        <v>2155</v>
      </c>
      <c r="X84" t="s">
        <v>19</v>
      </c>
    </row>
    <row r="85" spans="8:24" x14ac:dyDescent="0.45">
      <c r="H85" t="s">
        <v>2213</v>
      </c>
      <c r="I85" t="s">
        <v>13</v>
      </c>
      <c r="J85">
        <v>0.12470320051888077</v>
      </c>
      <c r="K85" t="s">
        <v>14</v>
      </c>
      <c r="U85" t="s">
        <v>2142</v>
      </c>
      <c r="V85" t="s">
        <v>2285</v>
      </c>
      <c r="W85" t="s">
        <v>2283</v>
      </c>
      <c r="X85" t="s">
        <v>19</v>
      </c>
    </row>
    <row r="86" spans="8:24" x14ac:dyDescent="0.45">
      <c r="H86" t="s">
        <v>2213</v>
      </c>
      <c r="I86" t="s">
        <v>27</v>
      </c>
      <c r="J86">
        <v>0.12470320051888077</v>
      </c>
      <c r="K86" t="s">
        <v>14</v>
      </c>
      <c r="U86" t="s">
        <v>2142</v>
      </c>
      <c r="V86" t="s">
        <v>2286</v>
      </c>
      <c r="W86" t="s">
        <v>2283</v>
      </c>
      <c r="X86" t="s">
        <v>19</v>
      </c>
    </row>
    <row r="87" spans="8:24" x14ac:dyDescent="0.45">
      <c r="H87" t="s">
        <v>2213</v>
      </c>
      <c r="I87" t="s">
        <v>36</v>
      </c>
      <c r="J87">
        <v>0.12470320051888077</v>
      </c>
      <c r="K87" t="s">
        <v>14</v>
      </c>
      <c r="U87" t="s">
        <v>2142</v>
      </c>
      <c r="V87" t="s">
        <v>2287</v>
      </c>
      <c r="W87" t="s">
        <v>2283</v>
      </c>
      <c r="X87" t="s">
        <v>19</v>
      </c>
    </row>
    <row r="88" spans="8:24" x14ac:dyDescent="0.45">
      <c r="H88" t="s">
        <v>2215</v>
      </c>
      <c r="I88" t="s">
        <v>13</v>
      </c>
      <c r="J88">
        <v>7.3994780822397271E-2</v>
      </c>
      <c r="K88" t="s">
        <v>14</v>
      </c>
      <c r="U88" t="s">
        <v>2142</v>
      </c>
      <c r="V88" t="s">
        <v>2288</v>
      </c>
      <c r="W88" t="s">
        <v>2283</v>
      </c>
      <c r="X88" t="s">
        <v>19</v>
      </c>
    </row>
    <row r="89" spans="8:24" x14ac:dyDescent="0.45">
      <c r="H89" t="s">
        <v>2215</v>
      </c>
      <c r="I89" t="s">
        <v>27</v>
      </c>
      <c r="J89">
        <v>7.3994780822397271E-2</v>
      </c>
      <c r="K89" t="s">
        <v>14</v>
      </c>
      <c r="U89" t="s">
        <v>2142</v>
      </c>
      <c r="V89" t="s">
        <v>2288</v>
      </c>
      <c r="W89" t="s">
        <v>2155</v>
      </c>
      <c r="X89" t="s">
        <v>17</v>
      </c>
    </row>
    <row r="90" spans="8:24" x14ac:dyDescent="0.45">
      <c r="H90" t="s">
        <v>2215</v>
      </c>
      <c r="I90" t="s">
        <v>36</v>
      </c>
      <c r="J90">
        <v>7.3994780822397271E-2</v>
      </c>
      <c r="K90" t="s">
        <v>14</v>
      </c>
      <c r="U90" t="s">
        <v>2142</v>
      </c>
      <c r="V90" t="s">
        <v>2289</v>
      </c>
      <c r="W90" t="s">
        <v>2283</v>
      </c>
      <c r="X90" t="s">
        <v>19</v>
      </c>
    </row>
    <row r="91" spans="8:24" x14ac:dyDescent="0.45">
      <c r="H91" t="s">
        <v>2217</v>
      </c>
      <c r="I91" t="s">
        <v>13</v>
      </c>
      <c r="J91">
        <v>0.1115709138346376</v>
      </c>
      <c r="K91" t="s">
        <v>14</v>
      </c>
      <c r="U91" t="s">
        <v>2142</v>
      </c>
      <c r="V91" t="s">
        <v>2289</v>
      </c>
      <c r="W91" t="s">
        <v>2155</v>
      </c>
      <c r="X91" t="s">
        <v>17</v>
      </c>
    </row>
    <row r="92" spans="8:24" x14ac:dyDescent="0.45">
      <c r="H92" t="s">
        <v>2217</v>
      </c>
      <c r="I92" t="s">
        <v>27</v>
      </c>
      <c r="J92">
        <v>0.1115709138346376</v>
      </c>
      <c r="K92" t="s">
        <v>14</v>
      </c>
      <c r="U92" t="s">
        <v>2142</v>
      </c>
      <c r="V92" t="s">
        <v>2290</v>
      </c>
      <c r="W92" t="s">
        <v>2159</v>
      </c>
      <c r="X92" t="s">
        <v>19</v>
      </c>
    </row>
    <row r="93" spans="8:24" x14ac:dyDescent="0.45">
      <c r="H93" t="s">
        <v>2217</v>
      </c>
      <c r="I93" t="s">
        <v>36</v>
      </c>
      <c r="J93">
        <v>0.1115709138346376</v>
      </c>
      <c r="K93" t="s">
        <v>14</v>
      </c>
      <c r="U93" t="s">
        <v>2142</v>
      </c>
      <c r="V93" t="s">
        <v>2291</v>
      </c>
      <c r="W93" t="s">
        <v>2159</v>
      </c>
      <c r="X93" t="s">
        <v>19</v>
      </c>
    </row>
    <row r="94" spans="8:24" x14ac:dyDescent="0.45">
      <c r="H94" t="s">
        <v>2219</v>
      </c>
      <c r="I94" t="s">
        <v>13</v>
      </c>
      <c r="J94">
        <v>9.0417675174541051E-2</v>
      </c>
      <c r="K94" t="s">
        <v>14</v>
      </c>
      <c r="U94" t="s">
        <v>2142</v>
      </c>
      <c r="V94" t="s">
        <v>2292</v>
      </c>
      <c r="W94" t="s">
        <v>2159</v>
      </c>
      <c r="X94" t="s">
        <v>19</v>
      </c>
    </row>
    <row r="95" spans="8:24" x14ac:dyDescent="0.45">
      <c r="H95" t="s">
        <v>2219</v>
      </c>
      <c r="I95" t="s">
        <v>27</v>
      </c>
      <c r="J95">
        <v>9.0417675174541051E-2</v>
      </c>
      <c r="K95" t="s">
        <v>14</v>
      </c>
      <c r="U95" t="s">
        <v>2142</v>
      </c>
      <c r="V95" t="s">
        <v>2293</v>
      </c>
      <c r="W95" t="s">
        <v>2159</v>
      </c>
      <c r="X95" t="s">
        <v>19</v>
      </c>
    </row>
    <row r="96" spans="8:24" x14ac:dyDescent="0.45">
      <c r="H96" t="s">
        <v>2219</v>
      </c>
      <c r="I96" t="s">
        <v>36</v>
      </c>
      <c r="J96">
        <v>9.0417675174541051E-2</v>
      </c>
      <c r="K96" t="s">
        <v>14</v>
      </c>
      <c r="U96" t="s">
        <v>2142</v>
      </c>
      <c r="V96" t="s">
        <v>2294</v>
      </c>
      <c r="W96" t="s">
        <v>2159</v>
      </c>
      <c r="X96" t="s">
        <v>19</v>
      </c>
    </row>
    <row r="97" spans="8:24" x14ac:dyDescent="0.45">
      <c r="H97" t="s">
        <v>2221</v>
      </c>
      <c r="I97" t="s">
        <v>13</v>
      </c>
      <c r="J97">
        <v>4.8225139218706518E-2</v>
      </c>
      <c r="K97" t="s">
        <v>14</v>
      </c>
      <c r="U97" t="s">
        <v>2142</v>
      </c>
      <c r="V97" t="s">
        <v>2295</v>
      </c>
      <c r="W97" t="s">
        <v>2159</v>
      </c>
      <c r="X97" t="s">
        <v>19</v>
      </c>
    </row>
    <row r="98" spans="8:24" x14ac:dyDescent="0.45">
      <c r="H98" t="s">
        <v>2221</v>
      </c>
      <c r="I98" t="s">
        <v>27</v>
      </c>
      <c r="J98">
        <v>4.8225139218706518E-2</v>
      </c>
      <c r="K98" t="s">
        <v>14</v>
      </c>
      <c r="U98" t="s">
        <v>2142</v>
      </c>
      <c r="V98" t="s">
        <v>2296</v>
      </c>
      <c r="W98" t="s">
        <v>2159</v>
      </c>
      <c r="X98" t="s">
        <v>19</v>
      </c>
    </row>
    <row r="99" spans="8:24" x14ac:dyDescent="0.45">
      <c r="H99" t="s">
        <v>2221</v>
      </c>
      <c r="I99" t="s">
        <v>36</v>
      </c>
      <c r="J99">
        <v>4.8225139218706518E-2</v>
      </c>
      <c r="K99" t="s">
        <v>14</v>
      </c>
      <c r="U99" t="s">
        <v>2142</v>
      </c>
      <c r="V99" t="s">
        <v>2297</v>
      </c>
      <c r="W99" t="s">
        <v>2159</v>
      </c>
      <c r="X99" t="s">
        <v>19</v>
      </c>
    </row>
    <row r="100" spans="8:24" x14ac:dyDescent="0.45">
      <c r="H100" t="s">
        <v>2223</v>
      </c>
      <c r="I100" t="s">
        <v>13</v>
      </c>
      <c r="J100">
        <v>3.3013507303037433E-2</v>
      </c>
      <c r="K100" t="s">
        <v>14</v>
      </c>
      <c r="U100" t="s">
        <v>2142</v>
      </c>
      <c r="V100" t="s">
        <v>2298</v>
      </c>
      <c r="W100" t="s">
        <v>2159</v>
      </c>
      <c r="X100" t="s">
        <v>19</v>
      </c>
    </row>
    <row r="101" spans="8:24" x14ac:dyDescent="0.45">
      <c r="H101" t="s">
        <v>2223</v>
      </c>
      <c r="I101" t="s">
        <v>27</v>
      </c>
      <c r="J101">
        <v>3.3013507303037433E-2</v>
      </c>
      <c r="K101" t="s">
        <v>14</v>
      </c>
      <c r="U101" t="s">
        <v>2142</v>
      </c>
      <c r="V101" t="s">
        <v>2299</v>
      </c>
      <c r="W101" t="s">
        <v>2159</v>
      </c>
      <c r="X101" t="s">
        <v>19</v>
      </c>
    </row>
    <row r="102" spans="8:24" x14ac:dyDescent="0.45">
      <c r="H102" t="s">
        <v>2223</v>
      </c>
      <c r="I102" t="s">
        <v>36</v>
      </c>
      <c r="J102">
        <v>3.3013507303037433E-2</v>
      </c>
      <c r="K102" t="s">
        <v>14</v>
      </c>
      <c r="U102" t="s">
        <v>2142</v>
      </c>
      <c r="V102" t="s">
        <v>2300</v>
      </c>
      <c r="W102" t="s">
        <v>2159</v>
      </c>
      <c r="X102" t="s">
        <v>19</v>
      </c>
    </row>
    <row r="103" spans="8:24" x14ac:dyDescent="0.45">
      <c r="H103" t="s">
        <v>2225</v>
      </c>
      <c r="I103" t="s">
        <v>13</v>
      </c>
      <c r="J103">
        <v>0.13732908122381646</v>
      </c>
      <c r="K103" t="s">
        <v>14</v>
      </c>
      <c r="U103" t="s">
        <v>2142</v>
      </c>
      <c r="V103" t="s">
        <v>2300</v>
      </c>
      <c r="W103" t="s">
        <v>2244</v>
      </c>
      <c r="X103" t="s">
        <v>19</v>
      </c>
    </row>
    <row r="104" spans="8:24" x14ac:dyDescent="0.45">
      <c r="H104" t="s">
        <v>2225</v>
      </c>
      <c r="I104" t="s">
        <v>27</v>
      </c>
      <c r="J104">
        <v>0.13732908122381646</v>
      </c>
      <c r="K104" t="s">
        <v>14</v>
      </c>
      <c r="U104" t="s">
        <v>2142</v>
      </c>
      <c r="V104" t="s">
        <v>2301</v>
      </c>
      <c r="W104" t="s">
        <v>2159</v>
      </c>
      <c r="X104" t="s">
        <v>19</v>
      </c>
    </row>
    <row r="105" spans="8:24" x14ac:dyDescent="0.45">
      <c r="H105" t="s">
        <v>2225</v>
      </c>
      <c r="I105" t="s">
        <v>36</v>
      </c>
      <c r="J105">
        <v>0.13732908122381646</v>
      </c>
      <c r="K105" t="s">
        <v>14</v>
      </c>
      <c r="U105" t="s">
        <v>2142</v>
      </c>
      <c r="V105" t="s">
        <v>2301</v>
      </c>
      <c r="W105" t="s">
        <v>2244</v>
      </c>
      <c r="X105" t="s">
        <v>19</v>
      </c>
    </row>
    <row r="106" spans="8:24" x14ac:dyDescent="0.45">
      <c r="H106" t="s">
        <v>2227</v>
      </c>
      <c r="I106" t="s">
        <v>13</v>
      </c>
      <c r="J106">
        <v>3.0054645705565879E-3</v>
      </c>
      <c r="K106" t="s">
        <v>14</v>
      </c>
      <c r="U106" t="s">
        <v>2142</v>
      </c>
      <c r="V106" t="s">
        <v>2302</v>
      </c>
      <c r="W106" t="s">
        <v>2159</v>
      </c>
      <c r="X106" t="s">
        <v>19</v>
      </c>
    </row>
    <row r="107" spans="8:24" x14ac:dyDescent="0.45">
      <c r="H107" t="s">
        <v>2227</v>
      </c>
      <c r="I107" t="s">
        <v>27</v>
      </c>
      <c r="J107">
        <v>3.0054645705565879E-3</v>
      </c>
      <c r="K107" t="s">
        <v>14</v>
      </c>
      <c r="U107" t="s">
        <v>2142</v>
      </c>
      <c r="V107" t="s">
        <v>2302</v>
      </c>
      <c r="W107" t="s">
        <v>2244</v>
      </c>
      <c r="X107" t="s">
        <v>19</v>
      </c>
    </row>
    <row r="108" spans="8:24" x14ac:dyDescent="0.45">
      <c r="H108" t="s">
        <v>2227</v>
      </c>
      <c r="I108" t="s">
        <v>36</v>
      </c>
      <c r="J108">
        <v>3.0054645705565879E-3</v>
      </c>
      <c r="K108" t="s">
        <v>14</v>
      </c>
      <c r="U108" t="s">
        <v>2142</v>
      </c>
      <c r="V108" t="s">
        <v>2303</v>
      </c>
      <c r="W108" t="s">
        <v>2244</v>
      </c>
      <c r="X108" t="s">
        <v>19</v>
      </c>
    </row>
    <row r="109" spans="8:24" x14ac:dyDescent="0.45">
      <c r="H109" t="s">
        <v>2229</v>
      </c>
      <c r="I109" t="s">
        <v>13</v>
      </c>
      <c r="J109">
        <v>3.0258659748333659E-3</v>
      </c>
      <c r="K109" t="s">
        <v>14</v>
      </c>
      <c r="U109" t="s">
        <v>2142</v>
      </c>
      <c r="V109" t="s">
        <v>2304</v>
      </c>
      <c r="W109" t="s">
        <v>2244</v>
      </c>
      <c r="X109" t="s">
        <v>19</v>
      </c>
    </row>
    <row r="110" spans="8:24" x14ac:dyDescent="0.45">
      <c r="H110" t="s">
        <v>2229</v>
      </c>
      <c r="I110" t="s">
        <v>27</v>
      </c>
      <c r="J110">
        <v>3.0258659748333659E-3</v>
      </c>
      <c r="K110" t="s">
        <v>14</v>
      </c>
      <c r="U110" t="s">
        <v>2142</v>
      </c>
      <c r="V110" t="s">
        <v>2305</v>
      </c>
      <c r="W110" t="s">
        <v>2244</v>
      </c>
      <c r="X110" t="s">
        <v>19</v>
      </c>
    </row>
    <row r="111" spans="8:24" x14ac:dyDescent="0.45">
      <c r="H111" t="s">
        <v>2229</v>
      </c>
      <c r="I111" t="s">
        <v>36</v>
      </c>
      <c r="J111">
        <v>3.0258659748333659E-3</v>
      </c>
      <c r="K111" t="s">
        <v>14</v>
      </c>
      <c r="U111" t="s">
        <v>2142</v>
      </c>
      <c r="V111" t="s">
        <v>2305</v>
      </c>
      <c r="W111" t="s">
        <v>2159</v>
      </c>
      <c r="X111" t="s">
        <v>17</v>
      </c>
    </row>
    <row r="112" spans="8:24" x14ac:dyDescent="0.45">
      <c r="H112" t="s">
        <v>2230</v>
      </c>
      <c r="I112" t="s">
        <v>13</v>
      </c>
      <c r="J112">
        <v>6.1934725033749298E-2</v>
      </c>
      <c r="K112" t="s">
        <v>14</v>
      </c>
      <c r="U112" t="s">
        <v>2142</v>
      </c>
      <c r="V112" t="s">
        <v>2306</v>
      </c>
      <c r="W112" t="s">
        <v>2244</v>
      </c>
      <c r="X112" t="s">
        <v>19</v>
      </c>
    </row>
    <row r="113" spans="8:24" x14ac:dyDescent="0.45">
      <c r="H113" t="s">
        <v>2230</v>
      </c>
      <c r="I113" t="s">
        <v>27</v>
      </c>
      <c r="J113">
        <v>6.1934725033749298E-2</v>
      </c>
      <c r="K113" t="s">
        <v>14</v>
      </c>
      <c r="U113" t="s">
        <v>2142</v>
      </c>
      <c r="V113" t="s">
        <v>2306</v>
      </c>
      <c r="W113" t="s">
        <v>2159</v>
      </c>
      <c r="X113" t="s">
        <v>17</v>
      </c>
    </row>
    <row r="114" spans="8:24" x14ac:dyDescent="0.45">
      <c r="H114" t="s">
        <v>2230</v>
      </c>
      <c r="I114" t="s">
        <v>36</v>
      </c>
      <c r="J114">
        <v>6.1934725033749298E-2</v>
      </c>
      <c r="K114" t="s">
        <v>14</v>
      </c>
      <c r="U114" t="s">
        <v>2142</v>
      </c>
      <c r="V114" t="s">
        <v>2307</v>
      </c>
      <c r="W114" t="s">
        <v>2163</v>
      </c>
      <c r="X114" t="s">
        <v>19</v>
      </c>
    </row>
    <row r="115" spans="8:24" x14ac:dyDescent="0.45">
      <c r="H115" t="s">
        <v>2232</v>
      </c>
      <c r="I115" t="s">
        <v>13</v>
      </c>
      <c r="J115">
        <v>0.2927796463248431</v>
      </c>
      <c r="K115" t="s">
        <v>14</v>
      </c>
      <c r="U115" t="s">
        <v>2142</v>
      </c>
      <c r="V115" t="s">
        <v>2308</v>
      </c>
      <c r="W115" t="s">
        <v>2163</v>
      </c>
      <c r="X115" t="s">
        <v>19</v>
      </c>
    </row>
    <row r="116" spans="8:24" x14ac:dyDescent="0.45">
      <c r="H116" t="s">
        <v>2232</v>
      </c>
      <c r="I116" t="s">
        <v>27</v>
      </c>
      <c r="J116">
        <v>0.2927796463248431</v>
      </c>
      <c r="K116" t="s">
        <v>14</v>
      </c>
      <c r="U116" t="s">
        <v>2142</v>
      </c>
      <c r="V116" t="s">
        <v>2309</v>
      </c>
      <c r="W116" t="s">
        <v>2163</v>
      </c>
      <c r="X116" t="s">
        <v>19</v>
      </c>
    </row>
    <row r="117" spans="8:24" x14ac:dyDescent="0.45">
      <c r="H117" t="s">
        <v>2232</v>
      </c>
      <c r="I117" t="s">
        <v>36</v>
      </c>
      <c r="J117">
        <v>0.2927796463248431</v>
      </c>
      <c r="K117" t="s">
        <v>14</v>
      </c>
      <c r="U117" t="s">
        <v>2142</v>
      </c>
      <c r="V117" t="s">
        <v>2310</v>
      </c>
      <c r="W117" t="s">
        <v>2163</v>
      </c>
      <c r="X117" t="s">
        <v>19</v>
      </c>
    </row>
    <row r="118" spans="8:24" x14ac:dyDescent="0.45">
      <c r="H118" t="s">
        <v>2233</v>
      </c>
      <c r="I118" t="s">
        <v>13</v>
      </c>
      <c r="J118">
        <v>0.12470320051888077</v>
      </c>
      <c r="K118" t="s">
        <v>14</v>
      </c>
      <c r="U118" t="s">
        <v>2142</v>
      </c>
      <c r="V118" t="s">
        <v>2311</v>
      </c>
      <c r="W118" t="s">
        <v>2163</v>
      </c>
      <c r="X118" t="s">
        <v>19</v>
      </c>
    </row>
    <row r="119" spans="8:24" x14ac:dyDescent="0.45">
      <c r="H119" t="s">
        <v>2233</v>
      </c>
      <c r="I119" t="s">
        <v>27</v>
      </c>
      <c r="J119">
        <v>0.12470320051888077</v>
      </c>
      <c r="K119" t="s">
        <v>14</v>
      </c>
      <c r="U119" t="s">
        <v>2142</v>
      </c>
      <c r="V119" t="s">
        <v>2312</v>
      </c>
      <c r="W119" t="s">
        <v>2163</v>
      </c>
      <c r="X119" t="s">
        <v>19</v>
      </c>
    </row>
    <row r="120" spans="8:24" x14ac:dyDescent="0.45">
      <c r="H120" t="s">
        <v>2233</v>
      </c>
      <c r="I120" t="s">
        <v>36</v>
      </c>
      <c r="J120">
        <v>0.12470320051888077</v>
      </c>
      <c r="K120" t="s">
        <v>14</v>
      </c>
      <c r="U120" t="s">
        <v>2142</v>
      </c>
      <c r="V120" t="s">
        <v>2313</v>
      </c>
      <c r="W120" t="s">
        <v>2163</v>
      </c>
      <c r="X120" t="s">
        <v>19</v>
      </c>
    </row>
    <row r="121" spans="8:24" x14ac:dyDescent="0.45">
      <c r="H121" t="s">
        <v>2235</v>
      </c>
      <c r="I121" t="s">
        <v>13</v>
      </c>
      <c r="J121">
        <v>7.3994780822397271E-2</v>
      </c>
      <c r="K121" t="s">
        <v>14</v>
      </c>
      <c r="U121" t="s">
        <v>2142</v>
      </c>
      <c r="V121" t="s">
        <v>2314</v>
      </c>
      <c r="W121" t="s">
        <v>2163</v>
      </c>
      <c r="X121" t="s">
        <v>19</v>
      </c>
    </row>
    <row r="122" spans="8:24" x14ac:dyDescent="0.45">
      <c r="H122" t="s">
        <v>2235</v>
      </c>
      <c r="I122" t="s">
        <v>27</v>
      </c>
      <c r="J122">
        <v>7.3994780822397271E-2</v>
      </c>
      <c r="K122" t="s">
        <v>14</v>
      </c>
      <c r="U122" t="s">
        <v>2142</v>
      </c>
      <c r="V122" t="s">
        <v>2315</v>
      </c>
      <c r="W122" t="s">
        <v>2163</v>
      </c>
      <c r="X122" t="s">
        <v>19</v>
      </c>
    </row>
    <row r="123" spans="8:24" x14ac:dyDescent="0.45">
      <c r="H123" t="s">
        <v>2235</v>
      </c>
      <c r="I123" t="s">
        <v>36</v>
      </c>
      <c r="J123">
        <v>7.3994780822397271E-2</v>
      </c>
      <c r="K123" t="s">
        <v>14</v>
      </c>
      <c r="U123" t="s">
        <v>2142</v>
      </c>
      <c r="V123" t="s">
        <v>2316</v>
      </c>
      <c r="W123" t="s">
        <v>2163</v>
      </c>
      <c r="X123" t="s">
        <v>19</v>
      </c>
    </row>
    <row r="124" spans="8:24" x14ac:dyDescent="0.45">
      <c r="H124" t="s">
        <v>2237</v>
      </c>
      <c r="I124" t="s">
        <v>13</v>
      </c>
      <c r="J124">
        <v>0.1115709138346376</v>
      </c>
      <c r="K124" t="s">
        <v>14</v>
      </c>
      <c r="U124" t="s">
        <v>2142</v>
      </c>
      <c r="V124" t="s">
        <v>2317</v>
      </c>
      <c r="W124" t="s">
        <v>2163</v>
      </c>
      <c r="X124" t="s">
        <v>19</v>
      </c>
    </row>
    <row r="125" spans="8:24" x14ac:dyDescent="0.45">
      <c r="H125" t="s">
        <v>2237</v>
      </c>
      <c r="I125" t="s">
        <v>27</v>
      </c>
      <c r="J125">
        <v>0.1115709138346376</v>
      </c>
      <c r="K125" t="s">
        <v>14</v>
      </c>
      <c r="U125" t="s">
        <v>2142</v>
      </c>
      <c r="V125" t="s">
        <v>2317</v>
      </c>
      <c r="W125" t="s">
        <v>2247</v>
      </c>
      <c r="X125" t="s">
        <v>19</v>
      </c>
    </row>
    <row r="126" spans="8:24" x14ac:dyDescent="0.45">
      <c r="H126" t="s">
        <v>2237</v>
      </c>
      <c r="I126" t="s">
        <v>36</v>
      </c>
      <c r="J126">
        <v>0.1115709138346376</v>
      </c>
      <c r="K126" t="s">
        <v>14</v>
      </c>
      <c r="U126" t="s">
        <v>2142</v>
      </c>
      <c r="V126" t="s">
        <v>2318</v>
      </c>
      <c r="W126" t="s">
        <v>2163</v>
      </c>
      <c r="X126" t="s">
        <v>19</v>
      </c>
    </row>
    <row r="127" spans="8:24" x14ac:dyDescent="0.45">
      <c r="H127" t="s">
        <v>2239</v>
      </c>
      <c r="I127" t="s">
        <v>13</v>
      </c>
      <c r="J127">
        <v>9.0417675174541051E-2</v>
      </c>
      <c r="K127" t="s">
        <v>14</v>
      </c>
      <c r="U127" t="s">
        <v>2142</v>
      </c>
      <c r="V127" t="s">
        <v>2318</v>
      </c>
      <c r="W127" t="s">
        <v>2247</v>
      </c>
      <c r="X127" t="s">
        <v>19</v>
      </c>
    </row>
    <row r="128" spans="8:24" x14ac:dyDescent="0.45">
      <c r="H128" t="s">
        <v>2239</v>
      </c>
      <c r="I128" t="s">
        <v>27</v>
      </c>
      <c r="J128">
        <v>9.0417675174541051E-2</v>
      </c>
      <c r="K128" t="s">
        <v>14</v>
      </c>
      <c r="U128" t="s">
        <v>2142</v>
      </c>
      <c r="V128" t="s">
        <v>2319</v>
      </c>
      <c r="W128" t="s">
        <v>2163</v>
      </c>
      <c r="X128" t="s">
        <v>19</v>
      </c>
    </row>
    <row r="129" spans="8:24" x14ac:dyDescent="0.45">
      <c r="H129" t="s">
        <v>2239</v>
      </c>
      <c r="I129" t="s">
        <v>36</v>
      </c>
      <c r="J129">
        <v>9.0417675174541051E-2</v>
      </c>
      <c r="K129" t="s">
        <v>14</v>
      </c>
      <c r="U129" t="s">
        <v>2142</v>
      </c>
      <c r="V129" t="s">
        <v>2319</v>
      </c>
      <c r="W129" t="s">
        <v>2247</v>
      </c>
      <c r="X129" t="s">
        <v>19</v>
      </c>
    </row>
    <row r="130" spans="8:24" x14ac:dyDescent="0.45">
      <c r="H130" t="s">
        <v>2240</v>
      </c>
      <c r="I130" t="s">
        <v>13</v>
      </c>
      <c r="J130">
        <v>4.8225139218706518E-2</v>
      </c>
      <c r="K130" t="s">
        <v>14</v>
      </c>
      <c r="U130" t="s">
        <v>2142</v>
      </c>
      <c r="V130" t="s">
        <v>2320</v>
      </c>
      <c r="W130" t="s">
        <v>2247</v>
      </c>
      <c r="X130" t="s">
        <v>19</v>
      </c>
    </row>
    <row r="131" spans="8:24" x14ac:dyDescent="0.45">
      <c r="H131" t="s">
        <v>2240</v>
      </c>
      <c r="I131" t="s">
        <v>27</v>
      </c>
      <c r="J131">
        <v>4.8225139218706518E-2</v>
      </c>
      <c r="K131" t="s">
        <v>14</v>
      </c>
      <c r="U131" t="s">
        <v>2142</v>
      </c>
      <c r="V131" t="s">
        <v>2321</v>
      </c>
      <c r="W131" t="s">
        <v>2247</v>
      </c>
      <c r="X131" t="s">
        <v>19</v>
      </c>
    </row>
    <row r="132" spans="8:24" x14ac:dyDescent="0.45">
      <c r="H132" t="s">
        <v>2240</v>
      </c>
      <c r="I132" t="s">
        <v>36</v>
      </c>
      <c r="J132">
        <v>4.8225139218706518E-2</v>
      </c>
      <c r="K132" t="s">
        <v>14</v>
      </c>
      <c r="U132" t="s">
        <v>2142</v>
      </c>
      <c r="V132" t="s">
        <v>2322</v>
      </c>
      <c r="W132" t="s">
        <v>2247</v>
      </c>
      <c r="X132" t="s">
        <v>19</v>
      </c>
    </row>
    <row r="133" spans="8:24" x14ac:dyDescent="0.45">
      <c r="H133" t="s">
        <v>2242</v>
      </c>
      <c r="I133" t="s">
        <v>13</v>
      </c>
      <c r="J133">
        <v>3.3013507303037433E-2</v>
      </c>
      <c r="K133" t="s">
        <v>14</v>
      </c>
      <c r="U133" t="s">
        <v>2142</v>
      </c>
      <c r="V133" t="s">
        <v>2322</v>
      </c>
      <c r="W133" t="s">
        <v>2163</v>
      </c>
      <c r="X133" t="s">
        <v>17</v>
      </c>
    </row>
    <row r="134" spans="8:24" x14ac:dyDescent="0.45">
      <c r="H134" t="s">
        <v>2242</v>
      </c>
      <c r="I134" t="s">
        <v>27</v>
      </c>
      <c r="J134">
        <v>3.3013507303037433E-2</v>
      </c>
      <c r="K134" t="s">
        <v>14</v>
      </c>
      <c r="U134" t="s">
        <v>2142</v>
      </c>
      <c r="V134" t="s">
        <v>2323</v>
      </c>
      <c r="W134" t="s">
        <v>2247</v>
      </c>
      <c r="X134" t="s">
        <v>19</v>
      </c>
    </row>
    <row r="135" spans="8:24" x14ac:dyDescent="0.45">
      <c r="H135" t="s">
        <v>2242</v>
      </c>
      <c r="I135" t="s">
        <v>36</v>
      </c>
      <c r="J135">
        <v>3.3013507303037433E-2</v>
      </c>
      <c r="K135" t="s">
        <v>14</v>
      </c>
      <c r="U135" t="s">
        <v>2142</v>
      </c>
      <c r="V135" t="s">
        <v>2323</v>
      </c>
      <c r="W135" t="s">
        <v>2163</v>
      </c>
      <c r="X135" t="s">
        <v>17</v>
      </c>
    </row>
    <row r="136" spans="8:24" x14ac:dyDescent="0.45">
      <c r="H136" t="s">
        <v>2141</v>
      </c>
      <c r="I136" t="s">
        <v>632</v>
      </c>
      <c r="J136">
        <v>0.14081368031002078</v>
      </c>
      <c r="K136" t="s">
        <v>14</v>
      </c>
      <c r="U136" t="s">
        <v>2142</v>
      </c>
      <c r="V136" t="s">
        <v>2324</v>
      </c>
      <c r="W136" t="s">
        <v>2167</v>
      </c>
      <c r="X136" t="s">
        <v>19</v>
      </c>
    </row>
    <row r="137" spans="8:24" x14ac:dyDescent="0.45">
      <c r="H137" t="s">
        <v>2146</v>
      </c>
      <c r="I137" t="s">
        <v>632</v>
      </c>
      <c r="J137">
        <v>3.4323496928197121E-3</v>
      </c>
      <c r="K137" t="s">
        <v>14</v>
      </c>
      <c r="U137" t="s">
        <v>2142</v>
      </c>
      <c r="V137" t="s">
        <v>2325</v>
      </c>
      <c r="W137" t="s">
        <v>2167</v>
      </c>
      <c r="X137" t="s">
        <v>19</v>
      </c>
    </row>
    <row r="138" spans="8:24" x14ac:dyDescent="0.45">
      <c r="H138" t="s">
        <v>2150</v>
      </c>
      <c r="I138" t="s">
        <v>632</v>
      </c>
      <c r="J138">
        <v>2.4511802371555656E-14</v>
      </c>
      <c r="K138" t="s">
        <v>14</v>
      </c>
      <c r="U138" t="s">
        <v>2142</v>
      </c>
      <c r="V138" t="s">
        <v>2326</v>
      </c>
      <c r="W138" t="s">
        <v>2167</v>
      </c>
      <c r="X138" t="s">
        <v>19</v>
      </c>
    </row>
    <row r="139" spans="8:24" x14ac:dyDescent="0.45">
      <c r="H139" t="s">
        <v>2154</v>
      </c>
      <c r="I139" t="s">
        <v>632</v>
      </c>
      <c r="J139">
        <v>2.6658570535083342E-2</v>
      </c>
      <c r="K139" t="s">
        <v>14</v>
      </c>
      <c r="U139" t="s">
        <v>2142</v>
      </c>
      <c r="V139" t="s">
        <v>2327</v>
      </c>
      <c r="W139" t="s">
        <v>2167</v>
      </c>
      <c r="X139" t="s">
        <v>19</v>
      </c>
    </row>
    <row r="140" spans="8:24" x14ac:dyDescent="0.45">
      <c r="H140" t="s">
        <v>2158</v>
      </c>
      <c r="I140" t="s">
        <v>632</v>
      </c>
      <c r="J140">
        <v>0.23403520959329127</v>
      </c>
      <c r="K140" t="s">
        <v>14</v>
      </c>
      <c r="U140" t="s">
        <v>2142</v>
      </c>
      <c r="V140" t="s">
        <v>2328</v>
      </c>
      <c r="W140" t="s">
        <v>2167</v>
      </c>
      <c r="X140" t="s">
        <v>19</v>
      </c>
    </row>
    <row r="141" spans="8:24" x14ac:dyDescent="0.45">
      <c r="H141" t="s">
        <v>2162</v>
      </c>
      <c r="I141" t="s">
        <v>632</v>
      </c>
      <c r="J141">
        <v>0.30258979763102617</v>
      </c>
      <c r="K141" t="s">
        <v>14</v>
      </c>
      <c r="U141" t="s">
        <v>2142</v>
      </c>
      <c r="V141" t="s">
        <v>2329</v>
      </c>
      <c r="W141" t="s">
        <v>2167</v>
      </c>
      <c r="X141" t="s">
        <v>19</v>
      </c>
    </row>
    <row r="142" spans="8:24" x14ac:dyDescent="0.45">
      <c r="H142" t="s">
        <v>2166</v>
      </c>
      <c r="I142" t="s">
        <v>632</v>
      </c>
      <c r="J142">
        <v>6.5839191408489798E-4</v>
      </c>
      <c r="K142" t="s">
        <v>14</v>
      </c>
      <c r="U142" t="s">
        <v>2142</v>
      </c>
      <c r="V142" t="s">
        <v>2330</v>
      </c>
      <c r="W142" t="s">
        <v>2167</v>
      </c>
      <c r="X142" t="s">
        <v>19</v>
      </c>
    </row>
    <row r="143" spans="8:24" x14ac:dyDescent="0.45">
      <c r="H143" t="s">
        <v>2170</v>
      </c>
      <c r="I143" t="s">
        <v>632</v>
      </c>
      <c r="J143">
        <v>0.10091170650940168</v>
      </c>
      <c r="K143" t="s">
        <v>14</v>
      </c>
      <c r="U143" t="s">
        <v>2142</v>
      </c>
      <c r="V143" t="s">
        <v>2331</v>
      </c>
      <c r="W143" t="s">
        <v>2167</v>
      </c>
      <c r="X143" t="s">
        <v>19</v>
      </c>
    </row>
    <row r="144" spans="8:24" x14ac:dyDescent="0.45">
      <c r="H144" t="s">
        <v>2174</v>
      </c>
      <c r="I144" t="s">
        <v>632</v>
      </c>
      <c r="J144">
        <v>0.1444802892980811</v>
      </c>
      <c r="K144" t="s">
        <v>14</v>
      </c>
      <c r="U144" t="s">
        <v>2142</v>
      </c>
      <c r="V144" t="s">
        <v>2332</v>
      </c>
      <c r="W144" t="s">
        <v>2167</v>
      </c>
      <c r="X144" t="s">
        <v>19</v>
      </c>
    </row>
    <row r="145" spans="8:24" x14ac:dyDescent="0.45">
      <c r="H145" t="s">
        <v>2178</v>
      </c>
      <c r="I145" t="s">
        <v>632</v>
      </c>
      <c r="J145">
        <v>2.2263155803879969E-2</v>
      </c>
      <c r="K145" t="s">
        <v>14</v>
      </c>
      <c r="U145" t="s">
        <v>2142</v>
      </c>
      <c r="V145" t="s">
        <v>2333</v>
      </c>
      <c r="W145" t="s">
        <v>2167</v>
      </c>
      <c r="X145" t="s">
        <v>19</v>
      </c>
    </row>
    <row r="146" spans="8:24" x14ac:dyDescent="0.45">
      <c r="H146" t="s">
        <v>2182</v>
      </c>
      <c r="I146" t="s">
        <v>632</v>
      </c>
      <c r="J146">
        <v>4.1568487122861861E-3</v>
      </c>
      <c r="K146" t="s">
        <v>14</v>
      </c>
      <c r="U146" t="s">
        <v>2142</v>
      </c>
      <c r="V146" t="s">
        <v>2334</v>
      </c>
      <c r="W146" t="s">
        <v>2167</v>
      </c>
      <c r="X146" t="s">
        <v>19</v>
      </c>
    </row>
    <row r="147" spans="8:24" x14ac:dyDescent="0.45">
      <c r="H147" t="s">
        <v>2185</v>
      </c>
      <c r="I147" t="s">
        <v>632</v>
      </c>
      <c r="J147">
        <v>0.14081368031002078</v>
      </c>
      <c r="K147" t="s">
        <v>14</v>
      </c>
      <c r="U147" t="s">
        <v>2142</v>
      </c>
      <c r="V147" t="s">
        <v>2334</v>
      </c>
      <c r="W147" t="s">
        <v>2258</v>
      </c>
      <c r="X147" t="s">
        <v>19</v>
      </c>
    </row>
    <row r="148" spans="8:24" x14ac:dyDescent="0.45">
      <c r="H148" t="s">
        <v>2187</v>
      </c>
      <c r="I148" t="s">
        <v>632</v>
      </c>
      <c r="J148">
        <v>3.4323496928197121E-3</v>
      </c>
      <c r="K148" t="s">
        <v>14</v>
      </c>
      <c r="U148" t="s">
        <v>2142</v>
      </c>
      <c r="V148" t="s">
        <v>2335</v>
      </c>
      <c r="W148" t="s">
        <v>2167</v>
      </c>
      <c r="X148" t="s">
        <v>19</v>
      </c>
    </row>
    <row r="149" spans="8:24" x14ac:dyDescent="0.45">
      <c r="H149" t="s">
        <v>2189</v>
      </c>
      <c r="I149" t="s">
        <v>632</v>
      </c>
      <c r="J149">
        <v>2.4511802371555656E-14</v>
      </c>
      <c r="K149" t="s">
        <v>14</v>
      </c>
      <c r="U149" t="s">
        <v>2142</v>
      </c>
      <c r="V149" t="s">
        <v>2335</v>
      </c>
      <c r="W149" t="s">
        <v>2258</v>
      </c>
      <c r="X149" t="s">
        <v>19</v>
      </c>
    </row>
    <row r="150" spans="8:24" x14ac:dyDescent="0.45">
      <c r="H150" t="s">
        <v>2190</v>
      </c>
      <c r="I150" t="s">
        <v>632</v>
      </c>
      <c r="J150">
        <v>2.6658570535083342E-2</v>
      </c>
      <c r="K150" t="s">
        <v>14</v>
      </c>
      <c r="U150" t="s">
        <v>2142</v>
      </c>
      <c r="V150" t="s">
        <v>2336</v>
      </c>
      <c r="W150" t="s">
        <v>2167</v>
      </c>
      <c r="X150" t="s">
        <v>19</v>
      </c>
    </row>
    <row r="151" spans="8:24" x14ac:dyDescent="0.45">
      <c r="H151" t="s">
        <v>2192</v>
      </c>
      <c r="I151" t="s">
        <v>632</v>
      </c>
      <c r="J151">
        <v>0.23403520959329127</v>
      </c>
      <c r="K151" t="s">
        <v>14</v>
      </c>
      <c r="U151" t="s">
        <v>2142</v>
      </c>
      <c r="V151" t="s">
        <v>2336</v>
      </c>
      <c r="W151" t="s">
        <v>2258</v>
      </c>
      <c r="X151" t="s">
        <v>19</v>
      </c>
    </row>
    <row r="152" spans="8:24" x14ac:dyDescent="0.45">
      <c r="H152" t="s">
        <v>2193</v>
      </c>
      <c r="I152" t="s">
        <v>632</v>
      </c>
      <c r="J152">
        <v>0.30258979763102617</v>
      </c>
      <c r="K152" t="s">
        <v>14</v>
      </c>
      <c r="U152" t="s">
        <v>2142</v>
      </c>
      <c r="V152" t="s">
        <v>2337</v>
      </c>
      <c r="W152" t="s">
        <v>2258</v>
      </c>
      <c r="X152" t="s">
        <v>19</v>
      </c>
    </row>
    <row r="153" spans="8:24" x14ac:dyDescent="0.45">
      <c r="H153" t="s">
        <v>2195</v>
      </c>
      <c r="I153" t="s">
        <v>632</v>
      </c>
      <c r="J153">
        <v>6.5839191408489798E-4</v>
      </c>
      <c r="K153" t="s">
        <v>14</v>
      </c>
      <c r="U153" t="s">
        <v>2142</v>
      </c>
      <c r="V153" t="s">
        <v>2338</v>
      </c>
      <c r="W153" t="s">
        <v>2258</v>
      </c>
      <c r="X153" t="s">
        <v>19</v>
      </c>
    </row>
    <row r="154" spans="8:24" x14ac:dyDescent="0.45">
      <c r="H154" t="s">
        <v>2197</v>
      </c>
      <c r="I154" t="s">
        <v>632</v>
      </c>
      <c r="J154">
        <v>0.10091170650940168</v>
      </c>
      <c r="K154" t="s">
        <v>14</v>
      </c>
      <c r="U154" t="s">
        <v>2142</v>
      </c>
      <c r="V154" t="s">
        <v>2339</v>
      </c>
      <c r="W154" t="s">
        <v>2258</v>
      </c>
      <c r="X154" t="s">
        <v>19</v>
      </c>
    </row>
    <row r="155" spans="8:24" x14ac:dyDescent="0.45">
      <c r="H155" t="s">
        <v>2199</v>
      </c>
      <c r="I155" t="s">
        <v>632</v>
      </c>
      <c r="J155">
        <v>0.1444802892980811</v>
      </c>
      <c r="K155" t="s">
        <v>14</v>
      </c>
      <c r="U155" t="s">
        <v>2142</v>
      </c>
      <c r="V155" t="s">
        <v>2339</v>
      </c>
      <c r="W155" t="s">
        <v>2167</v>
      </c>
      <c r="X155" t="s">
        <v>17</v>
      </c>
    </row>
    <row r="156" spans="8:24" x14ac:dyDescent="0.45">
      <c r="H156" t="s">
        <v>2200</v>
      </c>
      <c r="I156" t="s">
        <v>632</v>
      </c>
      <c r="J156">
        <v>2.2263155803879969E-2</v>
      </c>
      <c r="K156" t="s">
        <v>14</v>
      </c>
      <c r="U156" t="s">
        <v>2142</v>
      </c>
      <c r="V156" t="s">
        <v>2340</v>
      </c>
      <c r="W156" t="s">
        <v>2258</v>
      </c>
      <c r="X156" t="s">
        <v>19</v>
      </c>
    </row>
    <row r="157" spans="8:24" x14ac:dyDescent="0.45">
      <c r="H157" t="s">
        <v>2202</v>
      </c>
      <c r="I157" t="s">
        <v>632</v>
      </c>
      <c r="J157">
        <v>4.1568487122861861E-3</v>
      </c>
      <c r="K157" t="s">
        <v>14</v>
      </c>
      <c r="U157" t="s">
        <v>2142</v>
      </c>
      <c r="V157" t="s">
        <v>2340</v>
      </c>
      <c r="W157" t="s">
        <v>2167</v>
      </c>
      <c r="X157" t="s">
        <v>17</v>
      </c>
    </row>
    <row r="158" spans="8:24" x14ac:dyDescent="0.45">
      <c r="H158" t="s">
        <v>2203</v>
      </c>
      <c r="I158" t="s">
        <v>632</v>
      </c>
      <c r="J158">
        <v>0.14081368031002078</v>
      </c>
      <c r="K158" t="s">
        <v>14</v>
      </c>
      <c r="U158" t="s">
        <v>2142</v>
      </c>
      <c r="V158" t="s">
        <v>2341</v>
      </c>
      <c r="W158" t="s">
        <v>2171</v>
      </c>
      <c r="X158" t="s">
        <v>19</v>
      </c>
    </row>
    <row r="159" spans="8:24" x14ac:dyDescent="0.45">
      <c r="H159" t="s">
        <v>2205</v>
      </c>
      <c r="I159" t="s">
        <v>632</v>
      </c>
      <c r="J159">
        <v>3.4323496928197121E-3</v>
      </c>
      <c r="K159" t="s">
        <v>14</v>
      </c>
      <c r="U159" t="s">
        <v>2142</v>
      </c>
      <c r="V159" t="s">
        <v>2342</v>
      </c>
      <c r="W159" t="s">
        <v>2171</v>
      </c>
      <c r="X159" t="s">
        <v>19</v>
      </c>
    </row>
    <row r="160" spans="8:24" x14ac:dyDescent="0.45">
      <c r="H160" t="s">
        <v>2207</v>
      </c>
      <c r="I160" t="s">
        <v>632</v>
      </c>
      <c r="J160">
        <v>2.4511802371555656E-14</v>
      </c>
      <c r="K160" t="s">
        <v>14</v>
      </c>
      <c r="U160" t="s">
        <v>2142</v>
      </c>
      <c r="V160" t="s">
        <v>2343</v>
      </c>
      <c r="W160" t="s">
        <v>2171</v>
      </c>
      <c r="X160" t="s">
        <v>19</v>
      </c>
    </row>
    <row r="161" spans="8:24" x14ac:dyDescent="0.45">
      <c r="H161" t="s">
        <v>2209</v>
      </c>
      <c r="I161" t="s">
        <v>632</v>
      </c>
      <c r="J161">
        <v>2.6658570535083342E-2</v>
      </c>
      <c r="K161" t="s">
        <v>14</v>
      </c>
      <c r="U161" t="s">
        <v>2142</v>
      </c>
      <c r="V161" t="s">
        <v>2344</v>
      </c>
      <c r="W161" t="s">
        <v>2171</v>
      </c>
      <c r="X161" t="s">
        <v>19</v>
      </c>
    </row>
    <row r="162" spans="8:24" x14ac:dyDescent="0.45">
      <c r="H162" t="s">
        <v>2211</v>
      </c>
      <c r="I162" t="s">
        <v>632</v>
      </c>
      <c r="J162">
        <v>0.23403520959329127</v>
      </c>
      <c r="K162" t="s">
        <v>14</v>
      </c>
      <c r="U162" t="s">
        <v>2142</v>
      </c>
      <c r="V162" t="s">
        <v>2345</v>
      </c>
      <c r="W162" t="s">
        <v>2171</v>
      </c>
      <c r="X162" t="s">
        <v>19</v>
      </c>
    </row>
    <row r="163" spans="8:24" x14ac:dyDescent="0.45">
      <c r="H163" t="s">
        <v>2213</v>
      </c>
      <c r="I163" t="s">
        <v>632</v>
      </c>
      <c r="J163">
        <v>0.30258979763102617</v>
      </c>
      <c r="K163" t="s">
        <v>14</v>
      </c>
      <c r="U163" t="s">
        <v>2142</v>
      </c>
      <c r="V163" t="s">
        <v>2346</v>
      </c>
      <c r="W163" t="s">
        <v>2171</v>
      </c>
      <c r="X163" t="s">
        <v>19</v>
      </c>
    </row>
    <row r="164" spans="8:24" x14ac:dyDescent="0.45">
      <c r="H164" t="s">
        <v>2215</v>
      </c>
      <c r="I164" t="s">
        <v>632</v>
      </c>
      <c r="J164">
        <v>6.5839191408489798E-4</v>
      </c>
      <c r="K164" t="s">
        <v>14</v>
      </c>
      <c r="U164" t="s">
        <v>2142</v>
      </c>
      <c r="V164" t="s">
        <v>2347</v>
      </c>
      <c r="W164" t="s">
        <v>2171</v>
      </c>
      <c r="X164" t="s">
        <v>19</v>
      </c>
    </row>
    <row r="165" spans="8:24" x14ac:dyDescent="0.45">
      <c r="H165" t="s">
        <v>2217</v>
      </c>
      <c r="I165" t="s">
        <v>632</v>
      </c>
      <c r="J165">
        <v>0.10091170650940168</v>
      </c>
      <c r="K165" t="s">
        <v>14</v>
      </c>
      <c r="U165" t="s">
        <v>2142</v>
      </c>
      <c r="V165" t="s">
        <v>2348</v>
      </c>
      <c r="W165" t="s">
        <v>2171</v>
      </c>
      <c r="X165" t="s">
        <v>19</v>
      </c>
    </row>
    <row r="166" spans="8:24" x14ac:dyDescent="0.45">
      <c r="H166" t="s">
        <v>2219</v>
      </c>
      <c r="I166" t="s">
        <v>632</v>
      </c>
      <c r="J166">
        <v>0.1444802892980811</v>
      </c>
      <c r="K166" t="s">
        <v>14</v>
      </c>
      <c r="U166" t="s">
        <v>2142</v>
      </c>
      <c r="V166" t="s">
        <v>2349</v>
      </c>
      <c r="W166" t="s">
        <v>2171</v>
      </c>
      <c r="X166" t="s">
        <v>19</v>
      </c>
    </row>
    <row r="167" spans="8:24" x14ac:dyDescent="0.45">
      <c r="H167" t="s">
        <v>2221</v>
      </c>
      <c r="I167" t="s">
        <v>632</v>
      </c>
      <c r="J167">
        <v>2.2263155803879969E-2</v>
      </c>
      <c r="K167" t="s">
        <v>14</v>
      </c>
      <c r="U167" t="s">
        <v>2142</v>
      </c>
      <c r="V167" t="s">
        <v>2350</v>
      </c>
      <c r="W167" t="s">
        <v>2171</v>
      </c>
      <c r="X167" t="s">
        <v>19</v>
      </c>
    </row>
    <row r="168" spans="8:24" x14ac:dyDescent="0.45">
      <c r="H168" t="s">
        <v>2223</v>
      </c>
      <c r="I168" t="s">
        <v>632</v>
      </c>
      <c r="J168">
        <v>4.1568487122861861E-3</v>
      </c>
      <c r="K168" t="s">
        <v>14</v>
      </c>
      <c r="U168" t="s">
        <v>2142</v>
      </c>
      <c r="V168" t="s">
        <v>2351</v>
      </c>
      <c r="W168" t="s">
        <v>2171</v>
      </c>
      <c r="X168" t="s">
        <v>19</v>
      </c>
    </row>
    <row r="169" spans="8:24" x14ac:dyDescent="0.45">
      <c r="H169" t="s">
        <v>2225</v>
      </c>
      <c r="I169" t="s">
        <v>632</v>
      </c>
      <c r="J169">
        <v>0.14081368031002078</v>
      </c>
      <c r="K169" t="s">
        <v>14</v>
      </c>
      <c r="U169" t="s">
        <v>2142</v>
      </c>
      <c r="V169" t="s">
        <v>2351</v>
      </c>
      <c r="W169" t="s">
        <v>2255</v>
      </c>
      <c r="X169" t="s">
        <v>19</v>
      </c>
    </row>
    <row r="170" spans="8:24" x14ac:dyDescent="0.45">
      <c r="H170" t="s">
        <v>2227</v>
      </c>
      <c r="I170" t="s">
        <v>632</v>
      </c>
      <c r="J170">
        <v>3.4323496928197121E-3</v>
      </c>
      <c r="K170" t="s">
        <v>14</v>
      </c>
      <c r="U170" t="s">
        <v>2142</v>
      </c>
      <c r="V170" t="s">
        <v>2352</v>
      </c>
      <c r="W170" t="s">
        <v>2171</v>
      </c>
      <c r="X170" t="s">
        <v>19</v>
      </c>
    </row>
    <row r="171" spans="8:24" x14ac:dyDescent="0.45">
      <c r="H171" t="s">
        <v>2229</v>
      </c>
      <c r="I171" t="s">
        <v>632</v>
      </c>
      <c r="J171">
        <v>2.4511802371555656E-14</v>
      </c>
      <c r="K171" t="s">
        <v>14</v>
      </c>
      <c r="U171" t="s">
        <v>2142</v>
      </c>
      <c r="V171" t="s">
        <v>2352</v>
      </c>
      <c r="W171" t="s">
        <v>2255</v>
      </c>
      <c r="X171" t="s">
        <v>19</v>
      </c>
    </row>
    <row r="172" spans="8:24" x14ac:dyDescent="0.45">
      <c r="H172" t="s">
        <v>2230</v>
      </c>
      <c r="I172" t="s">
        <v>632</v>
      </c>
      <c r="J172">
        <v>2.6658570535083342E-2</v>
      </c>
      <c r="K172" t="s">
        <v>14</v>
      </c>
      <c r="U172" t="s">
        <v>2142</v>
      </c>
      <c r="V172" t="s">
        <v>2353</v>
      </c>
      <c r="W172" t="s">
        <v>2171</v>
      </c>
      <c r="X172" t="s">
        <v>19</v>
      </c>
    </row>
    <row r="173" spans="8:24" x14ac:dyDescent="0.45">
      <c r="H173" t="s">
        <v>2232</v>
      </c>
      <c r="I173" t="s">
        <v>632</v>
      </c>
      <c r="J173">
        <v>0.23403520959329127</v>
      </c>
      <c r="K173" t="s">
        <v>14</v>
      </c>
      <c r="U173" t="s">
        <v>2142</v>
      </c>
      <c r="V173" t="s">
        <v>2353</v>
      </c>
      <c r="W173" t="s">
        <v>2255</v>
      </c>
      <c r="X173" t="s">
        <v>19</v>
      </c>
    </row>
    <row r="174" spans="8:24" x14ac:dyDescent="0.45">
      <c r="H174" t="s">
        <v>2233</v>
      </c>
      <c r="I174" t="s">
        <v>632</v>
      </c>
      <c r="J174">
        <v>0.30258979763102617</v>
      </c>
      <c r="K174" t="s">
        <v>14</v>
      </c>
      <c r="U174" t="s">
        <v>2142</v>
      </c>
      <c r="V174" t="s">
        <v>2354</v>
      </c>
      <c r="W174" t="s">
        <v>2255</v>
      </c>
      <c r="X174" t="s">
        <v>19</v>
      </c>
    </row>
    <row r="175" spans="8:24" x14ac:dyDescent="0.45">
      <c r="H175" t="s">
        <v>2235</v>
      </c>
      <c r="I175" t="s">
        <v>632</v>
      </c>
      <c r="J175">
        <v>6.5839191408489798E-4</v>
      </c>
      <c r="K175" t="s">
        <v>14</v>
      </c>
      <c r="U175" t="s">
        <v>2142</v>
      </c>
      <c r="V175" t="s">
        <v>2355</v>
      </c>
      <c r="W175" t="s">
        <v>2255</v>
      </c>
      <c r="X175" t="s">
        <v>19</v>
      </c>
    </row>
    <row r="176" spans="8:24" x14ac:dyDescent="0.45">
      <c r="H176" t="s">
        <v>2237</v>
      </c>
      <c r="I176" t="s">
        <v>632</v>
      </c>
      <c r="J176">
        <v>0.10091170650940168</v>
      </c>
      <c r="K176" t="s">
        <v>14</v>
      </c>
      <c r="U176" t="s">
        <v>2142</v>
      </c>
      <c r="V176" t="s">
        <v>2356</v>
      </c>
      <c r="W176" t="s">
        <v>2255</v>
      </c>
      <c r="X176" t="s">
        <v>19</v>
      </c>
    </row>
    <row r="177" spans="8:24" x14ac:dyDescent="0.45">
      <c r="H177" t="s">
        <v>2239</v>
      </c>
      <c r="I177" t="s">
        <v>632</v>
      </c>
      <c r="J177">
        <v>0.1444802892980811</v>
      </c>
      <c r="K177" t="s">
        <v>14</v>
      </c>
      <c r="U177" t="s">
        <v>2142</v>
      </c>
      <c r="V177" t="s">
        <v>2356</v>
      </c>
      <c r="W177" t="s">
        <v>2171</v>
      </c>
      <c r="X177" t="s">
        <v>17</v>
      </c>
    </row>
    <row r="178" spans="8:24" x14ac:dyDescent="0.45">
      <c r="H178" t="s">
        <v>2240</v>
      </c>
      <c r="I178" t="s">
        <v>632</v>
      </c>
      <c r="J178">
        <v>2.2263155803879969E-2</v>
      </c>
      <c r="K178" t="s">
        <v>14</v>
      </c>
      <c r="U178" t="s">
        <v>2142</v>
      </c>
      <c r="V178" t="s">
        <v>2357</v>
      </c>
      <c r="W178" t="s">
        <v>2255</v>
      </c>
      <c r="X178" t="s">
        <v>19</v>
      </c>
    </row>
    <row r="179" spans="8:24" x14ac:dyDescent="0.45">
      <c r="H179" t="s">
        <v>2242</v>
      </c>
      <c r="I179" t="s">
        <v>632</v>
      </c>
      <c r="J179">
        <v>4.1568487122861861E-3</v>
      </c>
      <c r="K179" t="s">
        <v>14</v>
      </c>
      <c r="U179" t="s">
        <v>2142</v>
      </c>
      <c r="V179" t="s">
        <v>2357</v>
      </c>
      <c r="W179" t="s">
        <v>2171</v>
      </c>
      <c r="X179" t="s">
        <v>17</v>
      </c>
    </row>
    <row r="180" spans="8:24" x14ac:dyDescent="0.45">
      <c r="H180" t="s">
        <v>2243</v>
      </c>
      <c r="I180" t="s">
        <v>738</v>
      </c>
      <c r="J180">
        <v>0.65935492556779762</v>
      </c>
      <c r="K180" t="s">
        <v>14</v>
      </c>
      <c r="U180" t="s">
        <v>2142</v>
      </c>
      <c r="V180" t="s">
        <v>2358</v>
      </c>
      <c r="W180" t="s">
        <v>2175</v>
      </c>
      <c r="X180" t="s">
        <v>19</v>
      </c>
    </row>
    <row r="181" spans="8:24" x14ac:dyDescent="0.45">
      <c r="H181" t="s">
        <v>2243</v>
      </c>
      <c r="I181" t="s">
        <v>740</v>
      </c>
      <c r="J181">
        <v>0.48387669838330027</v>
      </c>
      <c r="K181" t="s">
        <v>14</v>
      </c>
      <c r="U181" t="s">
        <v>2142</v>
      </c>
      <c r="V181" t="s">
        <v>2359</v>
      </c>
      <c r="W181" t="s">
        <v>2175</v>
      </c>
      <c r="X181" t="s">
        <v>19</v>
      </c>
    </row>
    <row r="182" spans="8:24" x14ac:dyDescent="0.45">
      <c r="H182" t="s">
        <v>2246</v>
      </c>
      <c r="I182" t="s">
        <v>738</v>
      </c>
      <c r="J182">
        <v>0.1250768699348285</v>
      </c>
      <c r="K182" t="s">
        <v>14</v>
      </c>
      <c r="U182" t="s">
        <v>2142</v>
      </c>
      <c r="V182" t="s">
        <v>2360</v>
      </c>
      <c r="W182" t="s">
        <v>2175</v>
      </c>
      <c r="X182" t="s">
        <v>19</v>
      </c>
    </row>
    <row r="183" spans="8:24" x14ac:dyDescent="0.45">
      <c r="H183" t="s">
        <v>2246</v>
      </c>
      <c r="I183" t="s">
        <v>740</v>
      </c>
      <c r="J183">
        <v>0.27863060702471931</v>
      </c>
      <c r="K183" t="s">
        <v>14</v>
      </c>
      <c r="U183" t="s">
        <v>2142</v>
      </c>
      <c r="V183" t="s">
        <v>2361</v>
      </c>
      <c r="W183" t="s">
        <v>2175</v>
      </c>
      <c r="X183" t="s">
        <v>19</v>
      </c>
    </row>
    <row r="184" spans="8:24" x14ac:dyDescent="0.45">
      <c r="H184" t="s">
        <v>2249</v>
      </c>
      <c r="I184" t="s">
        <v>738</v>
      </c>
      <c r="J184">
        <v>7.3855759302703397E-2</v>
      </c>
      <c r="K184" t="s">
        <v>14</v>
      </c>
      <c r="U184" t="s">
        <v>2142</v>
      </c>
      <c r="V184" t="s">
        <v>2362</v>
      </c>
      <c r="W184" t="s">
        <v>2175</v>
      </c>
      <c r="X184" t="s">
        <v>19</v>
      </c>
    </row>
    <row r="185" spans="8:24" x14ac:dyDescent="0.45">
      <c r="H185" t="s">
        <v>2249</v>
      </c>
      <c r="I185" t="s">
        <v>740</v>
      </c>
      <c r="J185">
        <v>0.10834647077133849</v>
      </c>
      <c r="K185" t="s">
        <v>14</v>
      </c>
      <c r="U185" t="s">
        <v>2142</v>
      </c>
      <c r="V185" t="s">
        <v>2363</v>
      </c>
      <c r="W185" t="s">
        <v>2175</v>
      </c>
      <c r="X185" t="s">
        <v>19</v>
      </c>
    </row>
    <row r="186" spans="8:24" x14ac:dyDescent="0.45">
      <c r="H186" t="s">
        <v>2252</v>
      </c>
      <c r="I186" t="s">
        <v>738</v>
      </c>
      <c r="J186">
        <v>0.11234776027768729</v>
      </c>
      <c r="K186" t="s">
        <v>14</v>
      </c>
      <c r="U186" t="s">
        <v>2142</v>
      </c>
      <c r="V186" t="s">
        <v>2364</v>
      </c>
      <c r="W186" t="s">
        <v>2175</v>
      </c>
      <c r="X186" t="s">
        <v>19</v>
      </c>
    </row>
    <row r="187" spans="8:24" x14ac:dyDescent="0.45">
      <c r="H187" t="s">
        <v>2252</v>
      </c>
      <c r="I187" t="s">
        <v>740</v>
      </c>
      <c r="J187">
        <v>0.1057601089138958</v>
      </c>
      <c r="K187" t="s">
        <v>14</v>
      </c>
      <c r="U187" t="s">
        <v>2142</v>
      </c>
      <c r="V187" t="s">
        <v>2365</v>
      </c>
      <c r="W187" t="s">
        <v>2175</v>
      </c>
      <c r="X187" t="s">
        <v>19</v>
      </c>
    </row>
    <row r="188" spans="8:24" x14ac:dyDescent="0.45">
      <c r="H188" t="s">
        <v>2254</v>
      </c>
      <c r="I188" t="s">
        <v>738</v>
      </c>
      <c r="J188">
        <v>4.0253680843793001E-3</v>
      </c>
      <c r="K188" t="s">
        <v>14</v>
      </c>
      <c r="U188" t="s">
        <v>2142</v>
      </c>
      <c r="V188" t="s">
        <v>2366</v>
      </c>
      <c r="W188" t="s">
        <v>2175</v>
      </c>
      <c r="X188" t="s">
        <v>19</v>
      </c>
    </row>
    <row r="189" spans="8:24" x14ac:dyDescent="0.45">
      <c r="H189" t="s">
        <v>2254</v>
      </c>
      <c r="I189" t="s">
        <v>740</v>
      </c>
      <c r="J189">
        <v>3.3424990680028001E-3</v>
      </c>
      <c r="K189" t="s">
        <v>14</v>
      </c>
      <c r="U189" t="s">
        <v>2142</v>
      </c>
      <c r="V189" t="s">
        <v>2367</v>
      </c>
      <c r="W189" t="s">
        <v>2175</v>
      </c>
      <c r="X189" t="s">
        <v>19</v>
      </c>
    </row>
    <row r="190" spans="8:24" x14ac:dyDescent="0.45">
      <c r="H190" t="s">
        <v>2257</v>
      </c>
      <c r="I190" t="s">
        <v>738</v>
      </c>
      <c r="J190">
        <v>5.3393168326036E-3</v>
      </c>
      <c r="K190" t="s">
        <v>14</v>
      </c>
      <c r="U190" t="s">
        <v>2142</v>
      </c>
      <c r="V190" t="s">
        <v>2368</v>
      </c>
      <c r="W190" t="s">
        <v>2175</v>
      </c>
      <c r="X190" t="s">
        <v>19</v>
      </c>
    </row>
    <row r="191" spans="8:24" x14ac:dyDescent="0.45">
      <c r="H191" t="s">
        <v>2257</v>
      </c>
      <c r="I191" t="s">
        <v>740</v>
      </c>
      <c r="J191">
        <v>4.3615838743235708E-5</v>
      </c>
      <c r="K191" t="s">
        <v>14</v>
      </c>
      <c r="U191" t="s">
        <v>2142</v>
      </c>
      <c r="V191" t="s">
        <v>2368</v>
      </c>
      <c r="W191" t="s">
        <v>2250</v>
      </c>
      <c r="X191" t="s">
        <v>19</v>
      </c>
    </row>
    <row r="192" spans="8:24" x14ac:dyDescent="0.45">
      <c r="U192" t="s">
        <v>2142</v>
      </c>
      <c r="V192" t="s">
        <v>2369</v>
      </c>
      <c r="W192" t="s">
        <v>2175</v>
      </c>
      <c r="X192" t="s">
        <v>19</v>
      </c>
    </row>
    <row r="193" spans="21:24" x14ac:dyDescent="0.45">
      <c r="U193" t="s">
        <v>2142</v>
      </c>
      <c r="V193" t="s">
        <v>2369</v>
      </c>
      <c r="W193" t="s">
        <v>2250</v>
      </c>
      <c r="X193" t="s">
        <v>19</v>
      </c>
    </row>
    <row r="194" spans="21:24" x14ac:dyDescent="0.45">
      <c r="U194" t="s">
        <v>2142</v>
      </c>
      <c r="V194" t="s">
        <v>2370</v>
      </c>
      <c r="W194" t="s">
        <v>2175</v>
      </c>
      <c r="X194" t="s">
        <v>19</v>
      </c>
    </row>
    <row r="195" spans="21:24" x14ac:dyDescent="0.45">
      <c r="U195" t="s">
        <v>2142</v>
      </c>
      <c r="V195" t="s">
        <v>2370</v>
      </c>
      <c r="W195" t="s">
        <v>2250</v>
      </c>
      <c r="X195" t="s">
        <v>19</v>
      </c>
    </row>
    <row r="196" spans="21:24" x14ac:dyDescent="0.45">
      <c r="U196" t="s">
        <v>2142</v>
      </c>
      <c r="V196" t="s">
        <v>2371</v>
      </c>
      <c r="W196" t="s">
        <v>2250</v>
      </c>
      <c r="X196" t="s">
        <v>19</v>
      </c>
    </row>
    <row r="197" spans="21:24" x14ac:dyDescent="0.45">
      <c r="U197" t="s">
        <v>2142</v>
      </c>
      <c r="V197" t="s">
        <v>2372</v>
      </c>
      <c r="W197" t="s">
        <v>2250</v>
      </c>
      <c r="X197" t="s">
        <v>19</v>
      </c>
    </row>
    <row r="198" spans="21:24" x14ac:dyDescent="0.45">
      <c r="U198" t="s">
        <v>2142</v>
      </c>
      <c r="V198" t="s">
        <v>2373</v>
      </c>
      <c r="W198" t="s">
        <v>2250</v>
      </c>
      <c r="X198" t="s">
        <v>19</v>
      </c>
    </row>
    <row r="199" spans="21:24" x14ac:dyDescent="0.45">
      <c r="U199" t="s">
        <v>2142</v>
      </c>
      <c r="V199" t="s">
        <v>2373</v>
      </c>
      <c r="W199" t="s">
        <v>2175</v>
      </c>
      <c r="X199" t="s">
        <v>17</v>
      </c>
    </row>
    <row r="200" spans="21:24" x14ac:dyDescent="0.45">
      <c r="U200" t="s">
        <v>2142</v>
      </c>
      <c r="V200" t="s">
        <v>2374</v>
      </c>
      <c r="W200" t="s">
        <v>2250</v>
      </c>
      <c r="X200" t="s">
        <v>19</v>
      </c>
    </row>
    <row r="201" spans="21:24" x14ac:dyDescent="0.45">
      <c r="U201" t="s">
        <v>2142</v>
      </c>
      <c r="V201" t="s">
        <v>2374</v>
      </c>
      <c r="W201" t="s">
        <v>2175</v>
      </c>
      <c r="X201" t="s">
        <v>17</v>
      </c>
    </row>
    <row r="202" spans="21:24" x14ac:dyDescent="0.45">
      <c r="U202" t="s">
        <v>2142</v>
      </c>
      <c r="V202" t="s">
        <v>2375</v>
      </c>
      <c r="W202" t="s">
        <v>2179</v>
      </c>
      <c r="X202" t="s">
        <v>19</v>
      </c>
    </row>
    <row r="203" spans="21:24" x14ac:dyDescent="0.45">
      <c r="U203" t="s">
        <v>2142</v>
      </c>
      <c r="V203" t="s">
        <v>2376</v>
      </c>
      <c r="W203" t="s">
        <v>2179</v>
      </c>
      <c r="X203" t="s">
        <v>19</v>
      </c>
    </row>
    <row r="204" spans="21:24" x14ac:dyDescent="0.45">
      <c r="U204" t="s">
        <v>2142</v>
      </c>
      <c r="V204" t="s">
        <v>2377</v>
      </c>
      <c r="W204" t="s">
        <v>2179</v>
      </c>
      <c r="X204" t="s">
        <v>19</v>
      </c>
    </row>
    <row r="205" spans="21:24" x14ac:dyDescent="0.45">
      <c r="U205" t="s">
        <v>2142</v>
      </c>
      <c r="V205" t="s">
        <v>2378</v>
      </c>
      <c r="W205" t="s">
        <v>2179</v>
      </c>
      <c r="X205" t="s">
        <v>19</v>
      </c>
    </row>
    <row r="206" spans="21:24" x14ac:dyDescent="0.45">
      <c r="U206" t="s">
        <v>2142</v>
      </c>
      <c r="V206" t="s">
        <v>2379</v>
      </c>
      <c r="W206" t="s">
        <v>2179</v>
      </c>
      <c r="X206" t="s">
        <v>19</v>
      </c>
    </row>
    <row r="207" spans="21:24" x14ac:dyDescent="0.45">
      <c r="U207" t="s">
        <v>2142</v>
      </c>
      <c r="V207" t="s">
        <v>2380</v>
      </c>
      <c r="W207" t="s">
        <v>2179</v>
      </c>
      <c r="X207" t="s">
        <v>19</v>
      </c>
    </row>
    <row r="208" spans="21:24" x14ac:dyDescent="0.45">
      <c r="U208" t="s">
        <v>2142</v>
      </c>
      <c r="V208" t="s">
        <v>2381</v>
      </c>
      <c r="W208" t="s">
        <v>2179</v>
      </c>
      <c r="X208" t="s">
        <v>19</v>
      </c>
    </row>
    <row r="209" spans="21:24" x14ac:dyDescent="0.45">
      <c r="U209" t="s">
        <v>2142</v>
      </c>
      <c r="V209" t="s">
        <v>2382</v>
      </c>
      <c r="W209" t="s">
        <v>2179</v>
      </c>
      <c r="X209" t="s">
        <v>19</v>
      </c>
    </row>
    <row r="210" spans="21:24" x14ac:dyDescent="0.45">
      <c r="U210" t="s">
        <v>2142</v>
      </c>
      <c r="V210" t="s">
        <v>2383</v>
      </c>
      <c r="W210" t="s">
        <v>2179</v>
      </c>
      <c r="X210" t="s">
        <v>19</v>
      </c>
    </row>
    <row r="211" spans="21:24" x14ac:dyDescent="0.45">
      <c r="U211" t="s">
        <v>2142</v>
      </c>
      <c r="V211" t="s">
        <v>2384</v>
      </c>
      <c r="W211" t="s">
        <v>2179</v>
      </c>
      <c r="X211" t="s">
        <v>19</v>
      </c>
    </row>
    <row r="212" spans="21:24" x14ac:dyDescent="0.45">
      <c r="U212" t="s">
        <v>2142</v>
      </c>
      <c r="V212" t="s">
        <v>2385</v>
      </c>
      <c r="W212" t="s">
        <v>2179</v>
      </c>
      <c r="X212" t="s">
        <v>19</v>
      </c>
    </row>
    <row r="213" spans="21:24" x14ac:dyDescent="0.45">
      <c r="U213" t="s">
        <v>2142</v>
      </c>
      <c r="V213" t="s">
        <v>2385</v>
      </c>
      <c r="W213" t="s">
        <v>2386</v>
      </c>
      <c r="X213" t="s">
        <v>19</v>
      </c>
    </row>
    <row r="214" spans="21:24" x14ac:dyDescent="0.45">
      <c r="U214" t="s">
        <v>2142</v>
      </c>
      <c r="V214" t="s">
        <v>2387</v>
      </c>
      <c r="W214" t="s">
        <v>2179</v>
      </c>
      <c r="X214" t="s">
        <v>19</v>
      </c>
    </row>
    <row r="215" spans="21:24" x14ac:dyDescent="0.45">
      <c r="U215" t="s">
        <v>2142</v>
      </c>
      <c r="V215" t="s">
        <v>2387</v>
      </c>
      <c r="W215" t="s">
        <v>2386</v>
      </c>
      <c r="X215" t="s">
        <v>19</v>
      </c>
    </row>
    <row r="216" spans="21:24" x14ac:dyDescent="0.45">
      <c r="U216" t="s">
        <v>2142</v>
      </c>
      <c r="V216" t="s">
        <v>2388</v>
      </c>
      <c r="W216" t="s">
        <v>2179</v>
      </c>
      <c r="X216" t="s">
        <v>19</v>
      </c>
    </row>
    <row r="217" spans="21:24" x14ac:dyDescent="0.45">
      <c r="U217" t="s">
        <v>2142</v>
      </c>
      <c r="V217" t="s">
        <v>2388</v>
      </c>
      <c r="W217" t="s">
        <v>2386</v>
      </c>
      <c r="X217" t="s">
        <v>19</v>
      </c>
    </row>
    <row r="218" spans="21:24" x14ac:dyDescent="0.45">
      <c r="U218" t="s">
        <v>2142</v>
      </c>
      <c r="V218" t="s">
        <v>2389</v>
      </c>
      <c r="W218" t="s">
        <v>2386</v>
      </c>
      <c r="X218" t="s">
        <v>19</v>
      </c>
    </row>
    <row r="219" spans="21:24" x14ac:dyDescent="0.45">
      <c r="U219" t="s">
        <v>2142</v>
      </c>
      <c r="V219" t="s">
        <v>2390</v>
      </c>
      <c r="W219" t="s">
        <v>2386</v>
      </c>
      <c r="X219" t="s">
        <v>19</v>
      </c>
    </row>
    <row r="220" spans="21:24" x14ac:dyDescent="0.45">
      <c r="U220" t="s">
        <v>2142</v>
      </c>
      <c r="V220" t="s">
        <v>2391</v>
      </c>
      <c r="W220" t="s">
        <v>2386</v>
      </c>
      <c r="X220" t="s">
        <v>19</v>
      </c>
    </row>
    <row r="221" spans="21:24" x14ac:dyDescent="0.45">
      <c r="U221" t="s">
        <v>2142</v>
      </c>
      <c r="V221" t="s">
        <v>2391</v>
      </c>
      <c r="W221" t="s">
        <v>2179</v>
      </c>
      <c r="X221" t="s">
        <v>17</v>
      </c>
    </row>
    <row r="222" spans="21:24" x14ac:dyDescent="0.45">
      <c r="U222" t="s">
        <v>2142</v>
      </c>
      <c r="V222" t="s">
        <v>2392</v>
      </c>
      <c r="W222" t="s">
        <v>2386</v>
      </c>
      <c r="X222" t="s">
        <v>19</v>
      </c>
    </row>
    <row r="223" spans="21:24" x14ac:dyDescent="0.45">
      <c r="U223" t="s">
        <v>2142</v>
      </c>
      <c r="V223" t="s">
        <v>2392</v>
      </c>
      <c r="W223" t="s">
        <v>2179</v>
      </c>
      <c r="X223" t="s">
        <v>17</v>
      </c>
    </row>
    <row r="224" spans="21:24" x14ac:dyDescent="0.45">
      <c r="U224" t="s">
        <v>2142</v>
      </c>
      <c r="V224" t="s">
        <v>2393</v>
      </c>
      <c r="W224" t="s">
        <v>2183</v>
      </c>
      <c r="X224" t="s">
        <v>19</v>
      </c>
    </row>
    <row r="225" spans="21:24" x14ac:dyDescent="0.45">
      <c r="U225" t="s">
        <v>2142</v>
      </c>
      <c r="V225" t="s">
        <v>2394</v>
      </c>
      <c r="W225" t="s">
        <v>2183</v>
      </c>
      <c r="X225" t="s">
        <v>19</v>
      </c>
    </row>
    <row r="226" spans="21:24" x14ac:dyDescent="0.45">
      <c r="U226" t="s">
        <v>2142</v>
      </c>
      <c r="V226" t="s">
        <v>2395</v>
      </c>
      <c r="W226" t="s">
        <v>2183</v>
      </c>
      <c r="X226" t="s">
        <v>19</v>
      </c>
    </row>
    <row r="227" spans="21:24" x14ac:dyDescent="0.45">
      <c r="U227" t="s">
        <v>2142</v>
      </c>
      <c r="V227" t="s">
        <v>2396</v>
      </c>
      <c r="W227" t="s">
        <v>2183</v>
      </c>
      <c r="X227" t="s">
        <v>19</v>
      </c>
    </row>
    <row r="228" spans="21:24" x14ac:dyDescent="0.45">
      <c r="U228" t="s">
        <v>2142</v>
      </c>
      <c r="V228" t="s">
        <v>2397</v>
      </c>
      <c r="W228" t="s">
        <v>2183</v>
      </c>
      <c r="X228" t="s">
        <v>19</v>
      </c>
    </row>
    <row r="229" spans="21:24" x14ac:dyDescent="0.45">
      <c r="U229" t="s">
        <v>2142</v>
      </c>
      <c r="V229" t="s">
        <v>2398</v>
      </c>
      <c r="W229" t="s">
        <v>2183</v>
      </c>
      <c r="X229" t="s">
        <v>19</v>
      </c>
    </row>
    <row r="230" spans="21:24" x14ac:dyDescent="0.45">
      <c r="U230" t="s">
        <v>2142</v>
      </c>
      <c r="V230" t="s">
        <v>2399</v>
      </c>
      <c r="W230" t="s">
        <v>2183</v>
      </c>
      <c r="X230" t="s">
        <v>19</v>
      </c>
    </row>
    <row r="231" spans="21:24" x14ac:dyDescent="0.45">
      <c r="U231" t="s">
        <v>2142</v>
      </c>
      <c r="V231" t="s">
        <v>2400</v>
      </c>
      <c r="W231" t="s">
        <v>2183</v>
      </c>
      <c r="X231" t="s">
        <v>19</v>
      </c>
    </row>
    <row r="232" spans="21:24" x14ac:dyDescent="0.45">
      <c r="U232" t="s">
        <v>2142</v>
      </c>
      <c r="V232" t="s">
        <v>2401</v>
      </c>
      <c r="W232" t="s">
        <v>2183</v>
      </c>
      <c r="X232" t="s">
        <v>19</v>
      </c>
    </row>
    <row r="233" spans="21:24" x14ac:dyDescent="0.45">
      <c r="U233" t="s">
        <v>2142</v>
      </c>
      <c r="V233" t="s">
        <v>2402</v>
      </c>
      <c r="W233" t="s">
        <v>2183</v>
      </c>
      <c r="X233" t="s">
        <v>19</v>
      </c>
    </row>
    <row r="234" spans="21:24" x14ac:dyDescent="0.45">
      <c r="U234" t="s">
        <v>2142</v>
      </c>
      <c r="V234" t="s">
        <v>2403</v>
      </c>
      <c r="W234" t="s">
        <v>2183</v>
      </c>
      <c r="X234" t="s">
        <v>19</v>
      </c>
    </row>
    <row r="235" spans="21:24" x14ac:dyDescent="0.45">
      <c r="U235" t="s">
        <v>2142</v>
      </c>
      <c r="V235" t="s">
        <v>2403</v>
      </c>
      <c r="W235" t="s">
        <v>2404</v>
      </c>
      <c r="X235" t="s">
        <v>19</v>
      </c>
    </row>
    <row r="236" spans="21:24" x14ac:dyDescent="0.45">
      <c r="U236" t="s">
        <v>2142</v>
      </c>
      <c r="V236" t="s">
        <v>2405</v>
      </c>
      <c r="W236" t="s">
        <v>2183</v>
      </c>
      <c r="X236" t="s">
        <v>19</v>
      </c>
    </row>
    <row r="237" spans="21:24" x14ac:dyDescent="0.45">
      <c r="U237" t="s">
        <v>2142</v>
      </c>
      <c r="V237" t="s">
        <v>2405</v>
      </c>
      <c r="W237" t="s">
        <v>2404</v>
      </c>
      <c r="X237" t="s">
        <v>19</v>
      </c>
    </row>
    <row r="238" spans="21:24" x14ac:dyDescent="0.45">
      <c r="U238" t="s">
        <v>2142</v>
      </c>
      <c r="V238" t="s">
        <v>2406</v>
      </c>
      <c r="W238" t="s">
        <v>2183</v>
      </c>
      <c r="X238" t="s">
        <v>19</v>
      </c>
    </row>
    <row r="239" spans="21:24" x14ac:dyDescent="0.45">
      <c r="U239" t="s">
        <v>2142</v>
      </c>
      <c r="V239" t="s">
        <v>2406</v>
      </c>
      <c r="W239" t="s">
        <v>2404</v>
      </c>
      <c r="X239" t="s">
        <v>19</v>
      </c>
    </row>
    <row r="240" spans="21:24" x14ac:dyDescent="0.45">
      <c r="U240" t="s">
        <v>2142</v>
      </c>
      <c r="V240" t="s">
        <v>2407</v>
      </c>
      <c r="W240" t="s">
        <v>2404</v>
      </c>
      <c r="X240" t="s">
        <v>19</v>
      </c>
    </row>
    <row r="241" spans="21:24" x14ac:dyDescent="0.45">
      <c r="U241" t="s">
        <v>2142</v>
      </c>
      <c r="V241" t="s">
        <v>2408</v>
      </c>
      <c r="W241" t="s">
        <v>2404</v>
      </c>
      <c r="X241" t="s">
        <v>19</v>
      </c>
    </row>
    <row r="242" spans="21:24" x14ac:dyDescent="0.45">
      <c r="U242" t="s">
        <v>2142</v>
      </c>
      <c r="V242" t="s">
        <v>2409</v>
      </c>
      <c r="W242" t="s">
        <v>2404</v>
      </c>
      <c r="X242" t="s">
        <v>19</v>
      </c>
    </row>
    <row r="243" spans="21:24" x14ac:dyDescent="0.45">
      <c r="U243" t="s">
        <v>2142</v>
      </c>
      <c r="V243" t="s">
        <v>2409</v>
      </c>
      <c r="W243" t="s">
        <v>2183</v>
      </c>
      <c r="X243" t="s">
        <v>17</v>
      </c>
    </row>
    <row r="244" spans="21:24" x14ac:dyDescent="0.45">
      <c r="U244" t="s">
        <v>2142</v>
      </c>
      <c r="V244" t="s">
        <v>2410</v>
      </c>
      <c r="W244" t="s">
        <v>2404</v>
      </c>
      <c r="X244" t="s">
        <v>19</v>
      </c>
    </row>
    <row r="245" spans="21:24" x14ac:dyDescent="0.45">
      <c r="U245" t="s">
        <v>2142</v>
      </c>
      <c r="V245" t="s">
        <v>2410</v>
      </c>
      <c r="W245" t="s">
        <v>2183</v>
      </c>
      <c r="X245" t="s">
        <v>17</v>
      </c>
    </row>
    <row r="246" spans="21:24" x14ac:dyDescent="0.45">
      <c r="U246" t="s">
        <v>2142</v>
      </c>
      <c r="V246" t="s">
        <v>2411</v>
      </c>
      <c r="W246" t="s">
        <v>2143</v>
      </c>
      <c r="X246" t="s">
        <v>19</v>
      </c>
    </row>
    <row r="247" spans="21:24" x14ac:dyDescent="0.45">
      <c r="U247" t="s">
        <v>2142</v>
      </c>
      <c r="V247" t="s">
        <v>2411</v>
      </c>
      <c r="W247" t="s">
        <v>2143</v>
      </c>
      <c r="X247" t="s">
        <v>17</v>
      </c>
    </row>
    <row r="248" spans="21:24" x14ac:dyDescent="0.45">
      <c r="U248" t="s">
        <v>2142</v>
      </c>
      <c r="V248" t="s">
        <v>2412</v>
      </c>
      <c r="W248" t="s">
        <v>2143</v>
      </c>
      <c r="X248" t="s">
        <v>19</v>
      </c>
    </row>
    <row r="249" spans="21:24" x14ac:dyDescent="0.45">
      <c r="U249" t="s">
        <v>2142</v>
      </c>
      <c r="V249" t="s">
        <v>2412</v>
      </c>
      <c r="W249" t="s">
        <v>2143</v>
      </c>
      <c r="X249" t="s">
        <v>17</v>
      </c>
    </row>
    <row r="250" spans="21:24" x14ac:dyDescent="0.45">
      <c r="U250" t="s">
        <v>2142</v>
      </c>
      <c r="V250" t="s">
        <v>2413</v>
      </c>
      <c r="W250" t="s">
        <v>2147</v>
      </c>
      <c r="X250" t="s">
        <v>19</v>
      </c>
    </row>
    <row r="251" spans="21:24" x14ac:dyDescent="0.45">
      <c r="U251" t="s">
        <v>2142</v>
      </c>
      <c r="V251" t="s">
        <v>2413</v>
      </c>
      <c r="W251" t="s">
        <v>2147</v>
      </c>
      <c r="X251" t="s">
        <v>17</v>
      </c>
    </row>
    <row r="252" spans="21:24" x14ac:dyDescent="0.45">
      <c r="U252" t="s">
        <v>2142</v>
      </c>
      <c r="V252" t="s">
        <v>2414</v>
      </c>
      <c r="W252" t="s">
        <v>2147</v>
      </c>
      <c r="X252" t="s">
        <v>19</v>
      </c>
    </row>
    <row r="253" spans="21:24" x14ac:dyDescent="0.45">
      <c r="U253" t="s">
        <v>2142</v>
      </c>
      <c r="V253" t="s">
        <v>2414</v>
      </c>
      <c r="W253" t="s">
        <v>2147</v>
      </c>
      <c r="X253" t="s">
        <v>17</v>
      </c>
    </row>
    <row r="254" spans="21:24" x14ac:dyDescent="0.45">
      <c r="U254" t="s">
        <v>2142</v>
      </c>
      <c r="V254" t="s">
        <v>2415</v>
      </c>
      <c r="W254" t="s">
        <v>2151</v>
      </c>
      <c r="X254" t="s">
        <v>19</v>
      </c>
    </row>
    <row r="255" spans="21:24" x14ac:dyDescent="0.45">
      <c r="U255" t="s">
        <v>2142</v>
      </c>
      <c r="V255" t="s">
        <v>2415</v>
      </c>
      <c r="W255" t="s">
        <v>2151</v>
      </c>
      <c r="X255" t="s">
        <v>17</v>
      </c>
    </row>
    <row r="256" spans="21:24" x14ac:dyDescent="0.45">
      <c r="U256" t="s">
        <v>2142</v>
      </c>
      <c r="V256" t="s">
        <v>2416</v>
      </c>
      <c r="W256" t="s">
        <v>2151</v>
      </c>
      <c r="X256" t="s">
        <v>19</v>
      </c>
    </row>
    <row r="257" spans="21:24" x14ac:dyDescent="0.45">
      <c r="U257" t="s">
        <v>2142</v>
      </c>
      <c r="V257" t="s">
        <v>2416</v>
      </c>
      <c r="W257" t="s">
        <v>2151</v>
      </c>
      <c r="X257" t="s">
        <v>17</v>
      </c>
    </row>
    <row r="258" spans="21:24" x14ac:dyDescent="0.45">
      <c r="U258" t="s">
        <v>2142</v>
      </c>
      <c r="V258" t="s">
        <v>2417</v>
      </c>
      <c r="W258" t="s">
        <v>2155</v>
      </c>
      <c r="X258" t="s">
        <v>19</v>
      </c>
    </row>
    <row r="259" spans="21:24" x14ac:dyDescent="0.45">
      <c r="U259" t="s">
        <v>2142</v>
      </c>
      <c r="V259" t="s">
        <v>2417</v>
      </c>
      <c r="W259" t="s">
        <v>2155</v>
      </c>
      <c r="X259" t="s">
        <v>17</v>
      </c>
    </row>
    <row r="260" spans="21:24" x14ac:dyDescent="0.45">
      <c r="U260" t="s">
        <v>2142</v>
      </c>
      <c r="V260" t="s">
        <v>2418</v>
      </c>
      <c r="W260" t="s">
        <v>2155</v>
      </c>
      <c r="X260" t="s">
        <v>19</v>
      </c>
    </row>
    <row r="261" spans="21:24" x14ac:dyDescent="0.45">
      <c r="U261" t="s">
        <v>2142</v>
      </c>
      <c r="V261" t="s">
        <v>2418</v>
      </c>
      <c r="W261" t="s">
        <v>2155</v>
      </c>
      <c r="X261" t="s">
        <v>17</v>
      </c>
    </row>
    <row r="262" spans="21:24" x14ac:dyDescent="0.45">
      <c r="U262" t="s">
        <v>2142</v>
      </c>
      <c r="V262" t="s">
        <v>2419</v>
      </c>
      <c r="W262" t="s">
        <v>2159</v>
      </c>
      <c r="X262" t="s">
        <v>19</v>
      </c>
    </row>
    <row r="263" spans="21:24" x14ac:dyDescent="0.45">
      <c r="U263" t="s">
        <v>2142</v>
      </c>
      <c r="V263" t="s">
        <v>2419</v>
      </c>
      <c r="W263" t="s">
        <v>2159</v>
      </c>
      <c r="X263" t="s">
        <v>17</v>
      </c>
    </row>
    <row r="264" spans="21:24" x14ac:dyDescent="0.45">
      <c r="U264" t="s">
        <v>2142</v>
      </c>
      <c r="V264" t="s">
        <v>2420</v>
      </c>
      <c r="W264" t="s">
        <v>2159</v>
      </c>
      <c r="X264" t="s">
        <v>19</v>
      </c>
    </row>
    <row r="265" spans="21:24" x14ac:dyDescent="0.45">
      <c r="U265" t="s">
        <v>2142</v>
      </c>
      <c r="V265" t="s">
        <v>2420</v>
      </c>
      <c r="W265" t="s">
        <v>2159</v>
      </c>
      <c r="X265" t="s">
        <v>17</v>
      </c>
    </row>
    <row r="266" spans="21:24" x14ac:dyDescent="0.45">
      <c r="U266" t="s">
        <v>2142</v>
      </c>
      <c r="V266" t="s">
        <v>2421</v>
      </c>
      <c r="W266" t="s">
        <v>2163</v>
      </c>
      <c r="X266" t="s">
        <v>19</v>
      </c>
    </row>
    <row r="267" spans="21:24" x14ac:dyDescent="0.45">
      <c r="U267" t="s">
        <v>2142</v>
      </c>
      <c r="V267" t="s">
        <v>2421</v>
      </c>
      <c r="W267" t="s">
        <v>2163</v>
      </c>
      <c r="X267" t="s">
        <v>17</v>
      </c>
    </row>
    <row r="268" spans="21:24" x14ac:dyDescent="0.45">
      <c r="U268" t="s">
        <v>2142</v>
      </c>
      <c r="V268" t="s">
        <v>2422</v>
      </c>
      <c r="W268" t="s">
        <v>2163</v>
      </c>
      <c r="X268" t="s">
        <v>19</v>
      </c>
    </row>
    <row r="269" spans="21:24" x14ac:dyDescent="0.45">
      <c r="U269" t="s">
        <v>2142</v>
      </c>
      <c r="V269" t="s">
        <v>2422</v>
      </c>
      <c r="W269" t="s">
        <v>2163</v>
      </c>
      <c r="X269" t="s">
        <v>17</v>
      </c>
    </row>
    <row r="270" spans="21:24" x14ac:dyDescent="0.45">
      <c r="U270" t="s">
        <v>2142</v>
      </c>
      <c r="V270" t="s">
        <v>2423</v>
      </c>
      <c r="W270" t="s">
        <v>2167</v>
      </c>
      <c r="X270" t="s">
        <v>19</v>
      </c>
    </row>
    <row r="271" spans="21:24" x14ac:dyDescent="0.45">
      <c r="U271" t="s">
        <v>2142</v>
      </c>
      <c r="V271" t="s">
        <v>2423</v>
      </c>
      <c r="W271" t="s">
        <v>2167</v>
      </c>
      <c r="X271" t="s">
        <v>17</v>
      </c>
    </row>
    <row r="272" spans="21:24" x14ac:dyDescent="0.45">
      <c r="U272" t="s">
        <v>2142</v>
      </c>
      <c r="V272" t="s">
        <v>2424</v>
      </c>
      <c r="W272" t="s">
        <v>2167</v>
      </c>
      <c r="X272" t="s">
        <v>19</v>
      </c>
    </row>
    <row r="273" spans="21:24" x14ac:dyDescent="0.45">
      <c r="U273" t="s">
        <v>2142</v>
      </c>
      <c r="V273" t="s">
        <v>2424</v>
      </c>
      <c r="W273" t="s">
        <v>2167</v>
      </c>
      <c r="X273" t="s">
        <v>17</v>
      </c>
    </row>
    <row r="274" spans="21:24" x14ac:dyDescent="0.45">
      <c r="U274" t="s">
        <v>2142</v>
      </c>
      <c r="V274" t="s">
        <v>2425</v>
      </c>
      <c r="W274" t="s">
        <v>2171</v>
      </c>
      <c r="X274" t="s">
        <v>19</v>
      </c>
    </row>
    <row r="275" spans="21:24" x14ac:dyDescent="0.45">
      <c r="U275" t="s">
        <v>2142</v>
      </c>
      <c r="V275" t="s">
        <v>2425</v>
      </c>
      <c r="W275" t="s">
        <v>2171</v>
      </c>
      <c r="X275" t="s">
        <v>17</v>
      </c>
    </row>
    <row r="276" spans="21:24" x14ac:dyDescent="0.45">
      <c r="U276" t="s">
        <v>2142</v>
      </c>
      <c r="V276" t="s">
        <v>2426</v>
      </c>
      <c r="W276" t="s">
        <v>2171</v>
      </c>
      <c r="X276" t="s">
        <v>19</v>
      </c>
    </row>
    <row r="277" spans="21:24" x14ac:dyDescent="0.45">
      <c r="U277" t="s">
        <v>2142</v>
      </c>
      <c r="V277" t="s">
        <v>2426</v>
      </c>
      <c r="W277" t="s">
        <v>2171</v>
      </c>
      <c r="X277" t="s">
        <v>17</v>
      </c>
    </row>
    <row r="278" spans="21:24" x14ac:dyDescent="0.45">
      <c r="U278" t="s">
        <v>2142</v>
      </c>
      <c r="V278" t="s">
        <v>2427</v>
      </c>
      <c r="W278" t="s">
        <v>2175</v>
      </c>
      <c r="X278" t="s">
        <v>19</v>
      </c>
    </row>
    <row r="279" spans="21:24" x14ac:dyDescent="0.45">
      <c r="U279" t="s">
        <v>2142</v>
      </c>
      <c r="V279" t="s">
        <v>2427</v>
      </c>
      <c r="W279" t="s">
        <v>2175</v>
      </c>
      <c r="X279" t="s">
        <v>17</v>
      </c>
    </row>
    <row r="280" spans="21:24" x14ac:dyDescent="0.45">
      <c r="U280" t="s">
        <v>2142</v>
      </c>
      <c r="V280" t="s">
        <v>2428</v>
      </c>
      <c r="W280" t="s">
        <v>2175</v>
      </c>
      <c r="X280" t="s">
        <v>19</v>
      </c>
    </row>
    <row r="281" spans="21:24" x14ac:dyDescent="0.45">
      <c r="U281" t="s">
        <v>2142</v>
      </c>
      <c r="V281" t="s">
        <v>2428</v>
      </c>
      <c r="W281" t="s">
        <v>2175</v>
      </c>
      <c r="X281" t="s">
        <v>17</v>
      </c>
    </row>
    <row r="282" spans="21:24" x14ac:dyDescent="0.45">
      <c r="U282" t="s">
        <v>2142</v>
      </c>
      <c r="V282" t="s">
        <v>2429</v>
      </c>
      <c r="W282" t="s">
        <v>2179</v>
      </c>
      <c r="X282" t="s">
        <v>19</v>
      </c>
    </row>
    <row r="283" spans="21:24" x14ac:dyDescent="0.45">
      <c r="U283" t="s">
        <v>2142</v>
      </c>
      <c r="V283" t="s">
        <v>2429</v>
      </c>
      <c r="W283" t="s">
        <v>2179</v>
      </c>
      <c r="X283" t="s">
        <v>17</v>
      </c>
    </row>
    <row r="284" spans="21:24" x14ac:dyDescent="0.45">
      <c r="U284" t="s">
        <v>2142</v>
      </c>
      <c r="V284" t="s">
        <v>2430</v>
      </c>
      <c r="W284" t="s">
        <v>2179</v>
      </c>
      <c r="X284" t="s">
        <v>19</v>
      </c>
    </row>
    <row r="285" spans="21:24" x14ac:dyDescent="0.45">
      <c r="U285" t="s">
        <v>2142</v>
      </c>
      <c r="V285" t="s">
        <v>2430</v>
      </c>
      <c r="W285" t="s">
        <v>2179</v>
      </c>
      <c r="X285" t="s">
        <v>17</v>
      </c>
    </row>
    <row r="286" spans="21:24" x14ac:dyDescent="0.45">
      <c r="U286" t="s">
        <v>2142</v>
      </c>
      <c r="V286" t="s">
        <v>2431</v>
      </c>
      <c r="W286" t="s">
        <v>2183</v>
      </c>
      <c r="X286" t="s">
        <v>19</v>
      </c>
    </row>
    <row r="287" spans="21:24" x14ac:dyDescent="0.45">
      <c r="U287" t="s">
        <v>2142</v>
      </c>
      <c r="V287" t="s">
        <v>2431</v>
      </c>
      <c r="W287" t="s">
        <v>2183</v>
      </c>
      <c r="X287" t="s">
        <v>17</v>
      </c>
    </row>
    <row r="288" spans="21:24" x14ac:dyDescent="0.45">
      <c r="U288" t="s">
        <v>2142</v>
      </c>
      <c r="V288" t="s">
        <v>2432</v>
      </c>
      <c r="W288" t="s">
        <v>2183</v>
      </c>
      <c r="X288" t="s">
        <v>19</v>
      </c>
    </row>
    <row r="289" spans="21:24" x14ac:dyDescent="0.45">
      <c r="U289" t="s">
        <v>2142</v>
      </c>
      <c r="V289" t="s">
        <v>2432</v>
      </c>
      <c r="W289" t="s">
        <v>2183</v>
      </c>
      <c r="X289" t="s">
        <v>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F29E3-0116-4940-B761-3DF44FDA24D7}">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0.34905163329820865</v>
      </c>
      <c r="H3" s="2">
        <v>0.77875774066428982</v>
      </c>
      <c r="I3" s="2">
        <v>0.35278299186602236</v>
      </c>
      <c r="J3" s="2">
        <v>0.71406155449345998</v>
      </c>
      <c r="O3" t="s">
        <v>973</v>
      </c>
    </row>
    <row r="4" spans="6:31" x14ac:dyDescent="0.45">
      <c r="F4" t="s">
        <v>974</v>
      </c>
      <c r="G4" s="2">
        <v>0.28174487515787427</v>
      </c>
      <c r="H4" s="2">
        <v>65535</v>
      </c>
      <c r="I4" s="2"/>
      <c r="J4" s="2"/>
    </row>
    <row r="5" spans="6:31" x14ac:dyDescent="0.45">
      <c r="F5" t="s">
        <v>975</v>
      </c>
      <c r="G5" s="2">
        <v>0.20503918386857364</v>
      </c>
      <c r="H5" s="2">
        <v>0.43860511127270829</v>
      </c>
      <c r="I5" s="2"/>
      <c r="J5" s="2"/>
    </row>
    <row r="6" spans="6:31" x14ac:dyDescent="0.45">
      <c r="F6" t="s">
        <v>979</v>
      </c>
      <c r="G6" s="2">
        <v>0.19025875190258754</v>
      </c>
      <c r="H6" s="2">
        <v>0.52511415525114158</v>
      </c>
      <c r="I6" s="2">
        <v>9.5475889304273476E-2</v>
      </c>
      <c r="J6" s="2">
        <v>0.14154606651778953</v>
      </c>
      <c r="N6" t="s">
        <v>977</v>
      </c>
      <c r="Y6" t="s">
        <v>978</v>
      </c>
    </row>
    <row r="7" spans="6:31" x14ac:dyDescent="0.45">
      <c r="F7" t="s">
        <v>987</v>
      </c>
      <c r="G7" s="2">
        <v>0.50413740351853142</v>
      </c>
      <c r="H7" s="2">
        <v>1.3232130312609764</v>
      </c>
      <c r="I7" s="2">
        <v>0.50393954347166336</v>
      </c>
      <c r="J7" s="2">
        <v>1.0172684159962015</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991</v>
      </c>
      <c r="G8" s="2">
        <v>9.3607305936073054E-2</v>
      </c>
      <c r="H8" s="2">
        <v>4.4683626875407692</v>
      </c>
      <c r="I8" s="2">
        <v>2.1193779943831741E-2</v>
      </c>
      <c r="J8" s="2">
        <v>3.7199142397971792E-2</v>
      </c>
      <c r="N8" t="s">
        <v>988</v>
      </c>
      <c r="O8" t="s">
        <v>974</v>
      </c>
      <c r="P8" s="3" t="s">
        <v>989</v>
      </c>
      <c r="Q8" s="4">
        <f>-1/8.76</f>
        <v>-0.11415525114155252</v>
      </c>
      <c r="S8" s="4">
        <f>VLOOKUP(O8,$F$3:$J$11,3,FALSE)</f>
        <v>65535</v>
      </c>
      <c r="T8" s="4">
        <f>MIN(S8*$U$1,0.95)</f>
        <v>0.95</v>
      </c>
      <c r="U8">
        <v>0</v>
      </c>
      <c r="V8">
        <v>3</v>
      </c>
      <c r="Y8" t="s">
        <v>990</v>
      </c>
      <c r="Z8" t="s">
        <v>974</v>
      </c>
      <c r="AA8">
        <f>-1/8.76</f>
        <v>-0.11415525114155252</v>
      </c>
      <c r="AB8" s="4">
        <f>VLOOKUP(Z8,$F$3:$J$11,2,FALSE)</f>
        <v>0.28174487515787427</v>
      </c>
      <c r="AC8">
        <f>AB8*$W$1</f>
        <v>5.6348975031574856E-2</v>
      </c>
      <c r="AD8">
        <v>0</v>
      </c>
      <c r="AE8">
        <v>3</v>
      </c>
    </row>
    <row r="9" spans="6:31" x14ac:dyDescent="0.45">
      <c r="F9" t="s">
        <v>994</v>
      </c>
      <c r="G9" s="2">
        <v>4.9759981266830587E-2</v>
      </c>
      <c r="H9" s="2">
        <v>0.11583895691060195</v>
      </c>
      <c r="I9" s="2">
        <v>3.457762557077626E-2</v>
      </c>
      <c r="J9" s="2">
        <v>0.11579825717461679</v>
      </c>
      <c r="N9" t="s">
        <v>992</v>
      </c>
      <c r="O9" t="s">
        <v>975</v>
      </c>
      <c r="P9" s="3" t="s">
        <v>989</v>
      </c>
      <c r="Q9" s="4">
        <f>-1/8.76</f>
        <v>-0.11415525114155252</v>
      </c>
      <c r="S9" s="4">
        <f>VLOOKUP(O9,$F$3:$J$11,3,FALSE)</f>
        <v>0.43860511127270829</v>
      </c>
      <c r="T9" s="4">
        <f>MIN(S9*$U$1,0.95)</f>
        <v>0.52632613352724988</v>
      </c>
      <c r="U9">
        <v>0</v>
      </c>
      <c r="V9">
        <v>3</v>
      </c>
      <c r="Y9" t="s">
        <v>993</v>
      </c>
      <c r="Z9" t="s">
        <v>975</v>
      </c>
      <c r="AA9">
        <f>-1/8.76</f>
        <v>-0.11415525114155252</v>
      </c>
      <c r="AB9" s="4">
        <f>VLOOKUP(Z9,$F$3:$J$11,2,FALSE)</f>
        <v>0.20503918386857364</v>
      </c>
      <c r="AC9">
        <f>AB9*$W$1</f>
        <v>4.100783677371473E-2</v>
      </c>
      <c r="AD9">
        <v>0</v>
      </c>
      <c r="AE9">
        <v>3</v>
      </c>
    </row>
    <row r="10" spans="6:31" ht="14.65" customHeight="1" x14ac:dyDescent="0.45">
      <c r="F10" t="s">
        <v>1583</v>
      </c>
      <c r="G10" s="2"/>
      <c r="H10" s="2"/>
      <c r="I10" s="2">
        <v>0.11037912324119581</v>
      </c>
      <c r="J10" s="2">
        <v>0.41897542455492282</v>
      </c>
      <c r="N10" t="s">
        <v>992</v>
      </c>
      <c r="O10" t="s">
        <v>987</v>
      </c>
      <c r="P10" s="3" t="s">
        <v>989</v>
      </c>
      <c r="Q10" s="4">
        <f>-1/8.76</f>
        <v>-0.11415525114155252</v>
      </c>
      <c r="S10" s="4">
        <f>VLOOKUP(O10,$F$3:$J$11,3,FALSE)</f>
        <v>1.3232130312609764</v>
      </c>
      <c r="T10" s="4">
        <f>MIN(S10*$U$1,0.95)</f>
        <v>0.95</v>
      </c>
      <c r="U10">
        <v>0</v>
      </c>
      <c r="V10">
        <v>3</v>
      </c>
      <c r="Y10" t="s">
        <v>995</v>
      </c>
      <c r="Z10" t="s">
        <v>991</v>
      </c>
      <c r="AA10">
        <f>-1/8.76</f>
        <v>-0.11415525114155252</v>
      </c>
      <c r="AB10" s="4">
        <f>VLOOKUP(Z10,$F$3:$J$11,2,FALSE)</f>
        <v>9.3607305936073054E-2</v>
      </c>
      <c r="AC10" s="5">
        <f>AB10*$W$1</f>
        <v>1.872146118721461E-2</v>
      </c>
      <c r="AD10">
        <v>0</v>
      </c>
      <c r="AE10">
        <v>3</v>
      </c>
    </row>
    <row r="11" spans="6:31" ht="14.65" customHeight="1" x14ac:dyDescent="0.45">
      <c r="F11" t="s">
        <v>996</v>
      </c>
      <c r="G11" s="2">
        <v>0.14677103718199605</v>
      </c>
      <c r="H11" s="2">
        <v>0.32340496837166438</v>
      </c>
      <c r="I11" s="2">
        <v>0.13046314416177429</v>
      </c>
      <c r="J11" s="2">
        <v>0.27674244189019509</v>
      </c>
    </row>
    <row r="15" spans="6:31" x14ac:dyDescent="0.45">
      <c r="X15" s="6">
        <v>2.5</v>
      </c>
      <c r="Y15" s="7" t="s">
        <v>997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F3359-8038-4452-8914-1070DA938ABC}">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2142</v>
      </c>
      <c r="C11">
        <v>3</v>
      </c>
      <c r="D11">
        <v>6</v>
      </c>
      <c r="E11">
        <v>2</v>
      </c>
      <c r="F11">
        <v>4</v>
      </c>
      <c r="G11">
        <v>0</v>
      </c>
      <c r="H11">
        <v>0</v>
      </c>
      <c r="I11">
        <v>0</v>
      </c>
      <c r="J11">
        <v>1</v>
      </c>
    </row>
    <row r="14" spans="2:10" x14ac:dyDescent="0.45">
      <c r="B14" t="s">
        <v>5676</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3</v>
      </c>
      <c r="G20">
        <f>D11</f>
        <v>6</v>
      </c>
      <c r="H20">
        <v>4</v>
      </c>
    </row>
    <row r="21" spans="1:8" x14ac:dyDescent="0.45">
      <c r="A21" t="s">
        <v>1014</v>
      </c>
      <c r="B21" t="str">
        <f t="shared" ref="B21:B23" si="0">"uce_buildrate_"&amp;A21</f>
        <v>uce_buildrate_wind</v>
      </c>
      <c r="C21" t="str">
        <f>A21&amp;"*"</f>
        <v>wind*</v>
      </c>
      <c r="D21" t="s">
        <v>1013</v>
      </c>
      <c r="E21">
        <v>1</v>
      </c>
      <c r="F21">
        <f>E11</f>
        <v>2</v>
      </c>
      <c r="G21">
        <f>F11</f>
        <v>4</v>
      </c>
      <c r="H21">
        <v>4</v>
      </c>
    </row>
    <row r="22" spans="1:8" x14ac:dyDescent="0.45">
      <c r="A22" t="s">
        <v>979</v>
      </c>
      <c r="B22" t="str">
        <f t="shared" si="0"/>
        <v>uce_buildrate_hydro</v>
      </c>
      <c r="C22" t="str">
        <f t="shared" ref="C22:C23" si="1">A22</f>
        <v>hydro</v>
      </c>
      <c r="D22" t="s">
        <v>1013</v>
      </c>
      <c r="E22">
        <v>1</v>
      </c>
      <c r="F22">
        <f>G11</f>
        <v>0</v>
      </c>
      <c r="G22">
        <f>H11</f>
        <v>0</v>
      </c>
      <c r="H22">
        <v>4</v>
      </c>
    </row>
    <row r="23" spans="1:8" x14ac:dyDescent="0.45">
      <c r="A23" t="s">
        <v>987</v>
      </c>
      <c r="B23" t="str">
        <f t="shared" si="0"/>
        <v>uce_buildrate_nuclear</v>
      </c>
      <c r="C23" t="str">
        <f t="shared" si="1"/>
        <v>nuclear</v>
      </c>
      <c r="D23" t="s">
        <v>1013</v>
      </c>
      <c r="E23">
        <v>1</v>
      </c>
      <c r="F23">
        <f>I11</f>
        <v>0</v>
      </c>
      <c r="G23">
        <f>J11</f>
        <v>1</v>
      </c>
      <c r="H23">
        <v>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DBAF-FFDF-467D-892D-71DA43546CD8}">
  <dimension ref="A1:I24"/>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2433</v>
      </c>
      <c r="C5" t="s">
        <v>2434</v>
      </c>
      <c r="D5">
        <v>1</v>
      </c>
      <c r="E5">
        <v>2</v>
      </c>
      <c r="G5" t="s">
        <v>2433</v>
      </c>
      <c r="H5" t="s">
        <v>2434</v>
      </c>
      <c r="I5">
        <v>-1</v>
      </c>
    </row>
    <row r="6" spans="1:9" x14ac:dyDescent="0.45">
      <c r="A6" t="s">
        <v>1020</v>
      </c>
      <c r="B6" t="s">
        <v>2435</v>
      </c>
      <c r="C6" t="s">
        <v>2436</v>
      </c>
      <c r="D6">
        <v>1</v>
      </c>
      <c r="E6">
        <v>2</v>
      </c>
      <c r="G6" t="s">
        <v>2435</v>
      </c>
      <c r="H6" t="s">
        <v>2436</v>
      </c>
      <c r="I6">
        <v>-1</v>
      </c>
    </row>
    <row r="7" spans="1:9" x14ac:dyDescent="0.45">
      <c r="A7" t="s">
        <v>1020</v>
      </c>
      <c r="B7" t="s">
        <v>2437</v>
      </c>
      <c r="C7" t="s">
        <v>2438</v>
      </c>
      <c r="D7">
        <v>1</v>
      </c>
      <c r="E7">
        <v>2</v>
      </c>
      <c r="G7" t="s">
        <v>2437</v>
      </c>
      <c r="H7" t="s">
        <v>2438</v>
      </c>
      <c r="I7">
        <v>-1</v>
      </c>
    </row>
    <row r="8" spans="1:9" x14ac:dyDescent="0.45">
      <c r="A8" t="s">
        <v>1020</v>
      </c>
      <c r="B8" t="s">
        <v>2439</v>
      </c>
      <c r="C8" t="s">
        <v>2440</v>
      </c>
      <c r="D8">
        <v>1</v>
      </c>
      <c r="E8">
        <v>2</v>
      </c>
      <c r="G8" t="s">
        <v>2439</v>
      </c>
      <c r="H8" t="s">
        <v>2440</v>
      </c>
      <c r="I8">
        <v>-1</v>
      </c>
    </row>
    <row r="9" spans="1:9" x14ac:dyDescent="0.45">
      <c r="A9" t="s">
        <v>1020</v>
      </c>
      <c r="B9" t="s">
        <v>2441</v>
      </c>
      <c r="C9" t="s">
        <v>2442</v>
      </c>
      <c r="D9">
        <v>1</v>
      </c>
      <c r="E9">
        <v>2</v>
      </c>
      <c r="G9" t="s">
        <v>2441</v>
      </c>
      <c r="H9" t="s">
        <v>2442</v>
      </c>
      <c r="I9">
        <v>-1</v>
      </c>
    </row>
    <row r="10" spans="1:9" x14ac:dyDescent="0.45">
      <c r="A10" t="s">
        <v>1020</v>
      </c>
      <c r="B10" t="s">
        <v>2443</v>
      </c>
      <c r="C10" t="s">
        <v>2444</v>
      </c>
      <c r="D10">
        <v>1</v>
      </c>
      <c r="E10">
        <v>2</v>
      </c>
      <c r="G10" t="s">
        <v>2443</v>
      </c>
      <c r="H10" t="s">
        <v>2444</v>
      </c>
      <c r="I10">
        <v>-1</v>
      </c>
    </row>
    <row r="11" spans="1:9" x14ac:dyDescent="0.45">
      <c r="A11" t="s">
        <v>1020</v>
      </c>
      <c r="B11" t="s">
        <v>2445</v>
      </c>
      <c r="C11" t="s">
        <v>2446</v>
      </c>
      <c r="D11">
        <v>1</v>
      </c>
      <c r="E11">
        <v>2</v>
      </c>
      <c r="G11" t="s">
        <v>2445</v>
      </c>
      <c r="H11" t="s">
        <v>2446</v>
      </c>
      <c r="I11">
        <v>-1</v>
      </c>
    </row>
    <row r="12" spans="1:9" x14ac:dyDescent="0.45">
      <c r="A12" t="s">
        <v>1020</v>
      </c>
      <c r="B12" t="s">
        <v>2447</v>
      </c>
      <c r="C12" t="s">
        <v>2448</v>
      </c>
      <c r="D12">
        <v>1</v>
      </c>
      <c r="E12">
        <v>2</v>
      </c>
      <c r="G12" t="s">
        <v>2447</v>
      </c>
      <c r="H12" t="s">
        <v>2448</v>
      </c>
      <c r="I12">
        <v>-1</v>
      </c>
    </row>
    <row r="13" spans="1:9" x14ac:dyDescent="0.45">
      <c r="A13" t="s">
        <v>1020</v>
      </c>
      <c r="B13" t="s">
        <v>2449</v>
      </c>
      <c r="C13" t="s">
        <v>2450</v>
      </c>
      <c r="D13">
        <v>1</v>
      </c>
      <c r="E13">
        <v>2</v>
      </c>
      <c r="G13" t="s">
        <v>2449</v>
      </c>
      <c r="H13" t="s">
        <v>2450</v>
      </c>
      <c r="I13">
        <v>-1</v>
      </c>
    </row>
    <row r="14" spans="1:9" x14ac:dyDescent="0.45">
      <c r="A14" t="s">
        <v>1020</v>
      </c>
      <c r="B14" t="s">
        <v>2451</v>
      </c>
      <c r="C14" t="s">
        <v>2452</v>
      </c>
      <c r="D14">
        <v>1</v>
      </c>
      <c r="E14">
        <v>2</v>
      </c>
      <c r="G14" t="s">
        <v>2451</v>
      </c>
      <c r="H14" t="s">
        <v>2452</v>
      </c>
      <c r="I14">
        <v>-1</v>
      </c>
    </row>
    <row r="15" spans="1:9" x14ac:dyDescent="0.45">
      <c r="A15" t="s">
        <v>1020</v>
      </c>
      <c r="B15" t="s">
        <v>2453</v>
      </c>
      <c r="C15" t="s">
        <v>2454</v>
      </c>
      <c r="D15">
        <v>1</v>
      </c>
      <c r="E15">
        <v>2</v>
      </c>
      <c r="G15" t="s">
        <v>2453</v>
      </c>
      <c r="H15" t="s">
        <v>2454</v>
      </c>
      <c r="I15">
        <v>-1</v>
      </c>
    </row>
    <row r="16" spans="1:9" x14ac:dyDescent="0.45">
      <c r="A16" t="s">
        <v>1020</v>
      </c>
      <c r="B16" t="s">
        <v>2455</v>
      </c>
      <c r="C16" t="s">
        <v>2456</v>
      </c>
      <c r="D16">
        <v>1</v>
      </c>
      <c r="E16">
        <v>2</v>
      </c>
      <c r="G16" t="s">
        <v>2455</v>
      </c>
      <c r="H16" t="s">
        <v>2456</v>
      </c>
      <c r="I16">
        <v>-1</v>
      </c>
    </row>
    <row r="17" spans="1:9" x14ac:dyDescent="0.45">
      <c r="A17" t="s">
        <v>1020</v>
      </c>
      <c r="B17" t="s">
        <v>2457</v>
      </c>
      <c r="C17" t="s">
        <v>2458</v>
      </c>
      <c r="D17">
        <v>1</v>
      </c>
      <c r="E17">
        <v>2</v>
      </c>
      <c r="G17" t="s">
        <v>2457</v>
      </c>
      <c r="H17" t="s">
        <v>2458</v>
      </c>
      <c r="I17">
        <v>-1</v>
      </c>
    </row>
    <row r="18" spans="1:9" x14ac:dyDescent="0.45">
      <c r="A18" t="s">
        <v>1020</v>
      </c>
      <c r="B18" t="s">
        <v>2459</v>
      </c>
      <c r="C18" t="s">
        <v>2460</v>
      </c>
      <c r="D18">
        <v>1</v>
      </c>
      <c r="E18">
        <v>2</v>
      </c>
      <c r="G18" t="s">
        <v>2459</v>
      </c>
      <c r="H18" t="s">
        <v>2460</v>
      </c>
      <c r="I18">
        <v>-1</v>
      </c>
    </row>
    <row r="19" spans="1:9" x14ac:dyDescent="0.45">
      <c r="A19" t="s">
        <v>1020</v>
      </c>
      <c r="B19" t="s">
        <v>2461</v>
      </c>
      <c r="C19" t="s">
        <v>2462</v>
      </c>
      <c r="D19">
        <v>1</v>
      </c>
      <c r="E19">
        <v>2</v>
      </c>
      <c r="G19" t="s">
        <v>2461</v>
      </c>
      <c r="H19" t="s">
        <v>2462</v>
      </c>
      <c r="I19">
        <v>-1</v>
      </c>
    </row>
    <row r="20" spans="1:9" x14ac:dyDescent="0.45">
      <c r="A20" t="s">
        <v>1020</v>
      </c>
      <c r="B20" t="s">
        <v>2463</v>
      </c>
      <c r="C20" t="s">
        <v>2464</v>
      </c>
      <c r="D20">
        <v>1</v>
      </c>
      <c r="E20">
        <v>2</v>
      </c>
      <c r="G20" t="s">
        <v>2463</v>
      </c>
      <c r="H20" t="s">
        <v>2464</v>
      </c>
      <c r="I20">
        <v>-1</v>
      </c>
    </row>
    <row r="21" spans="1:9" x14ac:dyDescent="0.45">
      <c r="A21" t="s">
        <v>1020</v>
      </c>
      <c r="B21" t="s">
        <v>2465</v>
      </c>
      <c r="C21" t="s">
        <v>2466</v>
      </c>
      <c r="D21">
        <v>1</v>
      </c>
      <c r="E21">
        <v>2</v>
      </c>
      <c r="G21" t="s">
        <v>2465</v>
      </c>
      <c r="H21" t="s">
        <v>2466</v>
      </c>
      <c r="I21">
        <v>-1</v>
      </c>
    </row>
    <row r="22" spans="1:9" x14ac:dyDescent="0.45">
      <c r="A22" t="s">
        <v>1020</v>
      </c>
      <c r="B22" t="s">
        <v>2467</v>
      </c>
      <c r="C22" t="s">
        <v>2468</v>
      </c>
      <c r="D22">
        <v>1</v>
      </c>
      <c r="E22">
        <v>2</v>
      </c>
      <c r="G22" t="s">
        <v>2467</v>
      </c>
      <c r="H22" t="s">
        <v>2468</v>
      </c>
      <c r="I22">
        <v>-1</v>
      </c>
    </row>
    <row r="23" spans="1:9" x14ac:dyDescent="0.45">
      <c r="A23" t="s">
        <v>1020</v>
      </c>
      <c r="B23" t="s">
        <v>2469</v>
      </c>
      <c r="C23" t="s">
        <v>2470</v>
      </c>
      <c r="D23">
        <v>1</v>
      </c>
      <c r="E23">
        <v>2</v>
      </c>
      <c r="G23" t="s">
        <v>2469</v>
      </c>
      <c r="H23" t="s">
        <v>2470</v>
      </c>
      <c r="I23">
        <v>-1</v>
      </c>
    </row>
    <row r="24" spans="1:9" x14ac:dyDescent="0.45">
      <c r="A24" t="s">
        <v>1020</v>
      </c>
      <c r="B24" t="s">
        <v>2471</v>
      </c>
      <c r="C24" t="s">
        <v>2472</v>
      </c>
      <c r="D24">
        <v>1</v>
      </c>
      <c r="E24">
        <v>2</v>
      </c>
      <c r="G24" t="s">
        <v>2471</v>
      </c>
      <c r="H24" t="s">
        <v>2472</v>
      </c>
      <c r="I24">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ADF78-E8DA-418E-B165-7CF679C06AF2}">
  <dimension ref="B2:AG965"/>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5679</v>
      </c>
    </row>
    <row r="4" spans="2:33" x14ac:dyDescent="0.45">
      <c r="B4" t="s">
        <v>2473</v>
      </c>
      <c r="C4">
        <v>3.172771</v>
      </c>
      <c r="D4">
        <v>86.9</v>
      </c>
      <c r="E4">
        <v>0.99526000000000003</v>
      </c>
      <c r="H4" t="s">
        <v>2474</v>
      </c>
      <c r="I4" t="s">
        <v>13</v>
      </c>
      <c r="J4">
        <v>9.4543116472414115E-3</v>
      </c>
      <c r="K4" t="s">
        <v>14</v>
      </c>
      <c r="P4" t="s">
        <v>2475</v>
      </c>
      <c r="Q4" t="s">
        <v>2474</v>
      </c>
      <c r="R4" t="s">
        <v>2476</v>
      </c>
      <c r="S4" t="s">
        <v>17</v>
      </c>
      <c r="U4" t="s">
        <v>2475</v>
      </c>
      <c r="V4" t="s">
        <v>2477</v>
      </c>
      <c r="W4" t="s">
        <v>2476</v>
      </c>
      <c r="X4" t="s">
        <v>19</v>
      </c>
      <c r="AA4" t="s">
        <v>6</v>
      </c>
      <c r="AB4" t="s">
        <v>20</v>
      </c>
      <c r="AC4" t="s">
        <v>21</v>
      </c>
      <c r="AD4" t="s">
        <v>22</v>
      </c>
      <c r="AE4" t="s">
        <v>23</v>
      </c>
      <c r="AF4" t="s">
        <v>24</v>
      </c>
      <c r="AG4" t="s">
        <v>25</v>
      </c>
    </row>
    <row r="5" spans="2:33" x14ac:dyDescent="0.45">
      <c r="B5" t="s">
        <v>2478</v>
      </c>
      <c r="C5">
        <v>2.1896590000000002</v>
      </c>
      <c r="D5">
        <v>74.800000000000011</v>
      </c>
      <c r="E5">
        <v>0.99592000000000003</v>
      </c>
      <c r="H5" t="s">
        <v>2474</v>
      </c>
      <c r="I5" t="s">
        <v>27</v>
      </c>
      <c r="J5">
        <v>9.4543116472414115E-3</v>
      </c>
      <c r="K5" t="s">
        <v>14</v>
      </c>
      <c r="P5" t="s">
        <v>2475</v>
      </c>
      <c r="Q5" t="s">
        <v>2479</v>
      </c>
      <c r="R5" t="s">
        <v>2480</v>
      </c>
      <c r="S5" t="s">
        <v>17</v>
      </c>
      <c r="U5" t="s">
        <v>2475</v>
      </c>
      <c r="V5" t="s">
        <v>2481</v>
      </c>
      <c r="W5" t="s">
        <v>2476</v>
      </c>
      <c r="X5" t="s">
        <v>19</v>
      </c>
      <c r="AA5" t="s">
        <v>31</v>
      </c>
      <c r="AB5" t="s">
        <v>32</v>
      </c>
      <c r="AC5">
        <v>2</v>
      </c>
      <c r="AE5">
        <v>0</v>
      </c>
      <c r="AF5" t="s">
        <v>33</v>
      </c>
      <c r="AG5" t="s">
        <v>34</v>
      </c>
    </row>
    <row r="6" spans="2:33" x14ac:dyDescent="0.45">
      <c r="B6" t="s">
        <v>2482</v>
      </c>
      <c r="C6">
        <v>3.3962060000000003</v>
      </c>
      <c r="D6">
        <v>62.7</v>
      </c>
      <c r="E6">
        <v>0.99658000000000002</v>
      </c>
      <c r="H6" t="s">
        <v>2474</v>
      </c>
      <c r="I6" t="s">
        <v>36</v>
      </c>
      <c r="J6">
        <v>9.4543116472414115E-3</v>
      </c>
      <c r="K6" t="s">
        <v>14</v>
      </c>
      <c r="P6" t="s">
        <v>2475</v>
      </c>
      <c r="Q6" t="s">
        <v>2483</v>
      </c>
      <c r="R6" t="s">
        <v>2484</v>
      </c>
      <c r="S6" t="s">
        <v>17</v>
      </c>
      <c r="U6" t="s">
        <v>2475</v>
      </c>
      <c r="V6" t="s">
        <v>2485</v>
      </c>
      <c r="W6" t="s">
        <v>2476</v>
      </c>
      <c r="X6" t="s">
        <v>19</v>
      </c>
      <c r="AA6" t="s">
        <v>31</v>
      </c>
      <c r="AB6" t="s">
        <v>32</v>
      </c>
      <c r="AD6">
        <v>2</v>
      </c>
      <c r="AE6">
        <v>0</v>
      </c>
      <c r="AF6" t="s">
        <v>40</v>
      </c>
    </row>
    <row r="7" spans="2:33" x14ac:dyDescent="0.45">
      <c r="B7" t="s">
        <v>2486</v>
      </c>
      <c r="C7">
        <v>10.188618</v>
      </c>
      <c r="D7">
        <v>83.600000000000009</v>
      </c>
      <c r="E7">
        <v>0.99543999999999999</v>
      </c>
      <c r="H7" t="s">
        <v>2479</v>
      </c>
      <c r="I7" t="s">
        <v>13</v>
      </c>
      <c r="J7">
        <v>4.9091555603068333E-2</v>
      </c>
      <c r="K7" t="s">
        <v>14</v>
      </c>
      <c r="P7" t="s">
        <v>2475</v>
      </c>
      <c r="Q7" t="s">
        <v>2487</v>
      </c>
      <c r="R7" t="s">
        <v>2488</v>
      </c>
      <c r="S7" t="s">
        <v>17</v>
      </c>
      <c r="U7" t="s">
        <v>2475</v>
      </c>
      <c r="V7" t="s">
        <v>2489</v>
      </c>
      <c r="W7" t="s">
        <v>2476</v>
      </c>
      <c r="X7" t="s">
        <v>19</v>
      </c>
    </row>
    <row r="8" spans="2:33" x14ac:dyDescent="0.45">
      <c r="B8" t="s">
        <v>2490</v>
      </c>
      <c r="C8">
        <v>3.3962050000000001</v>
      </c>
      <c r="D8">
        <v>92.4</v>
      </c>
      <c r="E8">
        <v>0.99495999999999996</v>
      </c>
      <c r="H8" t="s">
        <v>2479</v>
      </c>
      <c r="I8" t="s">
        <v>27</v>
      </c>
      <c r="J8">
        <v>4.9091555603068333E-2</v>
      </c>
      <c r="K8" t="s">
        <v>14</v>
      </c>
      <c r="P8" t="s">
        <v>2475</v>
      </c>
      <c r="Q8" t="s">
        <v>2491</v>
      </c>
      <c r="R8" t="s">
        <v>2492</v>
      </c>
      <c r="S8" t="s">
        <v>17</v>
      </c>
      <c r="U8" t="s">
        <v>2475</v>
      </c>
      <c r="V8" t="s">
        <v>2493</v>
      </c>
      <c r="W8" t="s">
        <v>2476</v>
      </c>
      <c r="X8" t="s">
        <v>19</v>
      </c>
    </row>
    <row r="9" spans="2:33" x14ac:dyDescent="0.45">
      <c r="B9" t="s">
        <v>2494</v>
      </c>
      <c r="C9">
        <v>3.3962060000000003</v>
      </c>
      <c r="D9">
        <v>2.2000000000000002</v>
      </c>
      <c r="E9">
        <v>0.99987999999999999</v>
      </c>
      <c r="H9" t="s">
        <v>2479</v>
      </c>
      <c r="I9" t="s">
        <v>36</v>
      </c>
      <c r="J9">
        <v>4.9091555603068333E-2</v>
      </c>
      <c r="K9" t="s">
        <v>14</v>
      </c>
      <c r="P9" t="s">
        <v>2475</v>
      </c>
      <c r="Q9" t="s">
        <v>2495</v>
      </c>
      <c r="R9" t="s">
        <v>2496</v>
      </c>
      <c r="S9" t="s">
        <v>17</v>
      </c>
      <c r="U9" t="s">
        <v>2475</v>
      </c>
      <c r="V9" t="s">
        <v>2497</v>
      </c>
      <c r="W9" t="s">
        <v>2476</v>
      </c>
      <c r="X9" t="s">
        <v>19</v>
      </c>
    </row>
    <row r="10" spans="2:33" x14ac:dyDescent="0.45">
      <c r="B10" t="s">
        <v>2498</v>
      </c>
      <c r="C10">
        <v>1.6981030000000001</v>
      </c>
      <c r="D10">
        <v>124.30000000000001</v>
      </c>
      <c r="E10">
        <v>0.99321999999999999</v>
      </c>
      <c r="H10" t="s">
        <v>2483</v>
      </c>
      <c r="I10" t="s">
        <v>13</v>
      </c>
      <c r="J10">
        <v>1.4617418257332688E-2</v>
      </c>
      <c r="K10" t="s">
        <v>14</v>
      </c>
      <c r="P10" t="s">
        <v>2475</v>
      </c>
      <c r="Q10" t="s">
        <v>2499</v>
      </c>
      <c r="R10" t="s">
        <v>2500</v>
      </c>
      <c r="S10" t="s">
        <v>17</v>
      </c>
      <c r="U10" t="s">
        <v>2475</v>
      </c>
      <c r="V10" t="s">
        <v>2501</v>
      </c>
      <c r="W10" t="s">
        <v>2476</v>
      </c>
      <c r="X10" t="s">
        <v>19</v>
      </c>
    </row>
    <row r="11" spans="2:33" x14ac:dyDescent="0.45">
      <c r="B11" t="s">
        <v>2502</v>
      </c>
      <c r="C11">
        <v>11.931406000000001</v>
      </c>
      <c r="D11">
        <v>9.9</v>
      </c>
      <c r="E11">
        <v>0.99946000000000002</v>
      </c>
      <c r="H11" t="s">
        <v>2483</v>
      </c>
      <c r="I11" t="s">
        <v>27</v>
      </c>
      <c r="J11">
        <v>1.4617418257332688E-2</v>
      </c>
      <c r="K11" t="s">
        <v>14</v>
      </c>
      <c r="P11" t="s">
        <v>2475</v>
      </c>
      <c r="Q11" t="s">
        <v>2503</v>
      </c>
      <c r="R11" t="s">
        <v>2504</v>
      </c>
      <c r="S11" t="s">
        <v>17</v>
      </c>
      <c r="U11" t="s">
        <v>2475</v>
      </c>
      <c r="V11" t="s">
        <v>2505</v>
      </c>
      <c r="W11" t="s">
        <v>2476</v>
      </c>
      <c r="X11" t="s">
        <v>19</v>
      </c>
    </row>
    <row r="12" spans="2:33" x14ac:dyDescent="0.45">
      <c r="B12" t="s">
        <v>2506</v>
      </c>
      <c r="C12">
        <v>20.913473999999997</v>
      </c>
      <c r="D12">
        <v>11</v>
      </c>
      <c r="E12">
        <v>0.99939999999999996</v>
      </c>
      <c r="H12" t="s">
        <v>2483</v>
      </c>
      <c r="I12" t="s">
        <v>36</v>
      </c>
      <c r="J12">
        <v>1.4617418257332688E-2</v>
      </c>
      <c r="K12" t="s">
        <v>14</v>
      </c>
      <c r="P12" t="s">
        <v>2475</v>
      </c>
      <c r="Q12" t="s">
        <v>2507</v>
      </c>
      <c r="R12" t="s">
        <v>2508</v>
      </c>
      <c r="S12" t="s">
        <v>17</v>
      </c>
      <c r="U12" t="s">
        <v>2475</v>
      </c>
      <c r="V12" t="s">
        <v>2509</v>
      </c>
      <c r="W12" t="s">
        <v>2476</v>
      </c>
      <c r="X12" t="s">
        <v>19</v>
      </c>
    </row>
    <row r="13" spans="2:33" x14ac:dyDescent="0.45">
      <c r="B13" t="s">
        <v>2510</v>
      </c>
      <c r="C13">
        <v>3.3962060000000003</v>
      </c>
      <c r="D13">
        <v>68.2</v>
      </c>
      <c r="E13">
        <v>0.99628000000000005</v>
      </c>
      <c r="H13" t="s">
        <v>2487</v>
      </c>
      <c r="I13" t="s">
        <v>13</v>
      </c>
      <c r="J13">
        <v>7.7381897904656525E-3</v>
      </c>
      <c r="K13" t="s">
        <v>14</v>
      </c>
      <c r="P13" t="s">
        <v>2475</v>
      </c>
      <c r="Q13" t="s">
        <v>2511</v>
      </c>
      <c r="R13" t="s">
        <v>2512</v>
      </c>
      <c r="S13" t="s">
        <v>17</v>
      </c>
      <c r="U13" t="s">
        <v>2475</v>
      </c>
      <c r="V13" t="s">
        <v>2513</v>
      </c>
      <c r="W13" t="s">
        <v>2476</v>
      </c>
      <c r="X13" t="s">
        <v>19</v>
      </c>
    </row>
    <row r="14" spans="2:33" x14ac:dyDescent="0.45">
      <c r="B14" t="s">
        <v>2514</v>
      </c>
      <c r="C14">
        <v>15.282926</v>
      </c>
      <c r="D14">
        <v>82.5</v>
      </c>
      <c r="E14">
        <v>0.99550000000000005</v>
      </c>
      <c r="H14" t="s">
        <v>2487</v>
      </c>
      <c r="I14" t="s">
        <v>27</v>
      </c>
      <c r="J14">
        <v>7.7381897904656525E-3</v>
      </c>
      <c r="K14" t="s">
        <v>14</v>
      </c>
      <c r="P14" t="s">
        <v>2475</v>
      </c>
      <c r="Q14" t="s">
        <v>2515</v>
      </c>
      <c r="R14" t="s">
        <v>2516</v>
      </c>
      <c r="S14" t="s">
        <v>17</v>
      </c>
      <c r="U14" t="s">
        <v>2475</v>
      </c>
      <c r="V14" t="s">
        <v>2517</v>
      </c>
      <c r="W14" t="s">
        <v>2476</v>
      </c>
      <c r="X14" t="s">
        <v>19</v>
      </c>
    </row>
    <row r="15" spans="2:33" x14ac:dyDescent="0.45">
      <c r="B15" t="s">
        <v>2518</v>
      </c>
      <c r="C15">
        <v>3.3962050000000001</v>
      </c>
      <c r="D15">
        <v>46.2</v>
      </c>
      <c r="E15">
        <v>0.99748000000000003</v>
      </c>
      <c r="H15" t="s">
        <v>2487</v>
      </c>
      <c r="I15" t="s">
        <v>36</v>
      </c>
      <c r="J15">
        <v>7.7381897904656525E-3</v>
      </c>
      <c r="K15" t="s">
        <v>14</v>
      </c>
      <c r="P15" t="s">
        <v>2475</v>
      </c>
      <c r="Q15" t="s">
        <v>2519</v>
      </c>
      <c r="R15" t="s">
        <v>2520</v>
      </c>
      <c r="S15" t="s">
        <v>17</v>
      </c>
      <c r="U15" t="s">
        <v>2475</v>
      </c>
      <c r="V15" t="s">
        <v>2517</v>
      </c>
      <c r="W15" t="s">
        <v>2521</v>
      </c>
      <c r="X15" t="s">
        <v>19</v>
      </c>
    </row>
    <row r="16" spans="2:33" x14ac:dyDescent="0.45">
      <c r="B16" t="s">
        <v>2522</v>
      </c>
      <c r="C16">
        <v>0.98311199999999999</v>
      </c>
      <c r="D16">
        <v>28.6</v>
      </c>
      <c r="E16">
        <v>0.99843999999999999</v>
      </c>
      <c r="H16" t="s">
        <v>2491</v>
      </c>
      <c r="I16" t="s">
        <v>13</v>
      </c>
      <c r="J16">
        <v>6.9858825425211366E-2</v>
      </c>
      <c r="K16" t="s">
        <v>14</v>
      </c>
      <c r="P16" t="s">
        <v>2475</v>
      </c>
      <c r="Q16" t="s">
        <v>2523</v>
      </c>
      <c r="R16" t="s">
        <v>2524</v>
      </c>
      <c r="S16" t="s">
        <v>17</v>
      </c>
      <c r="U16" t="s">
        <v>2475</v>
      </c>
      <c r="V16" t="s">
        <v>2525</v>
      </c>
      <c r="W16" t="s">
        <v>2476</v>
      </c>
      <c r="X16" t="s">
        <v>19</v>
      </c>
    </row>
    <row r="17" spans="2:24" x14ac:dyDescent="0.45">
      <c r="B17" t="s">
        <v>2526</v>
      </c>
      <c r="C17">
        <v>6.7924110000000004</v>
      </c>
      <c r="D17">
        <v>64.900000000000006</v>
      </c>
      <c r="E17">
        <v>0.99646000000000001</v>
      </c>
      <c r="H17" t="s">
        <v>2491</v>
      </c>
      <c r="I17" t="s">
        <v>27</v>
      </c>
      <c r="J17">
        <v>6.9858825425211366E-2</v>
      </c>
      <c r="K17" t="s">
        <v>14</v>
      </c>
      <c r="P17" t="s">
        <v>2475</v>
      </c>
      <c r="Q17" t="s">
        <v>2527</v>
      </c>
      <c r="R17" t="s">
        <v>2528</v>
      </c>
      <c r="S17" t="s">
        <v>17</v>
      </c>
      <c r="U17" t="s">
        <v>2475</v>
      </c>
      <c r="V17" t="s">
        <v>2525</v>
      </c>
      <c r="W17" t="s">
        <v>2521</v>
      </c>
      <c r="X17" t="s">
        <v>19</v>
      </c>
    </row>
    <row r="18" spans="2:24" x14ac:dyDescent="0.45">
      <c r="B18" t="s">
        <v>2529</v>
      </c>
      <c r="C18">
        <v>0.98311199999999999</v>
      </c>
      <c r="D18">
        <v>53.900000000000006</v>
      </c>
      <c r="E18">
        <v>0.99705999999999995</v>
      </c>
      <c r="H18" t="s">
        <v>2491</v>
      </c>
      <c r="I18" t="s">
        <v>36</v>
      </c>
      <c r="J18">
        <v>6.9858825425211366E-2</v>
      </c>
      <c r="K18" t="s">
        <v>14</v>
      </c>
      <c r="P18" t="s">
        <v>2475</v>
      </c>
      <c r="Q18" t="s">
        <v>2530</v>
      </c>
      <c r="R18" t="s">
        <v>2531</v>
      </c>
      <c r="S18" t="s">
        <v>17</v>
      </c>
      <c r="U18" t="s">
        <v>2475</v>
      </c>
      <c r="V18" t="s">
        <v>2532</v>
      </c>
      <c r="W18" t="s">
        <v>2476</v>
      </c>
      <c r="X18" t="s">
        <v>19</v>
      </c>
    </row>
    <row r="19" spans="2:24" x14ac:dyDescent="0.45">
      <c r="B19" t="s">
        <v>2533</v>
      </c>
      <c r="C19">
        <v>0.98311199999999999</v>
      </c>
      <c r="D19">
        <v>80.300000000000011</v>
      </c>
      <c r="E19">
        <v>0.99561999999999995</v>
      </c>
      <c r="H19" t="s">
        <v>2495</v>
      </c>
      <c r="I19" t="s">
        <v>13</v>
      </c>
      <c r="J19">
        <v>3.7852104994517868E-2</v>
      </c>
      <c r="K19" t="s">
        <v>14</v>
      </c>
      <c r="P19" t="s">
        <v>2475</v>
      </c>
      <c r="Q19" t="s">
        <v>2534</v>
      </c>
      <c r="R19" t="s">
        <v>2535</v>
      </c>
      <c r="S19" t="s">
        <v>17</v>
      </c>
      <c r="U19" t="s">
        <v>2475</v>
      </c>
      <c r="V19" t="s">
        <v>2532</v>
      </c>
      <c r="W19" t="s">
        <v>2521</v>
      </c>
      <c r="X19" t="s">
        <v>19</v>
      </c>
    </row>
    <row r="20" spans="2:24" x14ac:dyDescent="0.45">
      <c r="B20" t="s">
        <v>2536</v>
      </c>
      <c r="C20">
        <v>10.188615</v>
      </c>
      <c r="D20">
        <v>56.1</v>
      </c>
      <c r="E20">
        <v>0.99694000000000005</v>
      </c>
      <c r="H20" t="s">
        <v>2495</v>
      </c>
      <c r="I20" t="s">
        <v>27</v>
      </c>
      <c r="J20">
        <v>3.7852104994517868E-2</v>
      </c>
      <c r="K20" t="s">
        <v>14</v>
      </c>
      <c r="P20" t="s">
        <v>2475</v>
      </c>
      <c r="Q20" t="s">
        <v>2537</v>
      </c>
      <c r="R20" t="s">
        <v>2538</v>
      </c>
      <c r="S20" t="s">
        <v>17</v>
      </c>
      <c r="U20" t="s">
        <v>2475</v>
      </c>
      <c r="V20" t="s">
        <v>2539</v>
      </c>
      <c r="W20" t="s">
        <v>2521</v>
      </c>
      <c r="X20" t="s">
        <v>19</v>
      </c>
    </row>
    <row r="21" spans="2:24" x14ac:dyDescent="0.45">
      <c r="B21" t="s">
        <v>2540</v>
      </c>
      <c r="C21">
        <v>5.0943079999999998</v>
      </c>
      <c r="D21">
        <v>91.300000000000011</v>
      </c>
      <c r="E21">
        <v>0.99502000000000002</v>
      </c>
      <c r="H21" t="s">
        <v>2495</v>
      </c>
      <c r="I21" t="s">
        <v>36</v>
      </c>
      <c r="J21">
        <v>3.7852104994517868E-2</v>
      </c>
      <c r="K21" t="s">
        <v>14</v>
      </c>
      <c r="P21" t="s">
        <v>2475</v>
      </c>
      <c r="Q21" t="s">
        <v>2541</v>
      </c>
      <c r="R21" t="s">
        <v>2542</v>
      </c>
      <c r="S21" t="s">
        <v>17</v>
      </c>
      <c r="U21" t="s">
        <v>2475</v>
      </c>
      <c r="V21" t="s">
        <v>2543</v>
      </c>
      <c r="W21" t="s">
        <v>2521</v>
      </c>
      <c r="X21" t="s">
        <v>19</v>
      </c>
    </row>
    <row r="22" spans="2:24" x14ac:dyDescent="0.45">
      <c r="B22" t="s">
        <v>2544</v>
      </c>
      <c r="C22">
        <v>3.3962060000000003</v>
      </c>
      <c r="D22">
        <v>133.10000000000002</v>
      </c>
      <c r="E22">
        <v>0.99273999999999996</v>
      </c>
      <c r="H22" t="s">
        <v>2499</v>
      </c>
      <c r="I22" t="s">
        <v>13</v>
      </c>
      <c r="J22">
        <v>4.3987042311574555E-2</v>
      </c>
      <c r="K22" t="s">
        <v>14</v>
      </c>
      <c r="P22" t="s">
        <v>2475</v>
      </c>
      <c r="Q22" t="s">
        <v>2545</v>
      </c>
      <c r="R22" t="s">
        <v>2546</v>
      </c>
      <c r="S22" t="s">
        <v>17</v>
      </c>
      <c r="U22" t="s">
        <v>2475</v>
      </c>
      <c r="V22" t="s">
        <v>2547</v>
      </c>
      <c r="W22" t="s">
        <v>2521</v>
      </c>
      <c r="X22" t="s">
        <v>19</v>
      </c>
    </row>
    <row r="23" spans="2:24" x14ac:dyDescent="0.45">
      <c r="B23" t="s">
        <v>2548</v>
      </c>
      <c r="C23">
        <v>2.1896590000000002</v>
      </c>
      <c r="D23">
        <v>83.600000000000009</v>
      </c>
      <c r="E23">
        <v>0.99543999999999999</v>
      </c>
      <c r="H23" t="s">
        <v>2499</v>
      </c>
      <c r="I23" t="s">
        <v>27</v>
      </c>
      <c r="J23">
        <v>4.3987042311574555E-2</v>
      </c>
      <c r="K23" t="s">
        <v>14</v>
      </c>
      <c r="P23" t="s">
        <v>2475</v>
      </c>
      <c r="Q23" t="s">
        <v>2549</v>
      </c>
      <c r="R23" t="s">
        <v>2550</v>
      </c>
      <c r="S23" t="s">
        <v>17</v>
      </c>
      <c r="U23" t="s">
        <v>2475</v>
      </c>
      <c r="V23" t="s">
        <v>2547</v>
      </c>
      <c r="W23" t="s">
        <v>2476</v>
      </c>
      <c r="X23" t="s">
        <v>17</v>
      </c>
    </row>
    <row r="24" spans="2:24" x14ac:dyDescent="0.45">
      <c r="B24" t="s">
        <v>2551</v>
      </c>
      <c r="C24">
        <v>6.7924100000000003</v>
      </c>
      <c r="D24">
        <v>33</v>
      </c>
      <c r="E24">
        <v>0.99819999999999998</v>
      </c>
      <c r="H24" t="s">
        <v>2499</v>
      </c>
      <c r="I24" t="s">
        <v>36</v>
      </c>
      <c r="J24">
        <v>4.3987042311574555E-2</v>
      </c>
      <c r="K24" t="s">
        <v>14</v>
      </c>
      <c r="P24" t="s">
        <v>2475</v>
      </c>
      <c r="Q24" t="s">
        <v>2552</v>
      </c>
      <c r="R24" t="s">
        <v>2553</v>
      </c>
      <c r="S24" t="s">
        <v>17</v>
      </c>
      <c r="U24" t="s">
        <v>2475</v>
      </c>
      <c r="V24" t="s">
        <v>2554</v>
      </c>
      <c r="W24" t="s">
        <v>2521</v>
      </c>
      <c r="X24" t="s">
        <v>19</v>
      </c>
    </row>
    <row r="25" spans="2:24" x14ac:dyDescent="0.45">
      <c r="B25" t="s">
        <v>2555</v>
      </c>
      <c r="C25">
        <v>12.646396000000001</v>
      </c>
      <c r="D25">
        <v>57.2</v>
      </c>
      <c r="E25">
        <v>0.99687999999999999</v>
      </c>
      <c r="H25" t="s">
        <v>2503</v>
      </c>
      <c r="I25" t="s">
        <v>13</v>
      </c>
      <c r="J25">
        <v>2.9968417375847958E-2</v>
      </c>
      <c r="K25" t="s">
        <v>14</v>
      </c>
      <c r="P25" t="s">
        <v>2475</v>
      </c>
      <c r="Q25" t="s">
        <v>2556</v>
      </c>
      <c r="R25" t="s">
        <v>2557</v>
      </c>
      <c r="S25" t="s">
        <v>17</v>
      </c>
      <c r="U25" t="s">
        <v>2475</v>
      </c>
      <c r="V25" t="s">
        <v>2554</v>
      </c>
      <c r="W25" t="s">
        <v>2476</v>
      </c>
      <c r="X25" t="s">
        <v>17</v>
      </c>
    </row>
    <row r="26" spans="2:24" x14ac:dyDescent="0.45">
      <c r="B26" t="s">
        <v>2558</v>
      </c>
      <c r="C26">
        <v>14.567932000000001</v>
      </c>
      <c r="D26">
        <v>47.300000000000004</v>
      </c>
      <c r="E26">
        <v>0.99741999999999997</v>
      </c>
      <c r="H26" t="s">
        <v>2503</v>
      </c>
      <c r="I26" t="s">
        <v>27</v>
      </c>
      <c r="J26">
        <v>2.9968417375847958E-2</v>
      </c>
      <c r="K26" t="s">
        <v>14</v>
      </c>
      <c r="P26" t="s">
        <v>2475</v>
      </c>
      <c r="Q26" t="s">
        <v>2559</v>
      </c>
      <c r="R26" t="s">
        <v>2560</v>
      </c>
      <c r="S26" t="s">
        <v>17</v>
      </c>
      <c r="U26" t="s">
        <v>2475</v>
      </c>
      <c r="V26" t="s">
        <v>2561</v>
      </c>
      <c r="W26" t="s">
        <v>2480</v>
      </c>
      <c r="X26" t="s">
        <v>19</v>
      </c>
    </row>
    <row r="27" spans="2:24" x14ac:dyDescent="0.45">
      <c r="B27" t="s">
        <v>2562</v>
      </c>
      <c r="C27">
        <v>1.6981030000000001</v>
      </c>
      <c r="D27">
        <v>122.10000000000001</v>
      </c>
      <c r="E27">
        <v>0.99334</v>
      </c>
      <c r="H27" t="s">
        <v>2503</v>
      </c>
      <c r="I27" t="s">
        <v>36</v>
      </c>
      <c r="J27">
        <v>2.9968417375847958E-2</v>
      </c>
      <c r="K27" t="s">
        <v>14</v>
      </c>
      <c r="P27" t="s">
        <v>2475</v>
      </c>
      <c r="Q27" t="s">
        <v>2563</v>
      </c>
      <c r="R27" t="s">
        <v>2564</v>
      </c>
      <c r="S27" t="s">
        <v>17</v>
      </c>
      <c r="U27" t="s">
        <v>2475</v>
      </c>
      <c r="V27" t="s">
        <v>2565</v>
      </c>
      <c r="W27" t="s">
        <v>2480</v>
      </c>
      <c r="X27" t="s">
        <v>19</v>
      </c>
    </row>
    <row r="28" spans="2:24" x14ac:dyDescent="0.45">
      <c r="B28" t="s">
        <v>2566</v>
      </c>
      <c r="C28">
        <v>4.3793170000000003</v>
      </c>
      <c r="D28">
        <v>24.200000000000003</v>
      </c>
      <c r="E28">
        <v>0.99868000000000001</v>
      </c>
      <c r="H28" t="s">
        <v>2507</v>
      </c>
      <c r="I28" t="s">
        <v>13</v>
      </c>
      <c r="J28">
        <v>1.0194618322193689E-2</v>
      </c>
      <c r="K28" t="s">
        <v>14</v>
      </c>
      <c r="P28" t="s">
        <v>2475</v>
      </c>
      <c r="Q28" t="s">
        <v>2567</v>
      </c>
      <c r="R28" t="s">
        <v>2568</v>
      </c>
      <c r="S28" t="s">
        <v>17</v>
      </c>
      <c r="U28" t="s">
        <v>2475</v>
      </c>
      <c r="V28" t="s">
        <v>2569</v>
      </c>
      <c r="W28" t="s">
        <v>2480</v>
      </c>
      <c r="X28" t="s">
        <v>19</v>
      </c>
    </row>
    <row r="29" spans="2:24" x14ac:dyDescent="0.45">
      <c r="B29" t="s">
        <v>2570</v>
      </c>
      <c r="C29">
        <v>2.6812150000000003</v>
      </c>
      <c r="D29">
        <v>80.300000000000011</v>
      </c>
      <c r="E29">
        <v>0.99561999999999995</v>
      </c>
      <c r="H29" t="s">
        <v>2507</v>
      </c>
      <c r="I29" t="s">
        <v>27</v>
      </c>
      <c r="J29">
        <v>1.0194618322193689E-2</v>
      </c>
      <c r="K29" t="s">
        <v>14</v>
      </c>
      <c r="P29" t="s">
        <v>2475</v>
      </c>
      <c r="Q29" t="s">
        <v>2571</v>
      </c>
      <c r="R29" t="s">
        <v>2572</v>
      </c>
      <c r="S29" t="s">
        <v>17</v>
      </c>
      <c r="U29" t="s">
        <v>2475</v>
      </c>
      <c r="V29" t="s">
        <v>2573</v>
      </c>
      <c r="W29" t="s">
        <v>2480</v>
      </c>
      <c r="X29" t="s">
        <v>19</v>
      </c>
    </row>
    <row r="30" spans="2:24" x14ac:dyDescent="0.45">
      <c r="B30" t="s">
        <v>2574</v>
      </c>
      <c r="C30">
        <v>5.3624300000000007</v>
      </c>
      <c r="D30">
        <v>26.400000000000002</v>
      </c>
      <c r="E30">
        <v>0.99856</v>
      </c>
      <c r="H30" t="s">
        <v>2507</v>
      </c>
      <c r="I30" t="s">
        <v>36</v>
      </c>
      <c r="J30">
        <v>1.0194618322193689E-2</v>
      </c>
      <c r="K30" t="s">
        <v>14</v>
      </c>
      <c r="P30" t="s">
        <v>2475</v>
      </c>
      <c r="Q30" t="s">
        <v>2575</v>
      </c>
      <c r="R30" t="s">
        <v>2576</v>
      </c>
      <c r="S30" t="s">
        <v>17</v>
      </c>
      <c r="U30" t="s">
        <v>2475</v>
      </c>
      <c r="V30" t="s">
        <v>2577</v>
      </c>
      <c r="W30" t="s">
        <v>2480</v>
      </c>
      <c r="X30" t="s">
        <v>19</v>
      </c>
    </row>
    <row r="31" spans="2:24" x14ac:dyDescent="0.45">
      <c r="B31" t="s">
        <v>2578</v>
      </c>
      <c r="C31">
        <v>1.6981030000000001</v>
      </c>
      <c r="D31">
        <v>40.700000000000003</v>
      </c>
      <c r="E31">
        <v>0.99778</v>
      </c>
      <c r="H31" t="s">
        <v>2511</v>
      </c>
      <c r="I31" t="s">
        <v>13</v>
      </c>
      <c r="J31">
        <v>2.3980237328607684E-2</v>
      </c>
      <c r="K31" t="s">
        <v>14</v>
      </c>
      <c r="P31" t="s">
        <v>2475</v>
      </c>
      <c r="Q31" t="s">
        <v>2579</v>
      </c>
      <c r="R31" t="s">
        <v>2580</v>
      </c>
      <c r="S31" t="s">
        <v>17</v>
      </c>
      <c r="U31" t="s">
        <v>2475</v>
      </c>
      <c r="V31" t="s">
        <v>2581</v>
      </c>
      <c r="W31" t="s">
        <v>2480</v>
      </c>
      <c r="X31" t="s">
        <v>19</v>
      </c>
    </row>
    <row r="32" spans="2:24" x14ac:dyDescent="0.45">
      <c r="B32" t="s">
        <v>2582</v>
      </c>
      <c r="C32">
        <v>7.775523999999999</v>
      </c>
      <c r="D32">
        <v>107.80000000000001</v>
      </c>
      <c r="E32">
        <v>0.99412</v>
      </c>
      <c r="H32" t="s">
        <v>2511</v>
      </c>
      <c r="I32" t="s">
        <v>27</v>
      </c>
      <c r="J32">
        <v>2.3980237328607684E-2</v>
      </c>
      <c r="K32" t="s">
        <v>14</v>
      </c>
      <c r="P32" t="s">
        <v>2475</v>
      </c>
      <c r="Q32" t="s">
        <v>2583</v>
      </c>
      <c r="R32" t="s">
        <v>2584</v>
      </c>
      <c r="S32" t="s">
        <v>17</v>
      </c>
      <c r="U32" t="s">
        <v>2475</v>
      </c>
      <c r="V32" t="s">
        <v>2585</v>
      </c>
      <c r="W32" t="s">
        <v>2480</v>
      </c>
      <c r="X32" t="s">
        <v>19</v>
      </c>
    </row>
    <row r="33" spans="2:24" x14ac:dyDescent="0.45">
      <c r="B33" t="s">
        <v>2586</v>
      </c>
      <c r="C33">
        <v>5.094309</v>
      </c>
      <c r="D33">
        <v>90.2</v>
      </c>
      <c r="E33">
        <v>0.99507999999999996</v>
      </c>
      <c r="H33" t="s">
        <v>2511</v>
      </c>
      <c r="I33" t="s">
        <v>36</v>
      </c>
      <c r="J33">
        <v>2.3980237328607684E-2</v>
      </c>
      <c r="K33" t="s">
        <v>14</v>
      </c>
      <c r="P33" t="s">
        <v>2475</v>
      </c>
      <c r="Q33" t="s">
        <v>2587</v>
      </c>
      <c r="R33" t="s">
        <v>2588</v>
      </c>
      <c r="S33" t="s">
        <v>17</v>
      </c>
      <c r="U33" t="s">
        <v>2475</v>
      </c>
      <c r="V33" t="s">
        <v>2589</v>
      </c>
      <c r="W33" t="s">
        <v>2480</v>
      </c>
      <c r="X33" t="s">
        <v>19</v>
      </c>
    </row>
    <row r="34" spans="2:24" x14ac:dyDescent="0.45">
      <c r="B34" t="s">
        <v>2590</v>
      </c>
      <c r="C34">
        <v>1.6981030000000001</v>
      </c>
      <c r="D34">
        <v>112.2</v>
      </c>
      <c r="E34">
        <v>0.99387999999999999</v>
      </c>
      <c r="H34" t="s">
        <v>2515</v>
      </c>
      <c r="I34" t="s">
        <v>13</v>
      </c>
      <c r="J34">
        <v>1.8153636441602367E-2</v>
      </c>
      <c r="K34" t="s">
        <v>14</v>
      </c>
      <c r="P34" t="s">
        <v>2475</v>
      </c>
      <c r="Q34" t="s">
        <v>2591</v>
      </c>
      <c r="R34" t="s">
        <v>2592</v>
      </c>
      <c r="S34" t="s">
        <v>17</v>
      </c>
      <c r="U34" t="s">
        <v>2475</v>
      </c>
      <c r="V34" t="s">
        <v>2593</v>
      </c>
      <c r="W34" t="s">
        <v>2480</v>
      </c>
      <c r="X34" t="s">
        <v>19</v>
      </c>
    </row>
    <row r="35" spans="2:24" x14ac:dyDescent="0.45">
      <c r="B35" t="s">
        <v>2594</v>
      </c>
      <c r="C35">
        <v>5.5858650000000001</v>
      </c>
      <c r="D35">
        <v>58.300000000000004</v>
      </c>
      <c r="E35">
        <v>0.99682000000000004</v>
      </c>
      <c r="H35" t="s">
        <v>2515</v>
      </c>
      <c r="I35" t="s">
        <v>27</v>
      </c>
      <c r="J35">
        <v>1.8153636441602367E-2</v>
      </c>
      <c r="K35" t="s">
        <v>14</v>
      </c>
      <c r="P35" t="s">
        <v>2475</v>
      </c>
      <c r="Q35" t="s">
        <v>2595</v>
      </c>
      <c r="R35" t="s">
        <v>2596</v>
      </c>
      <c r="S35" t="s">
        <v>17</v>
      </c>
      <c r="U35" t="s">
        <v>2475</v>
      </c>
      <c r="V35" t="s">
        <v>2597</v>
      </c>
      <c r="W35" t="s">
        <v>2480</v>
      </c>
      <c r="X35" t="s">
        <v>19</v>
      </c>
    </row>
    <row r="36" spans="2:24" x14ac:dyDescent="0.45">
      <c r="B36" t="s">
        <v>2598</v>
      </c>
      <c r="C36">
        <v>5.3624289999999997</v>
      </c>
      <c r="D36">
        <v>33</v>
      </c>
      <c r="E36">
        <v>0.99819999999999998</v>
      </c>
      <c r="H36" t="s">
        <v>2515</v>
      </c>
      <c r="I36" t="s">
        <v>36</v>
      </c>
      <c r="J36">
        <v>1.8153636441602367E-2</v>
      </c>
      <c r="K36" t="s">
        <v>14</v>
      </c>
      <c r="P36" t="s">
        <v>2475</v>
      </c>
      <c r="Q36" t="s">
        <v>2599</v>
      </c>
      <c r="R36" t="s">
        <v>2600</v>
      </c>
      <c r="S36" t="s">
        <v>17</v>
      </c>
      <c r="U36" t="s">
        <v>2475</v>
      </c>
      <c r="V36" t="s">
        <v>2601</v>
      </c>
      <c r="W36" t="s">
        <v>2480</v>
      </c>
      <c r="X36" t="s">
        <v>19</v>
      </c>
    </row>
    <row r="37" spans="2:24" x14ac:dyDescent="0.45">
      <c r="B37" t="s">
        <v>2602</v>
      </c>
      <c r="C37">
        <v>1.6981030000000001</v>
      </c>
      <c r="D37">
        <v>78.100000000000009</v>
      </c>
      <c r="E37">
        <v>0.99573999999999996</v>
      </c>
      <c r="H37" t="s">
        <v>2519</v>
      </c>
      <c r="I37" t="s">
        <v>13</v>
      </c>
      <c r="J37">
        <v>5.2510294263457095E-3</v>
      </c>
      <c r="K37" t="s">
        <v>14</v>
      </c>
      <c r="P37" t="s">
        <v>2475</v>
      </c>
      <c r="Q37" t="s">
        <v>2603</v>
      </c>
      <c r="R37" t="s">
        <v>2604</v>
      </c>
      <c r="S37" t="s">
        <v>17</v>
      </c>
      <c r="U37" t="s">
        <v>2475</v>
      </c>
      <c r="V37" t="s">
        <v>2601</v>
      </c>
      <c r="W37" t="s">
        <v>2605</v>
      </c>
      <c r="X37" t="s">
        <v>19</v>
      </c>
    </row>
    <row r="38" spans="2:24" x14ac:dyDescent="0.45">
      <c r="B38" t="s">
        <v>2606</v>
      </c>
      <c r="C38">
        <v>1.6981030000000001</v>
      </c>
      <c r="D38">
        <v>196.9</v>
      </c>
      <c r="E38">
        <v>0.98926000000000003</v>
      </c>
      <c r="H38" t="s">
        <v>2519</v>
      </c>
      <c r="I38" t="s">
        <v>27</v>
      </c>
      <c r="J38">
        <v>5.2510294263457095E-3</v>
      </c>
      <c r="K38" t="s">
        <v>14</v>
      </c>
      <c r="P38" t="s">
        <v>2475</v>
      </c>
      <c r="Q38" t="s">
        <v>2607</v>
      </c>
      <c r="R38" t="s">
        <v>2608</v>
      </c>
      <c r="S38" t="s">
        <v>17</v>
      </c>
      <c r="U38" t="s">
        <v>2475</v>
      </c>
      <c r="V38" t="s">
        <v>2609</v>
      </c>
      <c r="W38" t="s">
        <v>2480</v>
      </c>
      <c r="X38" t="s">
        <v>19</v>
      </c>
    </row>
    <row r="39" spans="2:24" x14ac:dyDescent="0.45">
      <c r="B39" t="s">
        <v>2610</v>
      </c>
      <c r="C39">
        <v>3.3962050000000001</v>
      </c>
      <c r="D39">
        <v>27.500000000000004</v>
      </c>
      <c r="E39">
        <v>0.99850000000000005</v>
      </c>
      <c r="H39" t="s">
        <v>2519</v>
      </c>
      <c r="I39" t="s">
        <v>36</v>
      </c>
      <c r="J39">
        <v>5.2510294263457095E-3</v>
      </c>
      <c r="K39" t="s">
        <v>14</v>
      </c>
      <c r="P39" t="s">
        <v>2475</v>
      </c>
      <c r="Q39" t="s">
        <v>2611</v>
      </c>
      <c r="R39" t="s">
        <v>2612</v>
      </c>
      <c r="S39" t="s">
        <v>17</v>
      </c>
      <c r="U39" t="s">
        <v>2475</v>
      </c>
      <c r="V39" t="s">
        <v>2609</v>
      </c>
      <c r="W39" t="s">
        <v>2605</v>
      </c>
      <c r="X39" t="s">
        <v>19</v>
      </c>
    </row>
    <row r="40" spans="2:24" x14ac:dyDescent="0.45">
      <c r="B40" t="s">
        <v>2613</v>
      </c>
      <c r="C40">
        <v>3.3962050000000001</v>
      </c>
      <c r="D40">
        <v>40.700000000000003</v>
      </c>
      <c r="E40">
        <v>0.99778</v>
      </c>
      <c r="H40" t="s">
        <v>2523</v>
      </c>
      <c r="I40" t="s">
        <v>13</v>
      </c>
      <c r="J40">
        <v>5.4833402178561037E-2</v>
      </c>
      <c r="K40" t="s">
        <v>14</v>
      </c>
      <c r="P40" t="s">
        <v>2475</v>
      </c>
      <c r="Q40" t="s">
        <v>2614</v>
      </c>
      <c r="R40" t="s">
        <v>2615</v>
      </c>
      <c r="S40" t="s">
        <v>17</v>
      </c>
      <c r="U40" t="s">
        <v>2475</v>
      </c>
      <c r="V40" t="s">
        <v>2616</v>
      </c>
      <c r="W40" t="s">
        <v>2480</v>
      </c>
      <c r="X40" t="s">
        <v>19</v>
      </c>
    </row>
    <row r="41" spans="2:24" x14ac:dyDescent="0.45">
      <c r="B41" t="s">
        <v>2617</v>
      </c>
      <c r="C41">
        <v>9.4736250000000002</v>
      </c>
      <c r="D41">
        <v>50.6</v>
      </c>
      <c r="E41">
        <v>0.99724000000000002</v>
      </c>
      <c r="H41" t="s">
        <v>2523</v>
      </c>
      <c r="I41" t="s">
        <v>27</v>
      </c>
      <c r="J41">
        <v>5.4833402178561037E-2</v>
      </c>
      <c r="K41" t="s">
        <v>14</v>
      </c>
      <c r="P41" t="s">
        <v>2475</v>
      </c>
      <c r="Q41" t="s">
        <v>2618</v>
      </c>
      <c r="R41" t="s">
        <v>2476</v>
      </c>
      <c r="S41" t="s">
        <v>17</v>
      </c>
      <c r="U41" t="s">
        <v>2475</v>
      </c>
      <c r="V41" t="s">
        <v>2616</v>
      </c>
      <c r="W41" t="s">
        <v>2605</v>
      </c>
      <c r="X41" t="s">
        <v>19</v>
      </c>
    </row>
    <row r="42" spans="2:24" x14ac:dyDescent="0.45">
      <c r="B42" t="s">
        <v>2619</v>
      </c>
      <c r="C42">
        <v>8.7586340000000007</v>
      </c>
      <c r="D42">
        <v>57.2</v>
      </c>
      <c r="E42">
        <v>0.99687999999999999</v>
      </c>
      <c r="H42" t="s">
        <v>2523</v>
      </c>
      <c r="I42" t="s">
        <v>36</v>
      </c>
      <c r="J42">
        <v>5.4833402178561037E-2</v>
      </c>
      <c r="K42" t="s">
        <v>14</v>
      </c>
      <c r="P42" t="s">
        <v>2475</v>
      </c>
      <c r="Q42" t="s">
        <v>2620</v>
      </c>
      <c r="R42" t="s">
        <v>2480</v>
      </c>
      <c r="S42" t="s">
        <v>17</v>
      </c>
      <c r="U42" t="s">
        <v>2475</v>
      </c>
      <c r="V42" t="s">
        <v>2621</v>
      </c>
      <c r="W42" t="s">
        <v>2605</v>
      </c>
      <c r="X42" t="s">
        <v>19</v>
      </c>
    </row>
    <row r="43" spans="2:24" x14ac:dyDescent="0.45">
      <c r="B43" t="s">
        <v>2622</v>
      </c>
      <c r="C43">
        <v>8.7586340000000007</v>
      </c>
      <c r="D43">
        <v>68.2</v>
      </c>
      <c r="E43">
        <v>0.99628000000000005</v>
      </c>
      <c r="H43" t="s">
        <v>2527</v>
      </c>
      <c r="I43" t="s">
        <v>13</v>
      </c>
      <c r="J43">
        <v>0.15330539369178206</v>
      </c>
      <c r="K43" t="s">
        <v>14</v>
      </c>
      <c r="P43" t="s">
        <v>2475</v>
      </c>
      <c r="Q43" t="s">
        <v>2623</v>
      </c>
      <c r="R43" t="s">
        <v>2484</v>
      </c>
      <c r="S43" t="s">
        <v>17</v>
      </c>
      <c r="U43" t="s">
        <v>2475</v>
      </c>
      <c r="V43" t="s">
        <v>2624</v>
      </c>
      <c r="W43" t="s">
        <v>2605</v>
      </c>
      <c r="X43" t="s">
        <v>19</v>
      </c>
    </row>
    <row r="44" spans="2:24" x14ac:dyDescent="0.45">
      <c r="B44" t="s">
        <v>2625</v>
      </c>
      <c r="C44">
        <v>8.267078999999999</v>
      </c>
      <c r="D44">
        <v>56.1</v>
      </c>
      <c r="E44">
        <v>0.99694000000000005</v>
      </c>
      <c r="H44" t="s">
        <v>2527</v>
      </c>
      <c r="I44" t="s">
        <v>27</v>
      </c>
      <c r="J44">
        <v>0.15330539369178206</v>
      </c>
      <c r="K44" t="s">
        <v>14</v>
      </c>
      <c r="P44" t="s">
        <v>2475</v>
      </c>
      <c r="Q44" t="s">
        <v>2626</v>
      </c>
      <c r="R44" t="s">
        <v>2488</v>
      </c>
      <c r="S44" t="s">
        <v>17</v>
      </c>
      <c r="U44" t="s">
        <v>2475</v>
      </c>
      <c r="V44" t="s">
        <v>2627</v>
      </c>
      <c r="W44" t="s">
        <v>2605</v>
      </c>
      <c r="X44" t="s">
        <v>19</v>
      </c>
    </row>
    <row r="45" spans="2:24" x14ac:dyDescent="0.45">
      <c r="B45" t="s">
        <v>2628</v>
      </c>
      <c r="C45">
        <v>6.7924100000000003</v>
      </c>
      <c r="D45">
        <v>39.6</v>
      </c>
      <c r="E45">
        <v>0.99783999999999995</v>
      </c>
      <c r="H45" t="s">
        <v>2527</v>
      </c>
      <c r="I45" t="s">
        <v>36</v>
      </c>
      <c r="J45">
        <v>0.15330539369178206</v>
      </c>
      <c r="K45" t="s">
        <v>14</v>
      </c>
      <c r="P45" t="s">
        <v>2475</v>
      </c>
      <c r="Q45" t="s">
        <v>2629</v>
      </c>
      <c r="R45" t="s">
        <v>2492</v>
      </c>
      <c r="S45" t="s">
        <v>17</v>
      </c>
      <c r="U45" t="s">
        <v>2475</v>
      </c>
      <c r="V45" t="s">
        <v>2627</v>
      </c>
      <c r="W45" t="s">
        <v>2480</v>
      </c>
      <c r="X45" t="s">
        <v>17</v>
      </c>
    </row>
    <row r="46" spans="2:24" x14ac:dyDescent="0.45">
      <c r="B46" t="s">
        <v>2630</v>
      </c>
      <c r="C46">
        <v>6.7924120000000006</v>
      </c>
      <c r="D46">
        <v>71.5</v>
      </c>
      <c r="E46">
        <v>0.99609999999999999</v>
      </c>
      <c r="H46" t="s">
        <v>2530</v>
      </c>
      <c r="I46" t="s">
        <v>13</v>
      </c>
      <c r="J46">
        <v>3.6173857371635663E-2</v>
      </c>
      <c r="K46" t="s">
        <v>14</v>
      </c>
      <c r="P46" t="s">
        <v>2475</v>
      </c>
      <c r="Q46" t="s">
        <v>2631</v>
      </c>
      <c r="R46" t="s">
        <v>2496</v>
      </c>
      <c r="S46" t="s">
        <v>17</v>
      </c>
      <c r="U46" t="s">
        <v>2475</v>
      </c>
      <c r="V46" t="s">
        <v>2632</v>
      </c>
      <c r="W46" t="s">
        <v>2605</v>
      </c>
      <c r="X46" t="s">
        <v>19</v>
      </c>
    </row>
    <row r="47" spans="2:24" x14ac:dyDescent="0.45">
      <c r="B47" t="s">
        <v>2633</v>
      </c>
      <c r="C47">
        <v>6.5689770000000003</v>
      </c>
      <c r="D47">
        <v>82.5</v>
      </c>
      <c r="E47">
        <v>0.99550000000000005</v>
      </c>
      <c r="H47" t="s">
        <v>2530</v>
      </c>
      <c r="I47" t="s">
        <v>27</v>
      </c>
      <c r="J47">
        <v>3.6173857371635663E-2</v>
      </c>
      <c r="K47" t="s">
        <v>14</v>
      </c>
      <c r="P47" t="s">
        <v>2475</v>
      </c>
      <c r="Q47" t="s">
        <v>2634</v>
      </c>
      <c r="R47" t="s">
        <v>2500</v>
      </c>
      <c r="S47" t="s">
        <v>17</v>
      </c>
      <c r="U47" t="s">
        <v>2475</v>
      </c>
      <c r="V47" t="s">
        <v>2632</v>
      </c>
      <c r="W47" t="s">
        <v>2480</v>
      </c>
      <c r="X47" t="s">
        <v>17</v>
      </c>
    </row>
    <row r="48" spans="2:24" x14ac:dyDescent="0.45">
      <c r="B48" t="s">
        <v>2635</v>
      </c>
      <c r="C48">
        <v>1.966224</v>
      </c>
      <c r="D48">
        <v>35.200000000000003</v>
      </c>
      <c r="E48">
        <v>0.99807999999999997</v>
      </c>
      <c r="H48" t="s">
        <v>2530</v>
      </c>
      <c r="I48" t="s">
        <v>36</v>
      </c>
      <c r="J48">
        <v>3.6173857371635663E-2</v>
      </c>
      <c r="K48" t="s">
        <v>14</v>
      </c>
      <c r="P48" t="s">
        <v>2475</v>
      </c>
      <c r="Q48" t="s">
        <v>2636</v>
      </c>
      <c r="R48" t="s">
        <v>2504</v>
      </c>
      <c r="S48" t="s">
        <v>17</v>
      </c>
      <c r="U48" t="s">
        <v>2475</v>
      </c>
      <c r="V48" t="s">
        <v>2637</v>
      </c>
      <c r="W48" t="s">
        <v>2484</v>
      </c>
      <c r="X48" t="s">
        <v>19</v>
      </c>
    </row>
    <row r="49" spans="2:24" x14ac:dyDescent="0.45">
      <c r="B49" t="s">
        <v>2638</v>
      </c>
      <c r="C49">
        <v>1.6981030000000001</v>
      </c>
      <c r="D49">
        <v>45.1</v>
      </c>
      <c r="E49">
        <v>0.99753999999999998</v>
      </c>
      <c r="H49" t="s">
        <v>2534</v>
      </c>
      <c r="I49" t="s">
        <v>13</v>
      </c>
      <c r="J49">
        <v>4.2875382326183813E-2</v>
      </c>
      <c r="K49" t="s">
        <v>14</v>
      </c>
      <c r="P49" t="s">
        <v>2475</v>
      </c>
      <c r="Q49" t="s">
        <v>2639</v>
      </c>
      <c r="R49" t="s">
        <v>2508</v>
      </c>
      <c r="S49" t="s">
        <v>17</v>
      </c>
      <c r="U49" t="s">
        <v>2475</v>
      </c>
      <c r="V49" t="s">
        <v>2640</v>
      </c>
      <c r="W49" t="s">
        <v>2484</v>
      </c>
      <c r="X49" t="s">
        <v>19</v>
      </c>
    </row>
    <row r="50" spans="2:24" x14ac:dyDescent="0.45">
      <c r="B50" t="s">
        <v>2641</v>
      </c>
      <c r="C50">
        <v>2.1896590000000002</v>
      </c>
      <c r="D50">
        <v>11</v>
      </c>
      <c r="E50">
        <v>0.99939999999999996</v>
      </c>
      <c r="H50" t="s">
        <v>2534</v>
      </c>
      <c r="I50" t="s">
        <v>27</v>
      </c>
      <c r="J50">
        <v>4.2875382326183813E-2</v>
      </c>
      <c r="K50" t="s">
        <v>14</v>
      </c>
      <c r="P50" t="s">
        <v>2475</v>
      </c>
      <c r="Q50" t="s">
        <v>2642</v>
      </c>
      <c r="R50" t="s">
        <v>2512</v>
      </c>
      <c r="S50" t="s">
        <v>17</v>
      </c>
      <c r="U50" t="s">
        <v>2475</v>
      </c>
      <c r="V50" t="s">
        <v>2643</v>
      </c>
      <c r="W50" t="s">
        <v>2484</v>
      </c>
      <c r="X50" t="s">
        <v>19</v>
      </c>
    </row>
    <row r="51" spans="2:24" x14ac:dyDescent="0.45">
      <c r="B51" t="s">
        <v>2644</v>
      </c>
      <c r="C51">
        <v>3.8877620000000004</v>
      </c>
      <c r="D51">
        <v>46.2</v>
      </c>
      <c r="E51">
        <v>0.99748000000000003</v>
      </c>
      <c r="H51" t="s">
        <v>2534</v>
      </c>
      <c r="I51" t="s">
        <v>36</v>
      </c>
      <c r="J51">
        <v>4.2875382326183813E-2</v>
      </c>
      <c r="K51" t="s">
        <v>14</v>
      </c>
      <c r="P51" t="s">
        <v>2475</v>
      </c>
      <c r="Q51" t="s">
        <v>2645</v>
      </c>
      <c r="R51" t="s">
        <v>2516</v>
      </c>
      <c r="S51" t="s">
        <v>17</v>
      </c>
      <c r="U51" t="s">
        <v>2475</v>
      </c>
      <c r="V51" t="s">
        <v>2646</v>
      </c>
      <c r="W51" t="s">
        <v>2484</v>
      </c>
      <c r="X51" t="s">
        <v>19</v>
      </c>
    </row>
    <row r="52" spans="2:24" x14ac:dyDescent="0.45">
      <c r="B52" t="s">
        <v>2647</v>
      </c>
      <c r="C52">
        <v>12.154842</v>
      </c>
      <c r="D52">
        <v>26.400000000000002</v>
      </c>
      <c r="E52">
        <v>0.99856</v>
      </c>
      <c r="H52" t="s">
        <v>2537</v>
      </c>
      <c r="I52" t="s">
        <v>13</v>
      </c>
      <c r="J52">
        <v>1.9277213622419086E-2</v>
      </c>
      <c r="K52" t="s">
        <v>14</v>
      </c>
      <c r="P52" t="s">
        <v>2475</v>
      </c>
      <c r="Q52" t="s">
        <v>2648</v>
      </c>
      <c r="R52" t="s">
        <v>2520</v>
      </c>
      <c r="S52" t="s">
        <v>17</v>
      </c>
      <c r="U52" t="s">
        <v>2475</v>
      </c>
      <c r="V52" t="s">
        <v>2649</v>
      </c>
      <c r="W52" t="s">
        <v>2484</v>
      </c>
      <c r="X52" t="s">
        <v>19</v>
      </c>
    </row>
    <row r="53" spans="2:24" x14ac:dyDescent="0.45">
      <c r="B53" t="s">
        <v>2650</v>
      </c>
      <c r="C53">
        <v>3.3962060000000003</v>
      </c>
      <c r="D53">
        <v>42.900000000000006</v>
      </c>
      <c r="E53">
        <v>0.99765999999999999</v>
      </c>
      <c r="H53" t="s">
        <v>2537</v>
      </c>
      <c r="I53" t="s">
        <v>27</v>
      </c>
      <c r="J53">
        <v>1.9277213622419086E-2</v>
      </c>
      <c r="K53" t="s">
        <v>14</v>
      </c>
      <c r="P53" t="s">
        <v>2475</v>
      </c>
      <c r="Q53" t="s">
        <v>2651</v>
      </c>
      <c r="R53" t="s">
        <v>2524</v>
      </c>
      <c r="S53" t="s">
        <v>17</v>
      </c>
      <c r="U53" t="s">
        <v>2475</v>
      </c>
      <c r="V53" t="s">
        <v>2652</v>
      </c>
      <c r="W53" t="s">
        <v>2484</v>
      </c>
      <c r="X53" t="s">
        <v>19</v>
      </c>
    </row>
    <row r="54" spans="2:24" x14ac:dyDescent="0.45">
      <c r="B54" t="s">
        <v>2653</v>
      </c>
      <c r="C54">
        <v>9.2501919999999984</v>
      </c>
      <c r="D54">
        <v>41.800000000000004</v>
      </c>
      <c r="E54">
        <v>0.99772000000000005</v>
      </c>
      <c r="H54" t="s">
        <v>2537</v>
      </c>
      <c r="I54" t="s">
        <v>36</v>
      </c>
      <c r="J54">
        <v>1.9277213622419086E-2</v>
      </c>
      <c r="K54" t="s">
        <v>14</v>
      </c>
      <c r="P54" t="s">
        <v>2475</v>
      </c>
      <c r="Q54" t="s">
        <v>2654</v>
      </c>
      <c r="R54" t="s">
        <v>2528</v>
      </c>
      <c r="S54" t="s">
        <v>17</v>
      </c>
      <c r="U54" t="s">
        <v>2475</v>
      </c>
      <c r="V54" t="s">
        <v>2655</v>
      </c>
      <c r="W54" t="s">
        <v>2484</v>
      </c>
      <c r="X54" t="s">
        <v>19</v>
      </c>
    </row>
    <row r="55" spans="2:24" x14ac:dyDescent="0.45">
      <c r="B55" t="s">
        <v>2656</v>
      </c>
      <c r="C55">
        <v>15.282999999999999</v>
      </c>
      <c r="D55">
        <v>0</v>
      </c>
      <c r="E55">
        <v>1</v>
      </c>
      <c r="H55" t="s">
        <v>2541</v>
      </c>
      <c r="I55" t="s">
        <v>13</v>
      </c>
      <c r="J55">
        <v>2.2354980028807342E-2</v>
      </c>
      <c r="K55" t="s">
        <v>14</v>
      </c>
      <c r="P55" t="s">
        <v>2475</v>
      </c>
      <c r="Q55" t="s">
        <v>2657</v>
      </c>
      <c r="R55" t="s">
        <v>2531</v>
      </c>
      <c r="S55" t="s">
        <v>17</v>
      </c>
      <c r="U55" t="s">
        <v>2475</v>
      </c>
      <c r="V55" t="s">
        <v>2658</v>
      </c>
      <c r="W55" t="s">
        <v>2484</v>
      </c>
      <c r="X55" t="s">
        <v>19</v>
      </c>
    </row>
    <row r="56" spans="2:24" x14ac:dyDescent="0.45">
      <c r="B56" t="s">
        <v>2659</v>
      </c>
      <c r="C56">
        <v>3.8877609999999998</v>
      </c>
      <c r="D56">
        <v>50.6</v>
      </c>
      <c r="E56">
        <v>0.99724000000000002</v>
      </c>
      <c r="H56" t="s">
        <v>2541</v>
      </c>
      <c r="I56" t="s">
        <v>27</v>
      </c>
      <c r="J56">
        <v>2.2354980028807342E-2</v>
      </c>
      <c r="K56" t="s">
        <v>14</v>
      </c>
      <c r="P56" t="s">
        <v>2475</v>
      </c>
      <c r="Q56" t="s">
        <v>2660</v>
      </c>
      <c r="R56" t="s">
        <v>2535</v>
      </c>
      <c r="S56" t="s">
        <v>17</v>
      </c>
      <c r="U56" t="s">
        <v>2475</v>
      </c>
      <c r="V56" t="s">
        <v>2661</v>
      </c>
      <c r="W56" t="s">
        <v>2484</v>
      </c>
      <c r="X56" t="s">
        <v>19</v>
      </c>
    </row>
    <row r="57" spans="2:24" x14ac:dyDescent="0.45">
      <c r="B57" t="s">
        <v>2662</v>
      </c>
      <c r="C57">
        <v>5.5858639999999999</v>
      </c>
      <c r="D57">
        <v>41.800000000000004</v>
      </c>
      <c r="E57">
        <v>0.99772000000000005</v>
      </c>
      <c r="H57" t="s">
        <v>2541</v>
      </c>
      <c r="I57" t="s">
        <v>36</v>
      </c>
      <c r="J57">
        <v>2.2354980028807342E-2</v>
      </c>
      <c r="K57" t="s">
        <v>14</v>
      </c>
      <c r="P57" t="s">
        <v>2475</v>
      </c>
      <c r="Q57" t="s">
        <v>2663</v>
      </c>
      <c r="R57" t="s">
        <v>2538</v>
      </c>
      <c r="S57" t="s">
        <v>17</v>
      </c>
      <c r="U57" t="s">
        <v>2475</v>
      </c>
      <c r="V57" t="s">
        <v>2664</v>
      </c>
      <c r="W57" t="s">
        <v>2484</v>
      </c>
      <c r="X57" t="s">
        <v>19</v>
      </c>
    </row>
    <row r="58" spans="2:24" x14ac:dyDescent="0.45">
      <c r="B58" t="s">
        <v>2665</v>
      </c>
      <c r="C58">
        <v>3.8877609999999998</v>
      </c>
      <c r="D58">
        <v>47.300000000000004</v>
      </c>
      <c r="E58">
        <v>0.99741999999999997</v>
      </c>
      <c r="H58" t="s">
        <v>2545</v>
      </c>
      <c r="I58" t="s">
        <v>13</v>
      </c>
      <c r="J58">
        <v>5.4570135443861795E-3</v>
      </c>
      <c r="K58" t="s">
        <v>14</v>
      </c>
      <c r="P58" t="s">
        <v>2475</v>
      </c>
      <c r="Q58" t="s">
        <v>2666</v>
      </c>
      <c r="R58" t="s">
        <v>2542</v>
      </c>
      <c r="S58" t="s">
        <v>17</v>
      </c>
      <c r="U58" t="s">
        <v>2475</v>
      </c>
      <c r="V58" t="s">
        <v>2667</v>
      </c>
      <c r="W58" t="s">
        <v>2484</v>
      </c>
      <c r="X58" t="s">
        <v>19</v>
      </c>
    </row>
    <row r="59" spans="2:24" x14ac:dyDescent="0.45">
      <c r="B59" t="s">
        <v>2668</v>
      </c>
      <c r="C59">
        <v>3.3962050000000001</v>
      </c>
      <c r="D59">
        <v>55.000000000000007</v>
      </c>
      <c r="E59">
        <v>0.997</v>
      </c>
      <c r="H59" t="s">
        <v>2545</v>
      </c>
      <c r="I59" t="s">
        <v>27</v>
      </c>
      <c r="J59">
        <v>5.4570135443861795E-3</v>
      </c>
      <c r="K59" t="s">
        <v>14</v>
      </c>
      <c r="P59" t="s">
        <v>2475</v>
      </c>
      <c r="Q59" t="s">
        <v>2669</v>
      </c>
      <c r="R59" t="s">
        <v>2546</v>
      </c>
      <c r="S59" t="s">
        <v>17</v>
      </c>
      <c r="U59" t="s">
        <v>2475</v>
      </c>
      <c r="V59" t="s">
        <v>2667</v>
      </c>
      <c r="W59" t="s">
        <v>2670</v>
      </c>
      <c r="X59" t="s">
        <v>19</v>
      </c>
    </row>
    <row r="60" spans="2:24" x14ac:dyDescent="0.45">
      <c r="B60" t="s">
        <v>2671</v>
      </c>
      <c r="C60">
        <v>0.98311199999999999</v>
      </c>
      <c r="D60">
        <v>101.2</v>
      </c>
      <c r="E60">
        <v>0.99448000000000003</v>
      </c>
      <c r="H60" t="s">
        <v>2545</v>
      </c>
      <c r="I60" t="s">
        <v>36</v>
      </c>
      <c r="J60">
        <v>5.4570135443861795E-3</v>
      </c>
      <c r="K60" t="s">
        <v>14</v>
      </c>
      <c r="P60" t="s">
        <v>2475</v>
      </c>
      <c r="Q60" t="s">
        <v>2672</v>
      </c>
      <c r="R60" t="s">
        <v>2550</v>
      </c>
      <c r="S60" t="s">
        <v>17</v>
      </c>
      <c r="U60" t="s">
        <v>2475</v>
      </c>
      <c r="V60" t="s">
        <v>2673</v>
      </c>
      <c r="W60" t="s">
        <v>2484</v>
      </c>
      <c r="X60" t="s">
        <v>19</v>
      </c>
    </row>
    <row r="61" spans="2:24" x14ac:dyDescent="0.45">
      <c r="B61" t="s">
        <v>2674</v>
      </c>
      <c r="C61">
        <v>0.49155599999999999</v>
      </c>
      <c r="D61">
        <v>85.800000000000011</v>
      </c>
      <c r="E61">
        <v>0.99531999999999998</v>
      </c>
      <c r="H61" t="s">
        <v>2549</v>
      </c>
      <c r="I61" t="s">
        <v>13</v>
      </c>
      <c r="J61">
        <v>1.898480217465902E-3</v>
      </c>
      <c r="K61" t="s">
        <v>14</v>
      </c>
      <c r="P61" t="s">
        <v>2475</v>
      </c>
      <c r="Q61" t="s">
        <v>2675</v>
      </c>
      <c r="R61" t="s">
        <v>2553</v>
      </c>
      <c r="S61" t="s">
        <v>17</v>
      </c>
      <c r="U61" t="s">
        <v>2475</v>
      </c>
      <c r="V61" t="s">
        <v>2673</v>
      </c>
      <c r="W61" t="s">
        <v>2670</v>
      </c>
      <c r="X61" t="s">
        <v>19</v>
      </c>
    </row>
    <row r="62" spans="2:24" x14ac:dyDescent="0.45">
      <c r="B62" t="s">
        <v>2676</v>
      </c>
      <c r="C62">
        <v>5.0943079999999998</v>
      </c>
      <c r="D62">
        <v>67.100000000000009</v>
      </c>
      <c r="E62">
        <v>0.99634</v>
      </c>
      <c r="H62" t="s">
        <v>2549</v>
      </c>
      <c r="I62" t="s">
        <v>27</v>
      </c>
      <c r="J62">
        <v>1.898480217465902E-3</v>
      </c>
      <c r="K62" t="s">
        <v>14</v>
      </c>
      <c r="P62" t="s">
        <v>2475</v>
      </c>
      <c r="Q62" t="s">
        <v>2677</v>
      </c>
      <c r="R62" t="s">
        <v>2557</v>
      </c>
      <c r="S62" t="s">
        <v>17</v>
      </c>
      <c r="U62" t="s">
        <v>2475</v>
      </c>
      <c r="V62" t="s">
        <v>2678</v>
      </c>
      <c r="W62" t="s">
        <v>2484</v>
      </c>
      <c r="X62" t="s">
        <v>19</v>
      </c>
    </row>
    <row r="63" spans="2:24" x14ac:dyDescent="0.45">
      <c r="B63" t="s">
        <v>2679</v>
      </c>
      <c r="C63">
        <v>5.3624289999999997</v>
      </c>
      <c r="D63">
        <v>96.800000000000011</v>
      </c>
      <c r="E63">
        <v>0.99472000000000005</v>
      </c>
      <c r="H63" t="s">
        <v>2549</v>
      </c>
      <c r="I63" t="s">
        <v>36</v>
      </c>
      <c r="J63">
        <v>1.898480217465902E-3</v>
      </c>
      <c r="K63" t="s">
        <v>14</v>
      </c>
      <c r="P63" t="s">
        <v>2475</v>
      </c>
      <c r="Q63" t="s">
        <v>2680</v>
      </c>
      <c r="R63" t="s">
        <v>2560</v>
      </c>
      <c r="S63" t="s">
        <v>17</v>
      </c>
      <c r="U63" t="s">
        <v>2475</v>
      </c>
      <c r="V63" t="s">
        <v>2678</v>
      </c>
      <c r="W63" t="s">
        <v>2670</v>
      </c>
      <c r="X63" t="s">
        <v>19</v>
      </c>
    </row>
    <row r="64" spans="2:24" x14ac:dyDescent="0.45">
      <c r="B64" t="s">
        <v>2681</v>
      </c>
      <c r="C64">
        <v>11.886720999999998</v>
      </c>
      <c r="D64">
        <v>69.300000000000011</v>
      </c>
      <c r="E64">
        <v>0.99621999999999999</v>
      </c>
      <c r="H64" t="s">
        <v>2552</v>
      </c>
      <c r="I64" t="s">
        <v>13</v>
      </c>
      <c r="J64">
        <v>1.8961967064637518E-3</v>
      </c>
      <c r="K64" t="s">
        <v>14</v>
      </c>
      <c r="P64" t="s">
        <v>2475</v>
      </c>
      <c r="Q64" t="s">
        <v>2682</v>
      </c>
      <c r="R64" t="s">
        <v>2564</v>
      </c>
      <c r="S64" t="s">
        <v>17</v>
      </c>
      <c r="U64" t="s">
        <v>2475</v>
      </c>
      <c r="V64" t="s">
        <v>2683</v>
      </c>
      <c r="W64" t="s">
        <v>2670</v>
      </c>
      <c r="X64" t="s">
        <v>19</v>
      </c>
    </row>
    <row r="65" spans="2:24" x14ac:dyDescent="0.45">
      <c r="B65" t="s">
        <v>2684</v>
      </c>
      <c r="C65">
        <v>11.171727000000001</v>
      </c>
      <c r="D65">
        <v>15.400000000000002</v>
      </c>
      <c r="E65">
        <v>0.99916000000000005</v>
      </c>
      <c r="H65" t="s">
        <v>2552</v>
      </c>
      <c r="I65" t="s">
        <v>27</v>
      </c>
      <c r="J65">
        <v>1.8961967064637518E-3</v>
      </c>
      <c r="K65" t="s">
        <v>14</v>
      </c>
      <c r="P65" t="s">
        <v>2475</v>
      </c>
      <c r="Q65" t="s">
        <v>2685</v>
      </c>
      <c r="R65" t="s">
        <v>2568</v>
      </c>
      <c r="S65" t="s">
        <v>17</v>
      </c>
      <c r="U65" t="s">
        <v>2475</v>
      </c>
      <c r="V65" t="s">
        <v>2686</v>
      </c>
      <c r="W65" t="s">
        <v>2670</v>
      </c>
      <c r="X65" t="s">
        <v>19</v>
      </c>
    </row>
    <row r="66" spans="2:24" x14ac:dyDescent="0.45">
      <c r="B66" t="s">
        <v>2687</v>
      </c>
      <c r="C66">
        <v>3.3962050000000001</v>
      </c>
      <c r="D66">
        <v>19.8</v>
      </c>
      <c r="E66">
        <v>0.99892000000000003</v>
      </c>
      <c r="H66" t="s">
        <v>2552</v>
      </c>
      <c r="I66" t="s">
        <v>36</v>
      </c>
      <c r="J66">
        <v>1.8961967064637518E-3</v>
      </c>
      <c r="K66" t="s">
        <v>14</v>
      </c>
      <c r="P66" t="s">
        <v>2475</v>
      </c>
      <c r="Q66" t="s">
        <v>2688</v>
      </c>
      <c r="R66" t="s">
        <v>2572</v>
      </c>
      <c r="S66" t="s">
        <v>17</v>
      </c>
      <c r="U66" t="s">
        <v>2475</v>
      </c>
      <c r="V66" t="s">
        <v>2689</v>
      </c>
      <c r="W66" t="s">
        <v>2670</v>
      </c>
      <c r="X66" t="s">
        <v>19</v>
      </c>
    </row>
    <row r="67" spans="2:24" x14ac:dyDescent="0.45">
      <c r="B67" t="s">
        <v>2690</v>
      </c>
      <c r="C67">
        <v>1.6981030000000001</v>
      </c>
      <c r="D67">
        <v>60.500000000000007</v>
      </c>
      <c r="E67">
        <v>0.99670000000000003</v>
      </c>
      <c r="H67" t="s">
        <v>2556</v>
      </c>
      <c r="I67" t="s">
        <v>13</v>
      </c>
      <c r="J67">
        <v>4.885758027362506E-3</v>
      </c>
      <c r="K67" t="s">
        <v>14</v>
      </c>
      <c r="P67" t="s">
        <v>2475</v>
      </c>
      <c r="Q67" t="s">
        <v>2691</v>
      </c>
      <c r="R67" t="s">
        <v>2576</v>
      </c>
      <c r="S67" t="s">
        <v>17</v>
      </c>
      <c r="U67" t="s">
        <v>2475</v>
      </c>
      <c r="V67" t="s">
        <v>2689</v>
      </c>
      <c r="W67" t="s">
        <v>2484</v>
      </c>
      <c r="X67" t="s">
        <v>17</v>
      </c>
    </row>
    <row r="68" spans="2:24" x14ac:dyDescent="0.45">
      <c r="H68" t="s">
        <v>2556</v>
      </c>
      <c r="I68" t="s">
        <v>27</v>
      </c>
      <c r="J68">
        <v>4.885758027362506E-3</v>
      </c>
      <c r="K68" t="s">
        <v>14</v>
      </c>
      <c r="P68" t="s">
        <v>2475</v>
      </c>
      <c r="Q68" t="s">
        <v>2692</v>
      </c>
      <c r="R68" t="s">
        <v>2580</v>
      </c>
      <c r="S68" t="s">
        <v>17</v>
      </c>
      <c r="U68" t="s">
        <v>2475</v>
      </c>
      <c r="V68" t="s">
        <v>2693</v>
      </c>
      <c r="W68" t="s">
        <v>2670</v>
      </c>
      <c r="X68" t="s">
        <v>19</v>
      </c>
    </row>
    <row r="69" spans="2:24" x14ac:dyDescent="0.45">
      <c r="H69" t="s">
        <v>2556</v>
      </c>
      <c r="I69" t="s">
        <v>36</v>
      </c>
      <c r="J69">
        <v>4.885758027362506E-3</v>
      </c>
      <c r="K69" t="s">
        <v>14</v>
      </c>
      <c r="P69" t="s">
        <v>2475</v>
      </c>
      <c r="Q69" t="s">
        <v>2694</v>
      </c>
      <c r="R69" t="s">
        <v>2584</v>
      </c>
      <c r="S69" t="s">
        <v>17</v>
      </c>
      <c r="U69" t="s">
        <v>2475</v>
      </c>
      <c r="V69" t="s">
        <v>2693</v>
      </c>
      <c r="W69" t="s">
        <v>2484</v>
      </c>
      <c r="X69" t="s">
        <v>17</v>
      </c>
    </row>
    <row r="70" spans="2:24" x14ac:dyDescent="0.45">
      <c r="H70" t="s">
        <v>2559</v>
      </c>
      <c r="I70" t="s">
        <v>13</v>
      </c>
      <c r="J70">
        <v>1.961463915507369E-2</v>
      </c>
      <c r="K70" t="s">
        <v>14</v>
      </c>
      <c r="P70" t="s">
        <v>2475</v>
      </c>
      <c r="Q70" t="s">
        <v>2695</v>
      </c>
      <c r="R70" t="s">
        <v>2588</v>
      </c>
      <c r="S70" t="s">
        <v>17</v>
      </c>
      <c r="U70" t="s">
        <v>2475</v>
      </c>
      <c r="V70" t="s">
        <v>2696</v>
      </c>
      <c r="W70" t="s">
        <v>2488</v>
      </c>
      <c r="X70" t="s">
        <v>19</v>
      </c>
    </row>
    <row r="71" spans="2:24" x14ac:dyDescent="0.45">
      <c r="H71" t="s">
        <v>2559</v>
      </c>
      <c r="I71" t="s">
        <v>27</v>
      </c>
      <c r="J71">
        <v>1.961463915507369E-2</v>
      </c>
      <c r="K71" t="s">
        <v>14</v>
      </c>
      <c r="P71" t="s">
        <v>2475</v>
      </c>
      <c r="Q71" t="s">
        <v>2697</v>
      </c>
      <c r="R71" t="s">
        <v>2592</v>
      </c>
      <c r="S71" t="s">
        <v>17</v>
      </c>
      <c r="U71" t="s">
        <v>2475</v>
      </c>
      <c r="V71" t="s">
        <v>2698</v>
      </c>
      <c r="W71" t="s">
        <v>2488</v>
      </c>
      <c r="X71" t="s">
        <v>19</v>
      </c>
    </row>
    <row r="72" spans="2:24" x14ac:dyDescent="0.45">
      <c r="H72" t="s">
        <v>2559</v>
      </c>
      <c r="I72" t="s">
        <v>36</v>
      </c>
      <c r="J72">
        <v>1.961463915507369E-2</v>
      </c>
      <c r="K72" t="s">
        <v>14</v>
      </c>
      <c r="P72" t="s">
        <v>2475</v>
      </c>
      <c r="Q72" t="s">
        <v>2699</v>
      </c>
      <c r="R72" t="s">
        <v>2596</v>
      </c>
      <c r="S72" t="s">
        <v>17</v>
      </c>
      <c r="U72" t="s">
        <v>2475</v>
      </c>
      <c r="V72" t="s">
        <v>2700</v>
      </c>
      <c r="W72" t="s">
        <v>2488</v>
      </c>
      <c r="X72" t="s">
        <v>19</v>
      </c>
    </row>
    <row r="73" spans="2:24" x14ac:dyDescent="0.45">
      <c r="H73" t="s">
        <v>2563</v>
      </c>
      <c r="I73" t="s">
        <v>13</v>
      </c>
      <c r="J73">
        <v>1.0994378439506392E-2</v>
      </c>
      <c r="K73" t="s">
        <v>14</v>
      </c>
      <c r="P73" t="s">
        <v>2475</v>
      </c>
      <c r="Q73" t="s">
        <v>2701</v>
      </c>
      <c r="R73" t="s">
        <v>2600</v>
      </c>
      <c r="S73" t="s">
        <v>17</v>
      </c>
      <c r="U73" t="s">
        <v>2475</v>
      </c>
      <c r="V73" t="s">
        <v>2702</v>
      </c>
      <c r="W73" t="s">
        <v>2488</v>
      </c>
      <c r="X73" t="s">
        <v>19</v>
      </c>
    </row>
    <row r="74" spans="2:24" x14ac:dyDescent="0.45">
      <c r="H74" t="s">
        <v>2563</v>
      </c>
      <c r="I74" t="s">
        <v>27</v>
      </c>
      <c r="J74">
        <v>1.0994378439506392E-2</v>
      </c>
      <c r="K74" t="s">
        <v>14</v>
      </c>
      <c r="P74" t="s">
        <v>2475</v>
      </c>
      <c r="Q74" t="s">
        <v>2703</v>
      </c>
      <c r="R74" t="s">
        <v>2604</v>
      </c>
      <c r="S74" t="s">
        <v>17</v>
      </c>
      <c r="U74" t="s">
        <v>2475</v>
      </c>
      <c r="V74" t="s">
        <v>2704</v>
      </c>
      <c r="W74" t="s">
        <v>2488</v>
      </c>
      <c r="X74" t="s">
        <v>19</v>
      </c>
    </row>
    <row r="75" spans="2:24" x14ac:dyDescent="0.45">
      <c r="H75" t="s">
        <v>2563</v>
      </c>
      <c r="I75" t="s">
        <v>36</v>
      </c>
      <c r="J75">
        <v>1.0994378439506392E-2</v>
      </c>
      <c r="K75" t="s">
        <v>14</v>
      </c>
      <c r="P75" t="s">
        <v>2475</v>
      </c>
      <c r="Q75" t="s">
        <v>2705</v>
      </c>
      <c r="R75" t="s">
        <v>2608</v>
      </c>
      <c r="S75" t="s">
        <v>17</v>
      </c>
      <c r="U75" t="s">
        <v>2475</v>
      </c>
      <c r="V75" t="s">
        <v>2706</v>
      </c>
      <c r="W75" t="s">
        <v>2488</v>
      </c>
      <c r="X75" t="s">
        <v>19</v>
      </c>
    </row>
    <row r="76" spans="2:24" x14ac:dyDescent="0.45">
      <c r="H76" t="s">
        <v>2567</v>
      </c>
      <c r="I76" t="s">
        <v>13</v>
      </c>
      <c r="J76">
        <v>3.6787079072879941E-3</v>
      </c>
      <c r="K76" t="s">
        <v>14</v>
      </c>
      <c r="P76" t="s">
        <v>2475</v>
      </c>
      <c r="Q76" t="s">
        <v>2707</v>
      </c>
      <c r="R76" t="s">
        <v>2612</v>
      </c>
      <c r="S76" t="s">
        <v>17</v>
      </c>
      <c r="U76" t="s">
        <v>2475</v>
      </c>
      <c r="V76" t="s">
        <v>2708</v>
      </c>
      <c r="W76" t="s">
        <v>2488</v>
      </c>
      <c r="X76" t="s">
        <v>19</v>
      </c>
    </row>
    <row r="77" spans="2:24" x14ac:dyDescent="0.45">
      <c r="H77" t="s">
        <v>2567</v>
      </c>
      <c r="I77" t="s">
        <v>27</v>
      </c>
      <c r="J77">
        <v>3.6787079072879941E-3</v>
      </c>
      <c r="K77" t="s">
        <v>14</v>
      </c>
      <c r="P77" t="s">
        <v>2475</v>
      </c>
      <c r="Q77" t="s">
        <v>2709</v>
      </c>
      <c r="R77" t="s">
        <v>2615</v>
      </c>
      <c r="S77" t="s">
        <v>17</v>
      </c>
      <c r="U77" t="s">
        <v>2475</v>
      </c>
      <c r="V77" t="s">
        <v>2710</v>
      </c>
      <c r="W77" t="s">
        <v>2488</v>
      </c>
      <c r="X77" t="s">
        <v>19</v>
      </c>
    </row>
    <row r="78" spans="2:24" x14ac:dyDescent="0.45">
      <c r="H78" t="s">
        <v>2567</v>
      </c>
      <c r="I78" t="s">
        <v>36</v>
      </c>
      <c r="J78">
        <v>3.6787079072879941E-3</v>
      </c>
      <c r="K78" t="s">
        <v>14</v>
      </c>
      <c r="P78" t="s">
        <v>2475</v>
      </c>
      <c r="Q78" t="s">
        <v>2711</v>
      </c>
      <c r="R78" t="s">
        <v>2476</v>
      </c>
      <c r="S78" t="s">
        <v>17</v>
      </c>
      <c r="U78" t="s">
        <v>2475</v>
      </c>
      <c r="V78" t="s">
        <v>2712</v>
      </c>
      <c r="W78" t="s">
        <v>2488</v>
      </c>
      <c r="X78" t="s">
        <v>19</v>
      </c>
    </row>
    <row r="79" spans="2:24" x14ac:dyDescent="0.45">
      <c r="H79" t="s">
        <v>2571</v>
      </c>
      <c r="I79" t="s">
        <v>13</v>
      </c>
      <c r="J79">
        <v>5.831493968307757E-2</v>
      </c>
      <c r="K79" t="s">
        <v>14</v>
      </c>
      <c r="P79" t="s">
        <v>2475</v>
      </c>
      <c r="Q79" t="s">
        <v>2713</v>
      </c>
      <c r="R79" t="s">
        <v>2480</v>
      </c>
      <c r="S79" t="s">
        <v>17</v>
      </c>
      <c r="U79" t="s">
        <v>2475</v>
      </c>
      <c r="V79" t="s">
        <v>2714</v>
      </c>
      <c r="W79" t="s">
        <v>2488</v>
      </c>
      <c r="X79" t="s">
        <v>19</v>
      </c>
    </row>
    <row r="80" spans="2:24" x14ac:dyDescent="0.45">
      <c r="H80" t="s">
        <v>2571</v>
      </c>
      <c r="I80" t="s">
        <v>27</v>
      </c>
      <c r="J80">
        <v>5.831493968307757E-2</v>
      </c>
      <c r="K80" t="s">
        <v>14</v>
      </c>
      <c r="P80" t="s">
        <v>2475</v>
      </c>
      <c r="Q80" t="s">
        <v>2715</v>
      </c>
      <c r="R80" t="s">
        <v>2484</v>
      </c>
      <c r="S80" t="s">
        <v>17</v>
      </c>
      <c r="U80" t="s">
        <v>2475</v>
      </c>
      <c r="V80" t="s">
        <v>2716</v>
      </c>
      <c r="W80" t="s">
        <v>2488</v>
      </c>
      <c r="X80" t="s">
        <v>19</v>
      </c>
    </row>
    <row r="81" spans="8:24" x14ac:dyDescent="0.45">
      <c r="H81" t="s">
        <v>2571</v>
      </c>
      <c r="I81" t="s">
        <v>36</v>
      </c>
      <c r="J81">
        <v>5.831493968307757E-2</v>
      </c>
      <c r="K81" t="s">
        <v>14</v>
      </c>
      <c r="P81" t="s">
        <v>2475</v>
      </c>
      <c r="Q81" t="s">
        <v>2717</v>
      </c>
      <c r="R81" t="s">
        <v>2488</v>
      </c>
      <c r="S81" t="s">
        <v>17</v>
      </c>
      <c r="U81" t="s">
        <v>2475</v>
      </c>
      <c r="V81" t="s">
        <v>2716</v>
      </c>
      <c r="W81" t="s">
        <v>2718</v>
      </c>
      <c r="X81" t="s">
        <v>19</v>
      </c>
    </row>
    <row r="82" spans="8:24" x14ac:dyDescent="0.45">
      <c r="H82" t="s">
        <v>2575</v>
      </c>
      <c r="I82" t="s">
        <v>13</v>
      </c>
      <c r="J82">
        <v>6.0347883451007077E-2</v>
      </c>
      <c r="K82" t="s">
        <v>14</v>
      </c>
      <c r="P82" t="s">
        <v>2475</v>
      </c>
      <c r="Q82" t="s">
        <v>2719</v>
      </c>
      <c r="R82" t="s">
        <v>2492</v>
      </c>
      <c r="S82" t="s">
        <v>17</v>
      </c>
      <c r="U82" t="s">
        <v>2475</v>
      </c>
      <c r="V82" t="s">
        <v>2720</v>
      </c>
      <c r="W82" t="s">
        <v>2488</v>
      </c>
      <c r="X82" t="s">
        <v>19</v>
      </c>
    </row>
    <row r="83" spans="8:24" x14ac:dyDescent="0.45">
      <c r="H83" t="s">
        <v>2575</v>
      </c>
      <c r="I83" t="s">
        <v>27</v>
      </c>
      <c r="J83">
        <v>6.0347883451007077E-2</v>
      </c>
      <c r="K83" t="s">
        <v>14</v>
      </c>
      <c r="P83" t="s">
        <v>2475</v>
      </c>
      <c r="Q83" t="s">
        <v>2721</v>
      </c>
      <c r="R83" t="s">
        <v>2496</v>
      </c>
      <c r="S83" t="s">
        <v>17</v>
      </c>
      <c r="U83" t="s">
        <v>2475</v>
      </c>
      <c r="V83" t="s">
        <v>2720</v>
      </c>
      <c r="W83" t="s">
        <v>2718</v>
      </c>
      <c r="X83" t="s">
        <v>19</v>
      </c>
    </row>
    <row r="84" spans="8:24" x14ac:dyDescent="0.45">
      <c r="H84" t="s">
        <v>2575</v>
      </c>
      <c r="I84" t="s">
        <v>36</v>
      </c>
      <c r="J84">
        <v>6.0347883451007077E-2</v>
      </c>
      <c r="K84" t="s">
        <v>14</v>
      </c>
      <c r="P84" t="s">
        <v>2475</v>
      </c>
      <c r="Q84" t="s">
        <v>2722</v>
      </c>
      <c r="R84" t="s">
        <v>2500</v>
      </c>
      <c r="S84" t="s">
        <v>17</v>
      </c>
      <c r="U84" t="s">
        <v>2475</v>
      </c>
      <c r="V84" t="s">
        <v>2723</v>
      </c>
      <c r="W84" t="s">
        <v>2488</v>
      </c>
      <c r="X84" t="s">
        <v>19</v>
      </c>
    </row>
    <row r="85" spans="8:24" x14ac:dyDescent="0.45">
      <c r="H85" t="s">
        <v>2579</v>
      </c>
      <c r="I85" t="s">
        <v>13</v>
      </c>
      <c r="J85">
        <v>1.4191770967575684E-2</v>
      </c>
      <c r="K85" t="s">
        <v>14</v>
      </c>
      <c r="P85" t="s">
        <v>2475</v>
      </c>
      <c r="Q85" t="s">
        <v>2724</v>
      </c>
      <c r="R85" t="s">
        <v>2504</v>
      </c>
      <c r="S85" t="s">
        <v>17</v>
      </c>
      <c r="U85" t="s">
        <v>2475</v>
      </c>
      <c r="V85" t="s">
        <v>2723</v>
      </c>
      <c r="W85" t="s">
        <v>2718</v>
      </c>
      <c r="X85" t="s">
        <v>19</v>
      </c>
    </row>
    <row r="86" spans="8:24" x14ac:dyDescent="0.45">
      <c r="H86" t="s">
        <v>2579</v>
      </c>
      <c r="I86" t="s">
        <v>27</v>
      </c>
      <c r="J86">
        <v>1.4191770967575684E-2</v>
      </c>
      <c r="K86" t="s">
        <v>14</v>
      </c>
      <c r="P86" t="s">
        <v>2475</v>
      </c>
      <c r="Q86" t="s">
        <v>2725</v>
      </c>
      <c r="R86" t="s">
        <v>2508</v>
      </c>
      <c r="S86" t="s">
        <v>17</v>
      </c>
      <c r="U86" t="s">
        <v>2475</v>
      </c>
      <c r="V86" t="s">
        <v>2726</v>
      </c>
      <c r="W86" t="s">
        <v>2718</v>
      </c>
      <c r="X86" t="s">
        <v>19</v>
      </c>
    </row>
    <row r="87" spans="8:24" x14ac:dyDescent="0.45">
      <c r="H87" t="s">
        <v>2579</v>
      </c>
      <c r="I87" t="s">
        <v>36</v>
      </c>
      <c r="J87">
        <v>1.4191770967575684E-2</v>
      </c>
      <c r="K87" t="s">
        <v>14</v>
      </c>
      <c r="P87" t="s">
        <v>2475</v>
      </c>
      <c r="Q87" t="s">
        <v>2727</v>
      </c>
      <c r="R87" t="s">
        <v>2512</v>
      </c>
      <c r="S87" t="s">
        <v>17</v>
      </c>
      <c r="U87" t="s">
        <v>2475</v>
      </c>
      <c r="V87" t="s">
        <v>2728</v>
      </c>
      <c r="W87" t="s">
        <v>2718</v>
      </c>
      <c r="X87" t="s">
        <v>19</v>
      </c>
    </row>
    <row r="88" spans="8:24" x14ac:dyDescent="0.45">
      <c r="H88" t="s">
        <v>2583</v>
      </c>
      <c r="I88" t="s">
        <v>13</v>
      </c>
      <c r="J88">
        <v>4.8135533502421963E-3</v>
      </c>
      <c r="K88" t="s">
        <v>14</v>
      </c>
      <c r="P88" t="s">
        <v>2475</v>
      </c>
      <c r="Q88" t="s">
        <v>2729</v>
      </c>
      <c r="R88" t="s">
        <v>2516</v>
      </c>
      <c r="S88" t="s">
        <v>17</v>
      </c>
      <c r="U88" t="s">
        <v>2475</v>
      </c>
      <c r="V88" t="s">
        <v>2730</v>
      </c>
      <c r="W88" t="s">
        <v>2718</v>
      </c>
      <c r="X88" t="s">
        <v>19</v>
      </c>
    </row>
    <row r="89" spans="8:24" x14ac:dyDescent="0.45">
      <c r="H89" t="s">
        <v>2583</v>
      </c>
      <c r="I89" t="s">
        <v>27</v>
      </c>
      <c r="J89">
        <v>4.8135533502421963E-3</v>
      </c>
      <c r="K89" t="s">
        <v>14</v>
      </c>
      <c r="P89" t="s">
        <v>2475</v>
      </c>
      <c r="Q89" t="s">
        <v>2731</v>
      </c>
      <c r="R89" t="s">
        <v>2520</v>
      </c>
      <c r="S89" t="s">
        <v>17</v>
      </c>
      <c r="U89" t="s">
        <v>2475</v>
      </c>
      <c r="V89" t="s">
        <v>2730</v>
      </c>
      <c r="W89" t="s">
        <v>2488</v>
      </c>
      <c r="X89" t="s">
        <v>17</v>
      </c>
    </row>
    <row r="90" spans="8:24" x14ac:dyDescent="0.45">
      <c r="H90" t="s">
        <v>2583</v>
      </c>
      <c r="I90" t="s">
        <v>36</v>
      </c>
      <c r="J90">
        <v>4.8135533502421963E-3</v>
      </c>
      <c r="K90" t="s">
        <v>14</v>
      </c>
      <c r="P90" t="s">
        <v>2475</v>
      </c>
      <c r="Q90" t="s">
        <v>2732</v>
      </c>
      <c r="R90" t="s">
        <v>2524</v>
      </c>
      <c r="S90" t="s">
        <v>17</v>
      </c>
      <c r="U90" t="s">
        <v>2475</v>
      </c>
      <c r="V90" t="s">
        <v>2733</v>
      </c>
      <c r="W90" t="s">
        <v>2718</v>
      </c>
      <c r="X90" t="s">
        <v>19</v>
      </c>
    </row>
    <row r="91" spans="8:24" x14ac:dyDescent="0.45">
      <c r="H91" t="s">
        <v>2587</v>
      </c>
      <c r="I91" t="s">
        <v>13</v>
      </c>
      <c r="J91">
        <v>4.8199412850502051E-3</v>
      </c>
      <c r="K91" t="s">
        <v>14</v>
      </c>
      <c r="P91" t="s">
        <v>2475</v>
      </c>
      <c r="Q91" t="s">
        <v>2734</v>
      </c>
      <c r="R91" t="s">
        <v>2528</v>
      </c>
      <c r="S91" t="s">
        <v>17</v>
      </c>
      <c r="U91" t="s">
        <v>2475</v>
      </c>
      <c r="V91" t="s">
        <v>2733</v>
      </c>
      <c r="W91" t="s">
        <v>2488</v>
      </c>
      <c r="X91" t="s">
        <v>17</v>
      </c>
    </row>
    <row r="92" spans="8:24" x14ac:dyDescent="0.45">
      <c r="H92" t="s">
        <v>2587</v>
      </c>
      <c r="I92" t="s">
        <v>27</v>
      </c>
      <c r="J92">
        <v>4.8199412850502051E-3</v>
      </c>
      <c r="K92" t="s">
        <v>14</v>
      </c>
      <c r="P92" t="s">
        <v>2475</v>
      </c>
      <c r="Q92" t="s">
        <v>2735</v>
      </c>
      <c r="R92" t="s">
        <v>2531</v>
      </c>
      <c r="S92" t="s">
        <v>17</v>
      </c>
      <c r="U92" t="s">
        <v>2475</v>
      </c>
      <c r="V92" t="s">
        <v>2736</v>
      </c>
      <c r="W92" t="s">
        <v>2492</v>
      </c>
      <c r="X92" t="s">
        <v>19</v>
      </c>
    </row>
    <row r="93" spans="8:24" x14ac:dyDescent="0.45">
      <c r="H93" t="s">
        <v>2587</v>
      </c>
      <c r="I93" t="s">
        <v>36</v>
      </c>
      <c r="J93">
        <v>4.8199412850502051E-3</v>
      </c>
      <c r="K93" t="s">
        <v>14</v>
      </c>
      <c r="P93" t="s">
        <v>2475</v>
      </c>
      <c r="Q93" t="s">
        <v>2737</v>
      </c>
      <c r="R93" t="s">
        <v>2535</v>
      </c>
      <c r="S93" t="s">
        <v>17</v>
      </c>
      <c r="U93" t="s">
        <v>2475</v>
      </c>
      <c r="V93" t="s">
        <v>2738</v>
      </c>
      <c r="W93" t="s">
        <v>2492</v>
      </c>
      <c r="X93" t="s">
        <v>19</v>
      </c>
    </row>
    <row r="94" spans="8:24" x14ac:dyDescent="0.45">
      <c r="H94" t="s">
        <v>2591</v>
      </c>
      <c r="I94" t="s">
        <v>13</v>
      </c>
      <c r="J94">
        <v>2.1475032660077361E-3</v>
      </c>
      <c r="K94" t="s">
        <v>14</v>
      </c>
      <c r="P94" t="s">
        <v>2475</v>
      </c>
      <c r="Q94" t="s">
        <v>2739</v>
      </c>
      <c r="R94" t="s">
        <v>2538</v>
      </c>
      <c r="S94" t="s">
        <v>17</v>
      </c>
      <c r="U94" t="s">
        <v>2475</v>
      </c>
      <c r="V94" t="s">
        <v>2740</v>
      </c>
      <c r="W94" t="s">
        <v>2492</v>
      </c>
      <c r="X94" t="s">
        <v>19</v>
      </c>
    </row>
    <row r="95" spans="8:24" x14ac:dyDescent="0.45">
      <c r="H95" t="s">
        <v>2591</v>
      </c>
      <c r="I95" t="s">
        <v>27</v>
      </c>
      <c r="J95">
        <v>2.1475032660077361E-3</v>
      </c>
      <c r="K95" t="s">
        <v>14</v>
      </c>
      <c r="P95" t="s">
        <v>2475</v>
      </c>
      <c r="Q95" t="s">
        <v>2741</v>
      </c>
      <c r="R95" t="s">
        <v>2542</v>
      </c>
      <c r="S95" t="s">
        <v>17</v>
      </c>
      <c r="U95" t="s">
        <v>2475</v>
      </c>
      <c r="V95" t="s">
        <v>2742</v>
      </c>
      <c r="W95" t="s">
        <v>2492</v>
      </c>
      <c r="X95" t="s">
        <v>19</v>
      </c>
    </row>
    <row r="96" spans="8:24" x14ac:dyDescent="0.45">
      <c r="H96" t="s">
        <v>2591</v>
      </c>
      <c r="I96" t="s">
        <v>36</v>
      </c>
      <c r="J96">
        <v>2.1475032660077361E-3</v>
      </c>
      <c r="K96" t="s">
        <v>14</v>
      </c>
      <c r="P96" t="s">
        <v>2475</v>
      </c>
      <c r="Q96" t="s">
        <v>2743</v>
      </c>
      <c r="R96" t="s">
        <v>2546</v>
      </c>
      <c r="S96" t="s">
        <v>17</v>
      </c>
      <c r="U96" t="s">
        <v>2475</v>
      </c>
      <c r="V96" t="s">
        <v>2744</v>
      </c>
      <c r="W96" t="s">
        <v>2492</v>
      </c>
      <c r="X96" t="s">
        <v>19</v>
      </c>
    </row>
    <row r="97" spans="8:24" x14ac:dyDescent="0.45">
      <c r="H97" t="s">
        <v>2595</v>
      </c>
      <c r="I97" t="s">
        <v>13</v>
      </c>
      <c r="J97">
        <v>2.1444962370996356E-3</v>
      </c>
      <c r="K97" t="s">
        <v>14</v>
      </c>
      <c r="P97" t="s">
        <v>2475</v>
      </c>
      <c r="Q97" t="s">
        <v>2745</v>
      </c>
      <c r="R97" t="s">
        <v>2550</v>
      </c>
      <c r="S97" t="s">
        <v>17</v>
      </c>
      <c r="U97" t="s">
        <v>2475</v>
      </c>
      <c r="V97" t="s">
        <v>2746</v>
      </c>
      <c r="W97" t="s">
        <v>2492</v>
      </c>
      <c r="X97" t="s">
        <v>19</v>
      </c>
    </row>
    <row r="98" spans="8:24" x14ac:dyDescent="0.45">
      <c r="H98" t="s">
        <v>2595</v>
      </c>
      <c r="I98" t="s">
        <v>27</v>
      </c>
      <c r="J98">
        <v>2.1444962370996356E-3</v>
      </c>
      <c r="K98" t="s">
        <v>14</v>
      </c>
      <c r="P98" t="s">
        <v>2475</v>
      </c>
      <c r="Q98" t="s">
        <v>2747</v>
      </c>
      <c r="R98" t="s">
        <v>2553</v>
      </c>
      <c r="S98" t="s">
        <v>17</v>
      </c>
      <c r="U98" t="s">
        <v>2475</v>
      </c>
      <c r="V98" t="s">
        <v>2748</v>
      </c>
      <c r="W98" t="s">
        <v>2492</v>
      </c>
      <c r="X98" t="s">
        <v>19</v>
      </c>
    </row>
    <row r="99" spans="8:24" x14ac:dyDescent="0.45">
      <c r="H99" t="s">
        <v>2595</v>
      </c>
      <c r="I99" t="s">
        <v>36</v>
      </c>
      <c r="J99">
        <v>2.1444962370996356E-3</v>
      </c>
      <c r="K99" t="s">
        <v>14</v>
      </c>
      <c r="P99" t="s">
        <v>2475</v>
      </c>
      <c r="Q99" t="s">
        <v>2749</v>
      </c>
      <c r="R99" t="s">
        <v>2557</v>
      </c>
      <c r="S99" t="s">
        <v>17</v>
      </c>
      <c r="U99" t="s">
        <v>2475</v>
      </c>
      <c r="V99" t="s">
        <v>2750</v>
      </c>
      <c r="W99" t="s">
        <v>2492</v>
      </c>
      <c r="X99" t="s">
        <v>19</v>
      </c>
    </row>
    <row r="100" spans="8:24" x14ac:dyDescent="0.45">
      <c r="H100" t="s">
        <v>2599</v>
      </c>
      <c r="I100" t="s">
        <v>13</v>
      </c>
      <c r="J100">
        <v>3.8487864018426059E-3</v>
      </c>
      <c r="K100" t="s">
        <v>14</v>
      </c>
      <c r="P100" t="s">
        <v>2475</v>
      </c>
      <c r="Q100" t="s">
        <v>2751</v>
      </c>
      <c r="R100" t="s">
        <v>2560</v>
      </c>
      <c r="S100" t="s">
        <v>17</v>
      </c>
      <c r="U100" t="s">
        <v>2475</v>
      </c>
      <c r="V100" t="s">
        <v>2752</v>
      </c>
      <c r="W100" t="s">
        <v>2492</v>
      </c>
      <c r="X100" t="s">
        <v>19</v>
      </c>
    </row>
    <row r="101" spans="8:24" x14ac:dyDescent="0.45">
      <c r="H101" t="s">
        <v>2599</v>
      </c>
      <c r="I101" t="s">
        <v>27</v>
      </c>
      <c r="J101">
        <v>3.8487864018426059E-3</v>
      </c>
      <c r="K101" t="s">
        <v>14</v>
      </c>
      <c r="P101" t="s">
        <v>2475</v>
      </c>
      <c r="Q101" t="s">
        <v>2753</v>
      </c>
      <c r="R101" t="s">
        <v>2564</v>
      </c>
      <c r="S101" t="s">
        <v>17</v>
      </c>
      <c r="U101" t="s">
        <v>2475</v>
      </c>
      <c r="V101" t="s">
        <v>2754</v>
      </c>
      <c r="W101" t="s">
        <v>2492</v>
      </c>
      <c r="X101" t="s">
        <v>19</v>
      </c>
    </row>
    <row r="102" spans="8:24" x14ac:dyDescent="0.45">
      <c r="H102" t="s">
        <v>2599</v>
      </c>
      <c r="I102" t="s">
        <v>36</v>
      </c>
      <c r="J102">
        <v>3.8487864018426059E-3</v>
      </c>
      <c r="K102" t="s">
        <v>14</v>
      </c>
      <c r="P102" t="s">
        <v>2475</v>
      </c>
      <c r="Q102" t="s">
        <v>2755</v>
      </c>
      <c r="R102" t="s">
        <v>2568</v>
      </c>
      <c r="S102" t="s">
        <v>17</v>
      </c>
      <c r="U102" t="s">
        <v>2475</v>
      </c>
      <c r="V102" t="s">
        <v>2756</v>
      </c>
      <c r="W102" t="s">
        <v>2492</v>
      </c>
      <c r="X102" t="s">
        <v>19</v>
      </c>
    </row>
    <row r="103" spans="8:24" x14ac:dyDescent="0.45">
      <c r="H103" t="s">
        <v>2603</v>
      </c>
      <c r="I103" t="s">
        <v>13</v>
      </c>
      <c r="J103">
        <v>8.8990626483438119E-3</v>
      </c>
      <c r="K103" t="s">
        <v>14</v>
      </c>
      <c r="P103" t="s">
        <v>2475</v>
      </c>
      <c r="Q103" t="s">
        <v>2757</v>
      </c>
      <c r="R103" t="s">
        <v>2572</v>
      </c>
      <c r="S103" t="s">
        <v>17</v>
      </c>
      <c r="U103" t="s">
        <v>2475</v>
      </c>
      <c r="V103" t="s">
        <v>2756</v>
      </c>
      <c r="W103" t="s">
        <v>2758</v>
      </c>
      <c r="X103" t="s">
        <v>19</v>
      </c>
    </row>
    <row r="104" spans="8:24" x14ac:dyDescent="0.45">
      <c r="H104" t="s">
        <v>2603</v>
      </c>
      <c r="I104" t="s">
        <v>27</v>
      </c>
      <c r="J104">
        <v>8.8990626483438119E-3</v>
      </c>
      <c r="K104" t="s">
        <v>14</v>
      </c>
      <c r="P104" t="s">
        <v>2475</v>
      </c>
      <c r="Q104" t="s">
        <v>2759</v>
      </c>
      <c r="R104" t="s">
        <v>2576</v>
      </c>
      <c r="S104" t="s">
        <v>17</v>
      </c>
      <c r="U104" t="s">
        <v>2475</v>
      </c>
      <c r="V104" t="s">
        <v>2760</v>
      </c>
      <c r="W104" t="s">
        <v>2492</v>
      </c>
      <c r="X104" t="s">
        <v>19</v>
      </c>
    </row>
    <row r="105" spans="8:24" x14ac:dyDescent="0.45">
      <c r="H105" t="s">
        <v>2603</v>
      </c>
      <c r="I105" t="s">
        <v>36</v>
      </c>
      <c r="J105">
        <v>8.8990626483438119E-3</v>
      </c>
      <c r="K105" t="s">
        <v>14</v>
      </c>
      <c r="P105" t="s">
        <v>2475</v>
      </c>
      <c r="Q105" t="s">
        <v>2761</v>
      </c>
      <c r="R105" t="s">
        <v>2580</v>
      </c>
      <c r="S105" t="s">
        <v>17</v>
      </c>
      <c r="U105" t="s">
        <v>2475</v>
      </c>
      <c r="V105" t="s">
        <v>2760</v>
      </c>
      <c r="W105" t="s">
        <v>2758</v>
      </c>
      <c r="X105" t="s">
        <v>19</v>
      </c>
    </row>
    <row r="106" spans="8:24" x14ac:dyDescent="0.45">
      <c r="H106" t="s">
        <v>2607</v>
      </c>
      <c r="I106" t="s">
        <v>13</v>
      </c>
      <c r="J106">
        <v>4.3248616929961362E-2</v>
      </c>
      <c r="K106" t="s">
        <v>14</v>
      </c>
      <c r="P106" t="s">
        <v>2475</v>
      </c>
      <c r="Q106" t="s">
        <v>2762</v>
      </c>
      <c r="R106" t="s">
        <v>2584</v>
      </c>
      <c r="S106" t="s">
        <v>17</v>
      </c>
      <c r="U106" t="s">
        <v>2475</v>
      </c>
      <c r="V106" t="s">
        <v>2763</v>
      </c>
      <c r="W106" t="s">
        <v>2492</v>
      </c>
      <c r="X106" t="s">
        <v>19</v>
      </c>
    </row>
    <row r="107" spans="8:24" x14ac:dyDescent="0.45">
      <c r="H107" t="s">
        <v>2607</v>
      </c>
      <c r="I107" t="s">
        <v>27</v>
      </c>
      <c r="J107">
        <v>4.3248616929961362E-2</v>
      </c>
      <c r="K107" t="s">
        <v>14</v>
      </c>
      <c r="P107" t="s">
        <v>2475</v>
      </c>
      <c r="Q107" t="s">
        <v>2764</v>
      </c>
      <c r="R107" t="s">
        <v>2588</v>
      </c>
      <c r="S107" t="s">
        <v>17</v>
      </c>
      <c r="U107" t="s">
        <v>2475</v>
      </c>
      <c r="V107" t="s">
        <v>2763</v>
      </c>
      <c r="W107" t="s">
        <v>2758</v>
      </c>
      <c r="X107" t="s">
        <v>19</v>
      </c>
    </row>
    <row r="108" spans="8:24" x14ac:dyDescent="0.45">
      <c r="H108" t="s">
        <v>2607</v>
      </c>
      <c r="I108" t="s">
        <v>36</v>
      </c>
      <c r="J108">
        <v>4.3248616929961362E-2</v>
      </c>
      <c r="K108" t="s">
        <v>14</v>
      </c>
      <c r="P108" t="s">
        <v>2475</v>
      </c>
      <c r="Q108" t="s">
        <v>2765</v>
      </c>
      <c r="R108" t="s">
        <v>2592</v>
      </c>
      <c r="S108" t="s">
        <v>17</v>
      </c>
      <c r="U108" t="s">
        <v>2475</v>
      </c>
      <c r="V108" t="s">
        <v>2766</v>
      </c>
      <c r="W108" t="s">
        <v>2758</v>
      </c>
      <c r="X108" t="s">
        <v>19</v>
      </c>
    </row>
    <row r="109" spans="8:24" x14ac:dyDescent="0.45">
      <c r="H109" t="s">
        <v>2611</v>
      </c>
      <c r="I109" t="s">
        <v>13</v>
      </c>
      <c r="J109">
        <v>2.7109501348586217E-2</v>
      </c>
      <c r="K109" t="s">
        <v>14</v>
      </c>
      <c r="P109" t="s">
        <v>2475</v>
      </c>
      <c r="Q109" t="s">
        <v>2767</v>
      </c>
      <c r="R109" t="s">
        <v>2596</v>
      </c>
      <c r="S109" t="s">
        <v>17</v>
      </c>
      <c r="U109" t="s">
        <v>2475</v>
      </c>
      <c r="V109" t="s">
        <v>2768</v>
      </c>
      <c r="W109" t="s">
        <v>2758</v>
      </c>
      <c r="X109" t="s">
        <v>19</v>
      </c>
    </row>
    <row r="110" spans="8:24" x14ac:dyDescent="0.45">
      <c r="H110" t="s">
        <v>2611</v>
      </c>
      <c r="I110" t="s">
        <v>27</v>
      </c>
      <c r="J110">
        <v>2.7109501348586217E-2</v>
      </c>
      <c r="K110" t="s">
        <v>14</v>
      </c>
      <c r="P110" t="s">
        <v>2475</v>
      </c>
      <c r="Q110" t="s">
        <v>2769</v>
      </c>
      <c r="R110" t="s">
        <v>2600</v>
      </c>
      <c r="S110" t="s">
        <v>17</v>
      </c>
      <c r="U110" t="s">
        <v>2475</v>
      </c>
      <c r="V110" t="s">
        <v>2770</v>
      </c>
      <c r="W110" t="s">
        <v>2758</v>
      </c>
      <c r="X110" t="s">
        <v>19</v>
      </c>
    </row>
    <row r="111" spans="8:24" x14ac:dyDescent="0.45">
      <c r="H111" t="s">
        <v>2611</v>
      </c>
      <c r="I111" t="s">
        <v>36</v>
      </c>
      <c r="J111">
        <v>2.7109501348586217E-2</v>
      </c>
      <c r="K111" t="s">
        <v>14</v>
      </c>
      <c r="P111" t="s">
        <v>2475</v>
      </c>
      <c r="Q111" t="s">
        <v>2771</v>
      </c>
      <c r="R111" t="s">
        <v>2604</v>
      </c>
      <c r="S111" t="s">
        <v>17</v>
      </c>
      <c r="U111" t="s">
        <v>2475</v>
      </c>
      <c r="V111" t="s">
        <v>2770</v>
      </c>
      <c r="W111" t="s">
        <v>2492</v>
      </c>
      <c r="X111" t="s">
        <v>17</v>
      </c>
    </row>
    <row r="112" spans="8:24" x14ac:dyDescent="0.45">
      <c r="H112" t="s">
        <v>2614</v>
      </c>
      <c r="I112" t="s">
        <v>13</v>
      </c>
      <c r="J112">
        <v>5.2721154290259392E-2</v>
      </c>
      <c r="K112" t="s">
        <v>14</v>
      </c>
      <c r="P112" t="s">
        <v>2475</v>
      </c>
      <c r="Q112" t="s">
        <v>2772</v>
      </c>
      <c r="R112" t="s">
        <v>2608</v>
      </c>
      <c r="S112" t="s">
        <v>17</v>
      </c>
      <c r="U112" t="s">
        <v>2475</v>
      </c>
      <c r="V112" t="s">
        <v>2773</v>
      </c>
      <c r="W112" t="s">
        <v>2758</v>
      </c>
      <c r="X112" t="s">
        <v>19</v>
      </c>
    </row>
    <row r="113" spans="8:24" x14ac:dyDescent="0.45">
      <c r="H113" t="s">
        <v>2614</v>
      </c>
      <c r="I113" t="s">
        <v>27</v>
      </c>
      <c r="J113">
        <v>5.2721154290259392E-2</v>
      </c>
      <c r="K113" t="s">
        <v>14</v>
      </c>
      <c r="P113" t="s">
        <v>2475</v>
      </c>
      <c r="Q113" t="s">
        <v>2774</v>
      </c>
      <c r="R113" t="s">
        <v>2612</v>
      </c>
      <c r="S113" t="s">
        <v>17</v>
      </c>
      <c r="U113" t="s">
        <v>2475</v>
      </c>
      <c r="V113" t="s">
        <v>2773</v>
      </c>
      <c r="W113" t="s">
        <v>2492</v>
      </c>
      <c r="X113" t="s">
        <v>17</v>
      </c>
    </row>
    <row r="114" spans="8:24" x14ac:dyDescent="0.45">
      <c r="H114" t="s">
        <v>2614</v>
      </c>
      <c r="I114" t="s">
        <v>36</v>
      </c>
      <c r="J114">
        <v>5.2721154290259392E-2</v>
      </c>
      <c r="K114" t="s">
        <v>14</v>
      </c>
      <c r="P114" t="s">
        <v>2475</v>
      </c>
      <c r="Q114" t="s">
        <v>2775</v>
      </c>
      <c r="R114" t="s">
        <v>2615</v>
      </c>
      <c r="S114" t="s">
        <v>17</v>
      </c>
      <c r="U114" t="s">
        <v>2475</v>
      </c>
      <c r="V114" t="s">
        <v>2776</v>
      </c>
      <c r="W114" t="s">
        <v>2496</v>
      </c>
      <c r="X114" t="s">
        <v>19</v>
      </c>
    </row>
    <row r="115" spans="8:24" x14ac:dyDescent="0.45">
      <c r="H115" t="s">
        <v>2618</v>
      </c>
      <c r="I115" t="s">
        <v>13</v>
      </c>
      <c r="J115">
        <v>9.4543116472414115E-3</v>
      </c>
      <c r="K115" t="s">
        <v>14</v>
      </c>
      <c r="P115" t="s">
        <v>2475</v>
      </c>
      <c r="Q115" t="s">
        <v>2777</v>
      </c>
      <c r="R115" t="s">
        <v>2476</v>
      </c>
      <c r="S115" t="s">
        <v>17</v>
      </c>
      <c r="U115" t="s">
        <v>2475</v>
      </c>
      <c r="V115" t="s">
        <v>2778</v>
      </c>
      <c r="W115" t="s">
        <v>2496</v>
      </c>
      <c r="X115" t="s">
        <v>19</v>
      </c>
    </row>
    <row r="116" spans="8:24" x14ac:dyDescent="0.45">
      <c r="H116" t="s">
        <v>2618</v>
      </c>
      <c r="I116" t="s">
        <v>27</v>
      </c>
      <c r="J116">
        <v>9.4543116472414115E-3</v>
      </c>
      <c r="K116" t="s">
        <v>14</v>
      </c>
      <c r="P116" t="s">
        <v>2475</v>
      </c>
      <c r="Q116" t="s">
        <v>2779</v>
      </c>
      <c r="R116" t="s">
        <v>2480</v>
      </c>
      <c r="S116" t="s">
        <v>17</v>
      </c>
      <c r="U116" t="s">
        <v>2475</v>
      </c>
      <c r="V116" t="s">
        <v>2780</v>
      </c>
      <c r="W116" t="s">
        <v>2496</v>
      </c>
      <c r="X116" t="s">
        <v>19</v>
      </c>
    </row>
    <row r="117" spans="8:24" x14ac:dyDescent="0.45">
      <c r="H117" t="s">
        <v>2618</v>
      </c>
      <c r="I117" t="s">
        <v>36</v>
      </c>
      <c r="J117">
        <v>9.4543116472414115E-3</v>
      </c>
      <c r="K117" t="s">
        <v>14</v>
      </c>
      <c r="P117" t="s">
        <v>2475</v>
      </c>
      <c r="Q117" t="s">
        <v>2781</v>
      </c>
      <c r="R117" t="s">
        <v>2484</v>
      </c>
      <c r="S117" t="s">
        <v>17</v>
      </c>
      <c r="U117" t="s">
        <v>2475</v>
      </c>
      <c r="V117" t="s">
        <v>2782</v>
      </c>
      <c r="W117" t="s">
        <v>2496</v>
      </c>
      <c r="X117" t="s">
        <v>19</v>
      </c>
    </row>
    <row r="118" spans="8:24" x14ac:dyDescent="0.45">
      <c r="H118" t="s">
        <v>2620</v>
      </c>
      <c r="I118" t="s">
        <v>13</v>
      </c>
      <c r="J118">
        <v>4.9091555603068333E-2</v>
      </c>
      <c r="K118" t="s">
        <v>14</v>
      </c>
      <c r="P118" t="s">
        <v>2475</v>
      </c>
      <c r="Q118" t="s">
        <v>2783</v>
      </c>
      <c r="R118" t="s">
        <v>2488</v>
      </c>
      <c r="S118" t="s">
        <v>17</v>
      </c>
      <c r="U118" t="s">
        <v>2475</v>
      </c>
      <c r="V118" t="s">
        <v>2784</v>
      </c>
      <c r="W118" t="s">
        <v>2496</v>
      </c>
      <c r="X118" t="s">
        <v>19</v>
      </c>
    </row>
    <row r="119" spans="8:24" x14ac:dyDescent="0.45">
      <c r="H119" t="s">
        <v>2620</v>
      </c>
      <c r="I119" t="s">
        <v>27</v>
      </c>
      <c r="J119">
        <v>4.9091555603068333E-2</v>
      </c>
      <c r="K119" t="s">
        <v>14</v>
      </c>
      <c r="P119" t="s">
        <v>2475</v>
      </c>
      <c r="Q119" t="s">
        <v>2785</v>
      </c>
      <c r="R119" t="s">
        <v>2492</v>
      </c>
      <c r="S119" t="s">
        <v>17</v>
      </c>
      <c r="U119" t="s">
        <v>2475</v>
      </c>
      <c r="V119" t="s">
        <v>2786</v>
      </c>
      <c r="W119" t="s">
        <v>2496</v>
      </c>
      <c r="X119" t="s">
        <v>19</v>
      </c>
    </row>
    <row r="120" spans="8:24" x14ac:dyDescent="0.45">
      <c r="H120" t="s">
        <v>2620</v>
      </c>
      <c r="I120" t="s">
        <v>36</v>
      </c>
      <c r="J120">
        <v>4.9091555603068333E-2</v>
      </c>
      <c r="K120" t="s">
        <v>14</v>
      </c>
      <c r="P120" t="s">
        <v>2475</v>
      </c>
      <c r="Q120" t="s">
        <v>2787</v>
      </c>
      <c r="R120" t="s">
        <v>2496</v>
      </c>
      <c r="S120" t="s">
        <v>17</v>
      </c>
      <c r="U120" t="s">
        <v>2475</v>
      </c>
      <c r="V120" t="s">
        <v>2788</v>
      </c>
      <c r="W120" t="s">
        <v>2496</v>
      </c>
      <c r="X120" t="s">
        <v>19</v>
      </c>
    </row>
    <row r="121" spans="8:24" x14ac:dyDescent="0.45">
      <c r="H121" t="s">
        <v>2623</v>
      </c>
      <c r="I121" t="s">
        <v>13</v>
      </c>
      <c r="J121">
        <v>1.4617418257332688E-2</v>
      </c>
      <c r="K121" t="s">
        <v>14</v>
      </c>
      <c r="P121" t="s">
        <v>2475</v>
      </c>
      <c r="Q121" t="s">
        <v>2789</v>
      </c>
      <c r="R121" t="s">
        <v>2500</v>
      </c>
      <c r="S121" t="s">
        <v>17</v>
      </c>
      <c r="U121" t="s">
        <v>2475</v>
      </c>
      <c r="V121" t="s">
        <v>2790</v>
      </c>
      <c r="W121" t="s">
        <v>2496</v>
      </c>
      <c r="X121" t="s">
        <v>19</v>
      </c>
    </row>
    <row r="122" spans="8:24" x14ac:dyDescent="0.45">
      <c r="H122" t="s">
        <v>2623</v>
      </c>
      <c r="I122" t="s">
        <v>27</v>
      </c>
      <c r="J122">
        <v>1.4617418257332688E-2</v>
      </c>
      <c r="K122" t="s">
        <v>14</v>
      </c>
      <c r="P122" t="s">
        <v>2475</v>
      </c>
      <c r="Q122" t="s">
        <v>2791</v>
      </c>
      <c r="R122" t="s">
        <v>2504</v>
      </c>
      <c r="S122" t="s">
        <v>17</v>
      </c>
      <c r="U122" t="s">
        <v>2475</v>
      </c>
      <c r="V122" t="s">
        <v>2792</v>
      </c>
      <c r="W122" t="s">
        <v>2496</v>
      </c>
      <c r="X122" t="s">
        <v>19</v>
      </c>
    </row>
    <row r="123" spans="8:24" x14ac:dyDescent="0.45">
      <c r="H123" t="s">
        <v>2623</v>
      </c>
      <c r="I123" t="s">
        <v>36</v>
      </c>
      <c r="J123">
        <v>1.4617418257332688E-2</v>
      </c>
      <c r="K123" t="s">
        <v>14</v>
      </c>
      <c r="P123" t="s">
        <v>2475</v>
      </c>
      <c r="Q123" t="s">
        <v>2793</v>
      </c>
      <c r="R123" t="s">
        <v>2508</v>
      </c>
      <c r="S123" t="s">
        <v>17</v>
      </c>
      <c r="U123" t="s">
        <v>2475</v>
      </c>
      <c r="V123" t="s">
        <v>2794</v>
      </c>
      <c r="W123" t="s">
        <v>2496</v>
      </c>
      <c r="X123" t="s">
        <v>19</v>
      </c>
    </row>
    <row r="124" spans="8:24" x14ac:dyDescent="0.45">
      <c r="H124" t="s">
        <v>2626</v>
      </c>
      <c r="I124" t="s">
        <v>13</v>
      </c>
      <c r="J124">
        <v>7.7381897904656525E-3</v>
      </c>
      <c r="K124" t="s">
        <v>14</v>
      </c>
      <c r="P124" t="s">
        <v>2475</v>
      </c>
      <c r="Q124" t="s">
        <v>2795</v>
      </c>
      <c r="R124" t="s">
        <v>2512</v>
      </c>
      <c r="S124" t="s">
        <v>17</v>
      </c>
      <c r="U124" t="s">
        <v>2475</v>
      </c>
      <c r="V124" t="s">
        <v>2796</v>
      </c>
      <c r="W124" t="s">
        <v>2496</v>
      </c>
      <c r="X124" t="s">
        <v>19</v>
      </c>
    </row>
    <row r="125" spans="8:24" x14ac:dyDescent="0.45">
      <c r="H125" t="s">
        <v>2626</v>
      </c>
      <c r="I125" t="s">
        <v>27</v>
      </c>
      <c r="J125">
        <v>7.7381897904656525E-3</v>
      </c>
      <c r="K125" t="s">
        <v>14</v>
      </c>
      <c r="P125" t="s">
        <v>2475</v>
      </c>
      <c r="Q125" t="s">
        <v>2797</v>
      </c>
      <c r="R125" t="s">
        <v>2516</v>
      </c>
      <c r="S125" t="s">
        <v>17</v>
      </c>
      <c r="U125" t="s">
        <v>2475</v>
      </c>
      <c r="V125" t="s">
        <v>2796</v>
      </c>
      <c r="W125" t="s">
        <v>2798</v>
      </c>
      <c r="X125" t="s">
        <v>19</v>
      </c>
    </row>
    <row r="126" spans="8:24" x14ac:dyDescent="0.45">
      <c r="H126" t="s">
        <v>2626</v>
      </c>
      <c r="I126" t="s">
        <v>36</v>
      </c>
      <c r="J126">
        <v>7.7381897904656525E-3</v>
      </c>
      <c r="K126" t="s">
        <v>14</v>
      </c>
      <c r="P126" t="s">
        <v>2475</v>
      </c>
      <c r="Q126" t="s">
        <v>2799</v>
      </c>
      <c r="R126" t="s">
        <v>2520</v>
      </c>
      <c r="S126" t="s">
        <v>17</v>
      </c>
      <c r="U126" t="s">
        <v>2475</v>
      </c>
      <c r="V126" t="s">
        <v>2800</v>
      </c>
      <c r="W126" t="s">
        <v>2496</v>
      </c>
      <c r="X126" t="s">
        <v>19</v>
      </c>
    </row>
    <row r="127" spans="8:24" x14ac:dyDescent="0.45">
      <c r="H127" t="s">
        <v>2629</v>
      </c>
      <c r="I127" t="s">
        <v>13</v>
      </c>
      <c r="J127">
        <v>6.9858825425211366E-2</v>
      </c>
      <c r="K127" t="s">
        <v>14</v>
      </c>
      <c r="P127" t="s">
        <v>2475</v>
      </c>
      <c r="Q127" t="s">
        <v>2801</v>
      </c>
      <c r="R127" t="s">
        <v>2524</v>
      </c>
      <c r="S127" t="s">
        <v>17</v>
      </c>
      <c r="U127" t="s">
        <v>2475</v>
      </c>
      <c r="V127" t="s">
        <v>2800</v>
      </c>
      <c r="W127" t="s">
        <v>2798</v>
      </c>
      <c r="X127" t="s">
        <v>19</v>
      </c>
    </row>
    <row r="128" spans="8:24" x14ac:dyDescent="0.45">
      <c r="H128" t="s">
        <v>2629</v>
      </c>
      <c r="I128" t="s">
        <v>27</v>
      </c>
      <c r="J128">
        <v>6.9858825425211366E-2</v>
      </c>
      <c r="K128" t="s">
        <v>14</v>
      </c>
      <c r="P128" t="s">
        <v>2475</v>
      </c>
      <c r="Q128" t="s">
        <v>2802</v>
      </c>
      <c r="R128" t="s">
        <v>2528</v>
      </c>
      <c r="S128" t="s">
        <v>17</v>
      </c>
      <c r="U128" t="s">
        <v>2475</v>
      </c>
      <c r="V128" t="s">
        <v>2803</v>
      </c>
      <c r="W128" t="s">
        <v>2496</v>
      </c>
      <c r="X128" t="s">
        <v>19</v>
      </c>
    </row>
    <row r="129" spans="8:24" x14ac:dyDescent="0.45">
      <c r="H129" t="s">
        <v>2629</v>
      </c>
      <c r="I129" t="s">
        <v>36</v>
      </c>
      <c r="J129">
        <v>6.9858825425211366E-2</v>
      </c>
      <c r="K129" t="s">
        <v>14</v>
      </c>
      <c r="P129" t="s">
        <v>2475</v>
      </c>
      <c r="Q129" t="s">
        <v>2804</v>
      </c>
      <c r="R129" t="s">
        <v>2531</v>
      </c>
      <c r="S129" t="s">
        <v>17</v>
      </c>
      <c r="U129" t="s">
        <v>2475</v>
      </c>
      <c r="V129" t="s">
        <v>2803</v>
      </c>
      <c r="W129" t="s">
        <v>2798</v>
      </c>
      <c r="X129" t="s">
        <v>19</v>
      </c>
    </row>
    <row r="130" spans="8:24" x14ac:dyDescent="0.45">
      <c r="H130" t="s">
        <v>2631</v>
      </c>
      <c r="I130" t="s">
        <v>13</v>
      </c>
      <c r="J130">
        <v>3.7852104994517868E-2</v>
      </c>
      <c r="K130" t="s">
        <v>14</v>
      </c>
      <c r="P130" t="s">
        <v>2475</v>
      </c>
      <c r="Q130" t="s">
        <v>2805</v>
      </c>
      <c r="R130" t="s">
        <v>2535</v>
      </c>
      <c r="S130" t="s">
        <v>17</v>
      </c>
      <c r="U130" t="s">
        <v>2475</v>
      </c>
      <c r="V130" t="s">
        <v>2806</v>
      </c>
      <c r="W130" t="s">
        <v>2798</v>
      </c>
      <c r="X130" t="s">
        <v>19</v>
      </c>
    </row>
    <row r="131" spans="8:24" x14ac:dyDescent="0.45">
      <c r="H131" t="s">
        <v>2631</v>
      </c>
      <c r="I131" t="s">
        <v>27</v>
      </c>
      <c r="J131">
        <v>3.7852104994517868E-2</v>
      </c>
      <c r="K131" t="s">
        <v>14</v>
      </c>
      <c r="P131" t="s">
        <v>2475</v>
      </c>
      <c r="Q131" t="s">
        <v>2807</v>
      </c>
      <c r="R131" t="s">
        <v>2538</v>
      </c>
      <c r="S131" t="s">
        <v>17</v>
      </c>
      <c r="U131" t="s">
        <v>2475</v>
      </c>
      <c r="V131" t="s">
        <v>2808</v>
      </c>
      <c r="W131" t="s">
        <v>2798</v>
      </c>
      <c r="X131" t="s">
        <v>19</v>
      </c>
    </row>
    <row r="132" spans="8:24" x14ac:dyDescent="0.45">
      <c r="H132" t="s">
        <v>2631</v>
      </c>
      <c r="I132" t="s">
        <v>36</v>
      </c>
      <c r="J132">
        <v>3.7852104994517868E-2</v>
      </c>
      <c r="K132" t="s">
        <v>14</v>
      </c>
      <c r="P132" t="s">
        <v>2475</v>
      </c>
      <c r="Q132" t="s">
        <v>2809</v>
      </c>
      <c r="R132" t="s">
        <v>2542</v>
      </c>
      <c r="S132" t="s">
        <v>17</v>
      </c>
      <c r="U132" t="s">
        <v>2475</v>
      </c>
      <c r="V132" t="s">
        <v>2810</v>
      </c>
      <c r="W132" t="s">
        <v>2798</v>
      </c>
      <c r="X132" t="s">
        <v>19</v>
      </c>
    </row>
    <row r="133" spans="8:24" x14ac:dyDescent="0.45">
      <c r="H133" t="s">
        <v>2634</v>
      </c>
      <c r="I133" t="s">
        <v>13</v>
      </c>
      <c r="J133">
        <v>4.3987042311574555E-2</v>
      </c>
      <c r="K133" t="s">
        <v>14</v>
      </c>
      <c r="P133" t="s">
        <v>2475</v>
      </c>
      <c r="Q133" t="s">
        <v>2811</v>
      </c>
      <c r="R133" t="s">
        <v>2546</v>
      </c>
      <c r="S133" t="s">
        <v>17</v>
      </c>
      <c r="U133" t="s">
        <v>2475</v>
      </c>
      <c r="V133" t="s">
        <v>2810</v>
      </c>
      <c r="W133" t="s">
        <v>2496</v>
      </c>
      <c r="X133" t="s">
        <v>17</v>
      </c>
    </row>
    <row r="134" spans="8:24" x14ac:dyDescent="0.45">
      <c r="H134" t="s">
        <v>2634</v>
      </c>
      <c r="I134" t="s">
        <v>27</v>
      </c>
      <c r="J134">
        <v>4.3987042311574555E-2</v>
      </c>
      <c r="K134" t="s">
        <v>14</v>
      </c>
      <c r="P134" t="s">
        <v>2475</v>
      </c>
      <c r="Q134" t="s">
        <v>2812</v>
      </c>
      <c r="R134" t="s">
        <v>2550</v>
      </c>
      <c r="S134" t="s">
        <v>17</v>
      </c>
      <c r="U134" t="s">
        <v>2475</v>
      </c>
      <c r="V134" t="s">
        <v>2813</v>
      </c>
      <c r="W134" t="s">
        <v>2798</v>
      </c>
      <c r="X134" t="s">
        <v>19</v>
      </c>
    </row>
    <row r="135" spans="8:24" x14ac:dyDescent="0.45">
      <c r="H135" t="s">
        <v>2634</v>
      </c>
      <c r="I135" t="s">
        <v>36</v>
      </c>
      <c r="J135">
        <v>4.3987042311574555E-2</v>
      </c>
      <c r="K135" t="s">
        <v>14</v>
      </c>
      <c r="P135" t="s">
        <v>2475</v>
      </c>
      <c r="Q135" t="s">
        <v>2814</v>
      </c>
      <c r="R135" t="s">
        <v>2553</v>
      </c>
      <c r="S135" t="s">
        <v>17</v>
      </c>
      <c r="U135" t="s">
        <v>2475</v>
      </c>
      <c r="V135" t="s">
        <v>2813</v>
      </c>
      <c r="W135" t="s">
        <v>2496</v>
      </c>
      <c r="X135" t="s">
        <v>17</v>
      </c>
    </row>
    <row r="136" spans="8:24" x14ac:dyDescent="0.45">
      <c r="H136" t="s">
        <v>2636</v>
      </c>
      <c r="I136" t="s">
        <v>13</v>
      </c>
      <c r="J136">
        <v>2.9968417375847958E-2</v>
      </c>
      <c r="K136" t="s">
        <v>14</v>
      </c>
      <c r="P136" t="s">
        <v>2475</v>
      </c>
      <c r="Q136" t="s">
        <v>2815</v>
      </c>
      <c r="R136" t="s">
        <v>2557</v>
      </c>
      <c r="S136" t="s">
        <v>17</v>
      </c>
      <c r="U136" t="s">
        <v>2475</v>
      </c>
      <c r="V136" t="s">
        <v>2816</v>
      </c>
      <c r="W136" t="s">
        <v>2500</v>
      </c>
      <c r="X136" t="s">
        <v>19</v>
      </c>
    </row>
    <row r="137" spans="8:24" x14ac:dyDescent="0.45">
      <c r="H137" t="s">
        <v>2636</v>
      </c>
      <c r="I137" t="s">
        <v>27</v>
      </c>
      <c r="J137">
        <v>2.9968417375847958E-2</v>
      </c>
      <c r="K137" t="s">
        <v>14</v>
      </c>
      <c r="P137" t="s">
        <v>2475</v>
      </c>
      <c r="Q137" t="s">
        <v>2817</v>
      </c>
      <c r="R137" t="s">
        <v>2560</v>
      </c>
      <c r="S137" t="s">
        <v>17</v>
      </c>
      <c r="U137" t="s">
        <v>2475</v>
      </c>
      <c r="V137" t="s">
        <v>2818</v>
      </c>
      <c r="W137" t="s">
        <v>2500</v>
      </c>
      <c r="X137" t="s">
        <v>19</v>
      </c>
    </row>
    <row r="138" spans="8:24" x14ac:dyDescent="0.45">
      <c r="H138" t="s">
        <v>2636</v>
      </c>
      <c r="I138" t="s">
        <v>36</v>
      </c>
      <c r="J138">
        <v>2.9968417375847958E-2</v>
      </c>
      <c r="K138" t="s">
        <v>14</v>
      </c>
      <c r="P138" t="s">
        <v>2475</v>
      </c>
      <c r="Q138" t="s">
        <v>2819</v>
      </c>
      <c r="R138" t="s">
        <v>2564</v>
      </c>
      <c r="S138" t="s">
        <v>17</v>
      </c>
      <c r="U138" t="s">
        <v>2475</v>
      </c>
      <c r="V138" t="s">
        <v>2820</v>
      </c>
      <c r="W138" t="s">
        <v>2500</v>
      </c>
      <c r="X138" t="s">
        <v>19</v>
      </c>
    </row>
    <row r="139" spans="8:24" x14ac:dyDescent="0.45">
      <c r="H139" t="s">
        <v>2639</v>
      </c>
      <c r="I139" t="s">
        <v>13</v>
      </c>
      <c r="J139">
        <v>1.0194618322193689E-2</v>
      </c>
      <c r="K139" t="s">
        <v>14</v>
      </c>
      <c r="P139" t="s">
        <v>2475</v>
      </c>
      <c r="Q139" t="s">
        <v>2821</v>
      </c>
      <c r="R139" t="s">
        <v>2568</v>
      </c>
      <c r="S139" t="s">
        <v>17</v>
      </c>
      <c r="U139" t="s">
        <v>2475</v>
      </c>
      <c r="V139" t="s">
        <v>2822</v>
      </c>
      <c r="W139" t="s">
        <v>2500</v>
      </c>
      <c r="X139" t="s">
        <v>19</v>
      </c>
    </row>
    <row r="140" spans="8:24" x14ac:dyDescent="0.45">
      <c r="H140" t="s">
        <v>2639</v>
      </c>
      <c r="I140" t="s">
        <v>27</v>
      </c>
      <c r="J140">
        <v>1.0194618322193689E-2</v>
      </c>
      <c r="K140" t="s">
        <v>14</v>
      </c>
      <c r="P140" t="s">
        <v>2475</v>
      </c>
      <c r="Q140" t="s">
        <v>2823</v>
      </c>
      <c r="R140" t="s">
        <v>2572</v>
      </c>
      <c r="S140" t="s">
        <v>17</v>
      </c>
      <c r="U140" t="s">
        <v>2475</v>
      </c>
      <c r="V140" t="s">
        <v>2824</v>
      </c>
      <c r="W140" t="s">
        <v>2500</v>
      </c>
      <c r="X140" t="s">
        <v>19</v>
      </c>
    </row>
    <row r="141" spans="8:24" x14ac:dyDescent="0.45">
      <c r="H141" t="s">
        <v>2639</v>
      </c>
      <c r="I141" t="s">
        <v>36</v>
      </c>
      <c r="J141">
        <v>1.0194618322193689E-2</v>
      </c>
      <c r="K141" t="s">
        <v>14</v>
      </c>
      <c r="P141" t="s">
        <v>2475</v>
      </c>
      <c r="Q141" t="s">
        <v>2825</v>
      </c>
      <c r="R141" t="s">
        <v>2576</v>
      </c>
      <c r="S141" t="s">
        <v>17</v>
      </c>
      <c r="U141" t="s">
        <v>2475</v>
      </c>
      <c r="V141" t="s">
        <v>2826</v>
      </c>
      <c r="W141" t="s">
        <v>2500</v>
      </c>
      <c r="X141" t="s">
        <v>19</v>
      </c>
    </row>
    <row r="142" spans="8:24" x14ac:dyDescent="0.45">
      <c r="H142" t="s">
        <v>2642</v>
      </c>
      <c r="I142" t="s">
        <v>13</v>
      </c>
      <c r="J142">
        <v>2.3980237328607684E-2</v>
      </c>
      <c r="K142" t="s">
        <v>14</v>
      </c>
      <c r="P142" t="s">
        <v>2475</v>
      </c>
      <c r="Q142" t="s">
        <v>2827</v>
      </c>
      <c r="R142" t="s">
        <v>2580</v>
      </c>
      <c r="S142" t="s">
        <v>17</v>
      </c>
      <c r="U142" t="s">
        <v>2475</v>
      </c>
      <c r="V142" t="s">
        <v>2828</v>
      </c>
      <c r="W142" t="s">
        <v>2500</v>
      </c>
      <c r="X142" t="s">
        <v>19</v>
      </c>
    </row>
    <row r="143" spans="8:24" x14ac:dyDescent="0.45">
      <c r="H143" t="s">
        <v>2642</v>
      </c>
      <c r="I143" t="s">
        <v>27</v>
      </c>
      <c r="J143">
        <v>2.3980237328607684E-2</v>
      </c>
      <c r="K143" t="s">
        <v>14</v>
      </c>
      <c r="P143" t="s">
        <v>2475</v>
      </c>
      <c r="Q143" t="s">
        <v>2829</v>
      </c>
      <c r="R143" t="s">
        <v>2584</v>
      </c>
      <c r="S143" t="s">
        <v>17</v>
      </c>
      <c r="U143" t="s">
        <v>2475</v>
      </c>
      <c r="V143" t="s">
        <v>2830</v>
      </c>
      <c r="W143" t="s">
        <v>2500</v>
      </c>
      <c r="X143" t="s">
        <v>19</v>
      </c>
    </row>
    <row r="144" spans="8:24" x14ac:dyDescent="0.45">
      <c r="H144" t="s">
        <v>2642</v>
      </c>
      <c r="I144" t="s">
        <v>36</v>
      </c>
      <c r="J144">
        <v>2.3980237328607684E-2</v>
      </c>
      <c r="K144" t="s">
        <v>14</v>
      </c>
      <c r="P144" t="s">
        <v>2475</v>
      </c>
      <c r="Q144" t="s">
        <v>2831</v>
      </c>
      <c r="R144" t="s">
        <v>2588</v>
      </c>
      <c r="S144" t="s">
        <v>17</v>
      </c>
      <c r="U144" t="s">
        <v>2475</v>
      </c>
      <c r="V144" t="s">
        <v>2832</v>
      </c>
      <c r="W144" t="s">
        <v>2500</v>
      </c>
      <c r="X144" t="s">
        <v>19</v>
      </c>
    </row>
    <row r="145" spans="8:24" x14ac:dyDescent="0.45">
      <c r="H145" t="s">
        <v>2645</v>
      </c>
      <c r="I145" t="s">
        <v>13</v>
      </c>
      <c r="J145">
        <v>1.8153636441602367E-2</v>
      </c>
      <c r="K145" t="s">
        <v>14</v>
      </c>
      <c r="P145" t="s">
        <v>2475</v>
      </c>
      <c r="Q145" t="s">
        <v>2833</v>
      </c>
      <c r="R145" t="s">
        <v>2592</v>
      </c>
      <c r="S145" t="s">
        <v>17</v>
      </c>
      <c r="U145" t="s">
        <v>2475</v>
      </c>
      <c r="V145" t="s">
        <v>2834</v>
      </c>
      <c r="W145" t="s">
        <v>2500</v>
      </c>
      <c r="X145" t="s">
        <v>19</v>
      </c>
    </row>
    <row r="146" spans="8:24" x14ac:dyDescent="0.45">
      <c r="H146" t="s">
        <v>2645</v>
      </c>
      <c r="I146" t="s">
        <v>27</v>
      </c>
      <c r="J146">
        <v>1.8153636441602367E-2</v>
      </c>
      <c r="K146" t="s">
        <v>14</v>
      </c>
      <c r="P146" t="s">
        <v>2475</v>
      </c>
      <c r="Q146" t="s">
        <v>2835</v>
      </c>
      <c r="R146" t="s">
        <v>2596</v>
      </c>
      <c r="S146" t="s">
        <v>17</v>
      </c>
      <c r="U146" t="s">
        <v>2475</v>
      </c>
      <c r="V146" t="s">
        <v>2836</v>
      </c>
      <c r="W146" t="s">
        <v>2500</v>
      </c>
      <c r="X146" t="s">
        <v>19</v>
      </c>
    </row>
    <row r="147" spans="8:24" x14ac:dyDescent="0.45">
      <c r="H147" t="s">
        <v>2645</v>
      </c>
      <c r="I147" t="s">
        <v>36</v>
      </c>
      <c r="J147">
        <v>1.8153636441602367E-2</v>
      </c>
      <c r="K147" t="s">
        <v>14</v>
      </c>
      <c r="P147" t="s">
        <v>2475</v>
      </c>
      <c r="Q147" t="s">
        <v>2837</v>
      </c>
      <c r="R147" t="s">
        <v>2600</v>
      </c>
      <c r="S147" t="s">
        <v>17</v>
      </c>
      <c r="U147" t="s">
        <v>2475</v>
      </c>
      <c r="V147" t="s">
        <v>2836</v>
      </c>
      <c r="W147" t="s">
        <v>2838</v>
      </c>
      <c r="X147" t="s">
        <v>19</v>
      </c>
    </row>
    <row r="148" spans="8:24" x14ac:dyDescent="0.45">
      <c r="H148" t="s">
        <v>2648</v>
      </c>
      <c r="I148" t="s">
        <v>13</v>
      </c>
      <c r="J148">
        <v>5.2510294263457095E-3</v>
      </c>
      <c r="K148" t="s">
        <v>14</v>
      </c>
      <c r="P148" t="s">
        <v>2475</v>
      </c>
      <c r="Q148" t="s">
        <v>2839</v>
      </c>
      <c r="R148" t="s">
        <v>2604</v>
      </c>
      <c r="S148" t="s">
        <v>17</v>
      </c>
      <c r="U148" t="s">
        <v>2475</v>
      </c>
      <c r="V148" t="s">
        <v>2840</v>
      </c>
      <c r="W148" t="s">
        <v>2500</v>
      </c>
      <c r="X148" t="s">
        <v>19</v>
      </c>
    </row>
    <row r="149" spans="8:24" x14ac:dyDescent="0.45">
      <c r="H149" t="s">
        <v>2648</v>
      </c>
      <c r="I149" t="s">
        <v>27</v>
      </c>
      <c r="J149">
        <v>5.2510294263457095E-3</v>
      </c>
      <c r="K149" t="s">
        <v>14</v>
      </c>
      <c r="P149" t="s">
        <v>2475</v>
      </c>
      <c r="Q149" t="s">
        <v>2841</v>
      </c>
      <c r="R149" t="s">
        <v>2608</v>
      </c>
      <c r="S149" t="s">
        <v>17</v>
      </c>
      <c r="U149" t="s">
        <v>2475</v>
      </c>
      <c r="V149" t="s">
        <v>2840</v>
      </c>
      <c r="W149" t="s">
        <v>2838</v>
      </c>
      <c r="X149" t="s">
        <v>19</v>
      </c>
    </row>
    <row r="150" spans="8:24" x14ac:dyDescent="0.45">
      <c r="H150" t="s">
        <v>2648</v>
      </c>
      <c r="I150" t="s">
        <v>36</v>
      </c>
      <c r="J150">
        <v>5.2510294263457095E-3</v>
      </c>
      <c r="K150" t="s">
        <v>14</v>
      </c>
      <c r="P150" t="s">
        <v>2475</v>
      </c>
      <c r="Q150" t="s">
        <v>2842</v>
      </c>
      <c r="R150" t="s">
        <v>2612</v>
      </c>
      <c r="S150" t="s">
        <v>17</v>
      </c>
      <c r="U150" t="s">
        <v>2475</v>
      </c>
      <c r="V150" t="s">
        <v>2843</v>
      </c>
      <c r="W150" t="s">
        <v>2500</v>
      </c>
      <c r="X150" t="s">
        <v>19</v>
      </c>
    </row>
    <row r="151" spans="8:24" x14ac:dyDescent="0.45">
      <c r="H151" t="s">
        <v>2651</v>
      </c>
      <c r="I151" t="s">
        <v>13</v>
      </c>
      <c r="J151">
        <v>5.4833402178561037E-2</v>
      </c>
      <c r="K151" t="s">
        <v>14</v>
      </c>
      <c r="P151" t="s">
        <v>2475</v>
      </c>
      <c r="Q151" t="s">
        <v>2844</v>
      </c>
      <c r="R151" t="s">
        <v>2615</v>
      </c>
      <c r="S151" t="s">
        <v>17</v>
      </c>
      <c r="U151" t="s">
        <v>2475</v>
      </c>
      <c r="V151" t="s">
        <v>2843</v>
      </c>
      <c r="W151" t="s">
        <v>2838</v>
      </c>
      <c r="X151" t="s">
        <v>19</v>
      </c>
    </row>
    <row r="152" spans="8:24" x14ac:dyDescent="0.45">
      <c r="H152" t="s">
        <v>2651</v>
      </c>
      <c r="I152" t="s">
        <v>27</v>
      </c>
      <c r="J152">
        <v>5.4833402178561037E-2</v>
      </c>
      <c r="K152" t="s">
        <v>14</v>
      </c>
      <c r="P152" t="s">
        <v>2475</v>
      </c>
      <c r="Q152" t="s">
        <v>2845</v>
      </c>
      <c r="R152" t="s">
        <v>2846</v>
      </c>
      <c r="S152" t="s">
        <v>17</v>
      </c>
      <c r="U152" t="s">
        <v>2475</v>
      </c>
      <c r="V152" t="s">
        <v>2847</v>
      </c>
      <c r="W152" t="s">
        <v>2838</v>
      </c>
      <c r="X152" t="s">
        <v>19</v>
      </c>
    </row>
    <row r="153" spans="8:24" x14ac:dyDescent="0.45">
      <c r="H153" t="s">
        <v>2651</v>
      </c>
      <c r="I153" t="s">
        <v>36</v>
      </c>
      <c r="J153">
        <v>5.4833402178561037E-2</v>
      </c>
      <c r="K153" t="s">
        <v>14</v>
      </c>
      <c r="P153" t="s">
        <v>2475</v>
      </c>
      <c r="Q153" t="s">
        <v>2848</v>
      </c>
      <c r="R153" t="s">
        <v>2849</v>
      </c>
      <c r="S153" t="s">
        <v>17</v>
      </c>
      <c r="U153" t="s">
        <v>2475</v>
      </c>
      <c r="V153" t="s">
        <v>2850</v>
      </c>
      <c r="W153" t="s">
        <v>2838</v>
      </c>
      <c r="X153" t="s">
        <v>19</v>
      </c>
    </row>
    <row r="154" spans="8:24" x14ac:dyDescent="0.45">
      <c r="H154" t="s">
        <v>2654</v>
      </c>
      <c r="I154" t="s">
        <v>13</v>
      </c>
      <c r="J154">
        <v>0.15330539369178206</v>
      </c>
      <c r="K154" t="s">
        <v>14</v>
      </c>
      <c r="P154" t="s">
        <v>2475</v>
      </c>
      <c r="Q154" t="s">
        <v>2851</v>
      </c>
      <c r="R154" t="s">
        <v>2852</v>
      </c>
      <c r="S154" t="s">
        <v>17</v>
      </c>
      <c r="U154" t="s">
        <v>2475</v>
      </c>
      <c r="V154" t="s">
        <v>2853</v>
      </c>
      <c r="W154" t="s">
        <v>2838</v>
      </c>
      <c r="X154" t="s">
        <v>19</v>
      </c>
    </row>
    <row r="155" spans="8:24" x14ac:dyDescent="0.45">
      <c r="H155" t="s">
        <v>2654</v>
      </c>
      <c r="I155" t="s">
        <v>27</v>
      </c>
      <c r="J155">
        <v>0.15330539369178206</v>
      </c>
      <c r="K155" t="s">
        <v>14</v>
      </c>
      <c r="P155" t="s">
        <v>2475</v>
      </c>
      <c r="Q155" t="s">
        <v>2854</v>
      </c>
      <c r="R155" t="s">
        <v>2855</v>
      </c>
      <c r="S155" t="s">
        <v>17</v>
      </c>
      <c r="U155" t="s">
        <v>2475</v>
      </c>
      <c r="V155" t="s">
        <v>2853</v>
      </c>
      <c r="W155" t="s">
        <v>2500</v>
      </c>
      <c r="X155" t="s">
        <v>17</v>
      </c>
    </row>
    <row r="156" spans="8:24" x14ac:dyDescent="0.45">
      <c r="H156" t="s">
        <v>2654</v>
      </c>
      <c r="I156" t="s">
        <v>36</v>
      </c>
      <c r="J156">
        <v>0.15330539369178206</v>
      </c>
      <c r="K156" t="s">
        <v>14</v>
      </c>
      <c r="P156" t="s">
        <v>2475</v>
      </c>
      <c r="Q156" t="s">
        <v>2856</v>
      </c>
      <c r="R156" t="s">
        <v>2798</v>
      </c>
      <c r="S156" t="s">
        <v>17</v>
      </c>
      <c r="U156" t="s">
        <v>2475</v>
      </c>
      <c r="V156" t="s">
        <v>2857</v>
      </c>
      <c r="W156" t="s">
        <v>2838</v>
      </c>
      <c r="X156" t="s">
        <v>19</v>
      </c>
    </row>
    <row r="157" spans="8:24" x14ac:dyDescent="0.45">
      <c r="H157" t="s">
        <v>2657</v>
      </c>
      <c r="I157" t="s">
        <v>13</v>
      </c>
      <c r="J157">
        <v>3.6173857371635663E-2</v>
      </c>
      <c r="K157" t="s">
        <v>14</v>
      </c>
      <c r="P157" t="s">
        <v>2475</v>
      </c>
      <c r="Q157" t="s">
        <v>2858</v>
      </c>
      <c r="R157" t="s">
        <v>2859</v>
      </c>
      <c r="S157" t="s">
        <v>17</v>
      </c>
      <c r="U157" t="s">
        <v>2475</v>
      </c>
      <c r="V157" t="s">
        <v>2857</v>
      </c>
      <c r="W157" t="s">
        <v>2500</v>
      </c>
      <c r="X157" t="s">
        <v>17</v>
      </c>
    </row>
    <row r="158" spans="8:24" x14ac:dyDescent="0.45">
      <c r="H158" t="s">
        <v>2657</v>
      </c>
      <c r="I158" t="s">
        <v>27</v>
      </c>
      <c r="J158">
        <v>3.6173857371635663E-2</v>
      </c>
      <c r="K158" t="s">
        <v>14</v>
      </c>
      <c r="P158" t="s">
        <v>2475</v>
      </c>
      <c r="Q158" t="s">
        <v>2860</v>
      </c>
      <c r="R158" t="s">
        <v>2861</v>
      </c>
      <c r="S158" t="s">
        <v>17</v>
      </c>
      <c r="U158" t="s">
        <v>2475</v>
      </c>
      <c r="V158" t="s">
        <v>2862</v>
      </c>
      <c r="W158" t="s">
        <v>2504</v>
      </c>
      <c r="X158" t="s">
        <v>19</v>
      </c>
    </row>
    <row r="159" spans="8:24" x14ac:dyDescent="0.45">
      <c r="H159" t="s">
        <v>2657</v>
      </c>
      <c r="I159" t="s">
        <v>36</v>
      </c>
      <c r="J159">
        <v>3.6173857371635663E-2</v>
      </c>
      <c r="K159" t="s">
        <v>14</v>
      </c>
      <c r="P159" t="s">
        <v>2475</v>
      </c>
      <c r="Q159" t="s">
        <v>2863</v>
      </c>
      <c r="R159" t="s">
        <v>2758</v>
      </c>
      <c r="S159" t="s">
        <v>17</v>
      </c>
      <c r="U159" t="s">
        <v>2475</v>
      </c>
      <c r="V159" t="s">
        <v>2864</v>
      </c>
      <c r="W159" t="s">
        <v>2504</v>
      </c>
      <c r="X159" t="s">
        <v>19</v>
      </c>
    </row>
    <row r="160" spans="8:24" x14ac:dyDescent="0.45">
      <c r="H160" t="s">
        <v>2660</v>
      </c>
      <c r="I160" t="s">
        <v>13</v>
      </c>
      <c r="J160">
        <v>4.2875382326183813E-2</v>
      </c>
      <c r="K160" t="s">
        <v>14</v>
      </c>
      <c r="P160" t="s">
        <v>2475</v>
      </c>
      <c r="Q160" t="s">
        <v>2865</v>
      </c>
      <c r="R160" t="s">
        <v>2866</v>
      </c>
      <c r="S160" t="s">
        <v>17</v>
      </c>
      <c r="U160" t="s">
        <v>2475</v>
      </c>
      <c r="V160" t="s">
        <v>2867</v>
      </c>
      <c r="W160" t="s">
        <v>2504</v>
      </c>
      <c r="X160" t="s">
        <v>19</v>
      </c>
    </row>
    <row r="161" spans="8:24" x14ac:dyDescent="0.45">
      <c r="H161" t="s">
        <v>2660</v>
      </c>
      <c r="I161" t="s">
        <v>27</v>
      </c>
      <c r="J161">
        <v>4.2875382326183813E-2</v>
      </c>
      <c r="K161" t="s">
        <v>14</v>
      </c>
      <c r="P161" t="s">
        <v>2475</v>
      </c>
      <c r="Q161" t="s">
        <v>2868</v>
      </c>
      <c r="R161" t="s">
        <v>2869</v>
      </c>
      <c r="S161" t="s">
        <v>17</v>
      </c>
      <c r="U161" t="s">
        <v>2475</v>
      </c>
      <c r="V161" t="s">
        <v>2870</v>
      </c>
      <c r="W161" t="s">
        <v>2504</v>
      </c>
      <c r="X161" t="s">
        <v>19</v>
      </c>
    </row>
    <row r="162" spans="8:24" x14ac:dyDescent="0.45">
      <c r="H162" t="s">
        <v>2660</v>
      </c>
      <c r="I162" t="s">
        <v>36</v>
      </c>
      <c r="J162">
        <v>4.2875382326183813E-2</v>
      </c>
      <c r="K162" t="s">
        <v>14</v>
      </c>
      <c r="P162" t="s">
        <v>2475</v>
      </c>
      <c r="Q162" t="s">
        <v>2871</v>
      </c>
      <c r="R162" t="s">
        <v>2872</v>
      </c>
      <c r="S162" t="s">
        <v>17</v>
      </c>
      <c r="U162" t="s">
        <v>2475</v>
      </c>
      <c r="V162" t="s">
        <v>2873</v>
      </c>
      <c r="W162" t="s">
        <v>2504</v>
      </c>
      <c r="X162" t="s">
        <v>19</v>
      </c>
    </row>
    <row r="163" spans="8:24" x14ac:dyDescent="0.45">
      <c r="H163" t="s">
        <v>2663</v>
      </c>
      <c r="I163" t="s">
        <v>13</v>
      </c>
      <c r="J163">
        <v>1.9277213622419086E-2</v>
      </c>
      <c r="K163" t="s">
        <v>14</v>
      </c>
      <c r="P163" t="s">
        <v>2475</v>
      </c>
      <c r="Q163" t="s">
        <v>2874</v>
      </c>
      <c r="R163" t="s">
        <v>2875</v>
      </c>
      <c r="S163" t="s">
        <v>17</v>
      </c>
      <c r="U163" t="s">
        <v>2475</v>
      </c>
      <c r="V163" t="s">
        <v>2876</v>
      </c>
      <c r="W163" t="s">
        <v>2504</v>
      </c>
      <c r="X163" t="s">
        <v>19</v>
      </c>
    </row>
    <row r="164" spans="8:24" x14ac:dyDescent="0.45">
      <c r="H164" t="s">
        <v>2663</v>
      </c>
      <c r="I164" t="s">
        <v>27</v>
      </c>
      <c r="J164">
        <v>1.9277213622419086E-2</v>
      </c>
      <c r="K164" t="s">
        <v>14</v>
      </c>
      <c r="P164" t="s">
        <v>2475</v>
      </c>
      <c r="Q164" t="s">
        <v>2877</v>
      </c>
      <c r="R164" t="s">
        <v>2838</v>
      </c>
      <c r="S164" t="s">
        <v>17</v>
      </c>
      <c r="U164" t="s">
        <v>2475</v>
      </c>
      <c r="V164" t="s">
        <v>2878</v>
      </c>
      <c r="W164" t="s">
        <v>2504</v>
      </c>
      <c r="X164" t="s">
        <v>19</v>
      </c>
    </row>
    <row r="165" spans="8:24" x14ac:dyDescent="0.45">
      <c r="H165" t="s">
        <v>2663</v>
      </c>
      <c r="I165" t="s">
        <v>36</v>
      </c>
      <c r="J165">
        <v>1.9277213622419086E-2</v>
      </c>
      <c r="K165" t="s">
        <v>14</v>
      </c>
      <c r="P165" t="s">
        <v>2475</v>
      </c>
      <c r="Q165" t="s">
        <v>2879</v>
      </c>
      <c r="R165" t="s">
        <v>2880</v>
      </c>
      <c r="S165" t="s">
        <v>17</v>
      </c>
      <c r="U165" t="s">
        <v>2475</v>
      </c>
      <c r="V165" t="s">
        <v>2881</v>
      </c>
      <c r="W165" t="s">
        <v>2504</v>
      </c>
      <c r="X165" t="s">
        <v>19</v>
      </c>
    </row>
    <row r="166" spans="8:24" x14ac:dyDescent="0.45">
      <c r="H166" t="s">
        <v>2666</v>
      </c>
      <c r="I166" t="s">
        <v>13</v>
      </c>
      <c r="J166">
        <v>2.2354980028807342E-2</v>
      </c>
      <c r="K166" t="s">
        <v>14</v>
      </c>
      <c r="P166" t="s">
        <v>2475</v>
      </c>
      <c r="Q166" t="s">
        <v>2882</v>
      </c>
      <c r="R166" t="s">
        <v>2883</v>
      </c>
      <c r="S166" t="s">
        <v>17</v>
      </c>
      <c r="U166" t="s">
        <v>2475</v>
      </c>
      <c r="V166" t="s">
        <v>2884</v>
      </c>
      <c r="W166" t="s">
        <v>2504</v>
      </c>
      <c r="X166" t="s">
        <v>19</v>
      </c>
    </row>
    <row r="167" spans="8:24" x14ac:dyDescent="0.45">
      <c r="H167" t="s">
        <v>2666</v>
      </c>
      <c r="I167" t="s">
        <v>27</v>
      </c>
      <c r="J167">
        <v>2.2354980028807342E-2</v>
      </c>
      <c r="K167" t="s">
        <v>14</v>
      </c>
      <c r="P167" t="s">
        <v>2475</v>
      </c>
      <c r="Q167" t="s">
        <v>2885</v>
      </c>
      <c r="R167" t="s">
        <v>2886</v>
      </c>
      <c r="S167" t="s">
        <v>17</v>
      </c>
      <c r="U167" t="s">
        <v>2475</v>
      </c>
      <c r="V167" t="s">
        <v>2887</v>
      </c>
      <c r="W167" t="s">
        <v>2504</v>
      </c>
      <c r="X167" t="s">
        <v>19</v>
      </c>
    </row>
    <row r="168" spans="8:24" x14ac:dyDescent="0.45">
      <c r="H168" t="s">
        <v>2666</v>
      </c>
      <c r="I168" t="s">
        <v>36</v>
      </c>
      <c r="J168">
        <v>2.2354980028807342E-2</v>
      </c>
      <c r="K168" t="s">
        <v>14</v>
      </c>
      <c r="P168" t="s">
        <v>2475</v>
      </c>
      <c r="Q168" t="s">
        <v>2888</v>
      </c>
      <c r="R168" t="s">
        <v>2889</v>
      </c>
      <c r="S168" t="s">
        <v>17</v>
      </c>
      <c r="U168" t="s">
        <v>2475</v>
      </c>
      <c r="V168" t="s">
        <v>2890</v>
      </c>
      <c r="W168" t="s">
        <v>2504</v>
      </c>
      <c r="X168" t="s">
        <v>19</v>
      </c>
    </row>
    <row r="169" spans="8:24" x14ac:dyDescent="0.45">
      <c r="H169" t="s">
        <v>2669</v>
      </c>
      <c r="I169" t="s">
        <v>13</v>
      </c>
      <c r="J169">
        <v>5.4570135443861795E-3</v>
      </c>
      <c r="K169" t="s">
        <v>14</v>
      </c>
      <c r="P169" t="s">
        <v>2475</v>
      </c>
      <c r="Q169" t="s">
        <v>2891</v>
      </c>
      <c r="R169" t="s">
        <v>2892</v>
      </c>
      <c r="S169" t="s">
        <v>17</v>
      </c>
      <c r="U169" t="s">
        <v>2475</v>
      </c>
      <c r="V169" t="s">
        <v>2890</v>
      </c>
      <c r="W169" t="s">
        <v>2861</v>
      </c>
      <c r="X169" t="s">
        <v>19</v>
      </c>
    </row>
    <row r="170" spans="8:24" x14ac:dyDescent="0.45">
      <c r="H170" t="s">
        <v>2669</v>
      </c>
      <c r="I170" t="s">
        <v>27</v>
      </c>
      <c r="J170">
        <v>5.4570135443861795E-3</v>
      </c>
      <c r="K170" t="s">
        <v>14</v>
      </c>
      <c r="P170" t="s">
        <v>2475</v>
      </c>
      <c r="Q170" t="s">
        <v>2893</v>
      </c>
      <c r="R170" t="s">
        <v>2894</v>
      </c>
      <c r="S170" t="s">
        <v>17</v>
      </c>
      <c r="U170" t="s">
        <v>2475</v>
      </c>
      <c r="V170" t="s">
        <v>2895</v>
      </c>
      <c r="W170" t="s">
        <v>2504</v>
      </c>
      <c r="X170" t="s">
        <v>19</v>
      </c>
    </row>
    <row r="171" spans="8:24" x14ac:dyDescent="0.45">
      <c r="H171" t="s">
        <v>2669</v>
      </c>
      <c r="I171" t="s">
        <v>36</v>
      </c>
      <c r="J171">
        <v>5.4570135443861795E-3</v>
      </c>
      <c r="K171" t="s">
        <v>14</v>
      </c>
      <c r="P171" t="s">
        <v>2475</v>
      </c>
      <c r="Q171" t="s">
        <v>2896</v>
      </c>
      <c r="R171" t="s">
        <v>2605</v>
      </c>
      <c r="S171" t="s">
        <v>17</v>
      </c>
      <c r="U171" t="s">
        <v>2475</v>
      </c>
      <c r="V171" t="s">
        <v>2895</v>
      </c>
      <c r="W171" t="s">
        <v>2861</v>
      </c>
      <c r="X171" t="s">
        <v>19</v>
      </c>
    </row>
    <row r="172" spans="8:24" x14ac:dyDescent="0.45">
      <c r="H172" t="s">
        <v>2672</v>
      </c>
      <c r="I172" t="s">
        <v>13</v>
      </c>
      <c r="J172">
        <v>1.898480217465902E-3</v>
      </c>
      <c r="K172" t="s">
        <v>14</v>
      </c>
      <c r="P172" t="s">
        <v>2475</v>
      </c>
      <c r="Q172" t="s">
        <v>2897</v>
      </c>
      <c r="R172" t="s">
        <v>2898</v>
      </c>
      <c r="S172" t="s">
        <v>17</v>
      </c>
      <c r="U172" t="s">
        <v>2475</v>
      </c>
      <c r="V172" t="s">
        <v>2899</v>
      </c>
      <c r="W172" t="s">
        <v>2504</v>
      </c>
      <c r="X172" t="s">
        <v>19</v>
      </c>
    </row>
    <row r="173" spans="8:24" x14ac:dyDescent="0.45">
      <c r="H173" t="s">
        <v>2672</v>
      </c>
      <c r="I173" t="s">
        <v>27</v>
      </c>
      <c r="J173">
        <v>1.898480217465902E-3</v>
      </c>
      <c r="K173" t="s">
        <v>14</v>
      </c>
      <c r="P173" t="s">
        <v>2475</v>
      </c>
      <c r="Q173" t="s">
        <v>2900</v>
      </c>
      <c r="R173" t="s">
        <v>2901</v>
      </c>
      <c r="S173" t="s">
        <v>17</v>
      </c>
      <c r="U173" t="s">
        <v>2475</v>
      </c>
      <c r="V173" t="s">
        <v>2899</v>
      </c>
      <c r="W173" t="s">
        <v>2861</v>
      </c>
      <c r="X173" t="s">
        <v>19</v>
      </c>
    </row>
    <row r="174" spans="8:24" x14ac:dyDescent="0.45">
      <c r="H174" t="s">
        <v>2672</v>
      </c>
      <c r="I174" t="s">
        <v>36</v>
      </c>
      <c r="J174">
        <v>1.898480217465902E-3</v>
      </c>
      <c r="K174" t="s">
        <v>14</v>
      </c>
      <c r="P174" t="s">
        <v>2475</v>
      </c>
      <c r="Q174" t="s">
        <v>2902</v>
      </c>
      <c r="R174" t="s">
        <v>2670</v>
      </c>
      <c r="S174" t="s">
        <v>17</v>
      </c>
      <c r="U174" t="s">
        <v>2475</v>
      </c>
      <c r="V174" t="s">
        <v>2903</v>
      </c>
      <c r="W174" t="s">
        <v>2861</v>
      </c>
      <c r="X174" t="s">
        <v>19</v>
      </c>
    </row>
    <row r="175" spans="8:24" x14ac:dyDescent="0.45">
      <c r="H175" t="s">
        <v>2675</v>
      </c>
      <c r="I175" t="s">
        <v>13</v>
      </c>
      <c r="J175">
        <v>1.8961967064637518E-3</v>
      </c>
      <c r="K175" t="s">
        <v>14</v>
      </c>
      <c r="P175" t="s">
        <v>2475</v>
      </c>
      <c r="Q175" t="s">
        <v>2904</v>
      </c>
      <c r="R175" t="s">
        <v>2905</v>
      </c>
      <c r="S175" t="s">
        <v>17</v>
      </c>
      <c r="U175" t="s">
        <v>2475</v>
      </c>
      <c r="V175" t="s">
        <v>2906</v>
      </c>
      <c r="W175" t="s">
        <v>2861</v>
      </c>
      <c r="X175" t="s">
        <v>19</v>
      </c>
    </row>
    <row r="176" spans="8:24" x14ac:dyDescent="0.45">
      <c r="H176" t="s">
        <v>2675</v>
      </c>
      <c r="I176" t="s">
        <v>27</v>
      </c>
      <c r="J176">
        <v>1.8961967064637518E-3</v>
      </c>
      <c r="K176" t="s">
        <v>14</v>
      </c>
      <c r="P176" t="s">
        <v>2475</v>
      </c>
      <c r="Q176" t="s">
        <v>2907</v>
      </c>
      <c r="R176" t="s">
        <v>2908</v>
      </c>
      <c r="S176" t="s">
        <v>17</v>
      </c>
      <c r="U176" t="s">
        <v>2475</v>
      </c>
      <c r="V176" t="s">
        <v>2909</v>
      </c>
      <c r="W176" t="s">
        <v>2861</v>
      </c>
      <c r="X176" t="s">
        <v>19</v>
      </c>
    </row>
    <row r="177" spans="8:24" x14ac:dyDescent="0.45">
      <c r="H177" t="s">
        <v>2675</v>
      </c>
      <c r="I177" t="s">
        <v>36</v>
      </c>
      <c r="J177">
        <v>1.8961967064637518E-3</v>
      </c>
      <c r="K177" t="s">
        <v>14</v>
      </c>
      <c r="P177" t="s">
        <v>2475</v>
      </c>
      <c r="Q177" t="s">
        <v>2910</v>
      </c>
      <c r="R177" t="s">
        <v>2911</v>
      </c>
      <c r="S177" t="s">
        <v>17</v>
      </c>
      <c r="U177" t="s">
        <v>2475</v>
      </c>
      <c r="V177" t="s">
        <v>2909</v>
      </c>
      <c r="W177" t="s">
        <v>2504</v>
      </c>
      <c r="X177" t="s">
        <v>17</v>
      </c>
    </row>
    <row r="178" spans="8:24" x14ac:dyDescent="0.45">
      <c r="H178" t="s">
        <v>2677</v>
      </c>
      <c r="I178" t="s">
        <v>13</v>
      </c>
      <c r="J178">
        <v>4.885758027362506E-3</v>
      </c>
      <c r="K178" t="s">
        <v>14</v>
      </c>
      <c r="P178" t="s">
        <v>2475</v>
      </c>
      <c r="Q178" t="s">
        <v>2912</v>
      </c>
      <c r="R178" t="s">
        <v>2913</v>
      </c>
      <c r="S178" t="s">
        <v>17</v>
      </c>
      <c r="U178" t="s">
        <v>2475</v>
      </c>
      <c r="V178" t="s">
        <v>2914</v>
      </c>
      <c r="W178" t="s">
        <v>2861</v>
      </c>
      <c r="X178" t="s">
        <v>19</v>
      </c>
    </row>
    <row r="179" spans="8:24" x14ac:dyDescent="0.45">
      <c r="H179" t="s">
        <v>2677</v>
      </c>
      <c r="I179" t="s">
        <v>27</v>
      </c>
      <c r="J179">
        <v>4.885758027362506E-3</v>
      </c>
      <c r="K179" t="s">
        <v>14</v>
      </c>
      <c r="P179" t="s">
        <v>2475</v>
      </c>
      <c r="Q179" t="s">
        <v>2915</v>
      </c>
      <c r="R179" t="s">
        <v>2916</v>
      </c>
      <c r="S179" t="s">
        <v>17</v>
      </c>
      <c r="U179" t="s">
        <v>2475</v>
      </c>
      <c r="V179" t="s">
        <v>2914</v>
      </c>
      <c r="W179" t="s">
        <v>2504</v>
      </c>
      <c r="X179" t="s">
        <v>17</v>
      </c>
    </row>
    <row r="180" spans="8:24" x14ac:dyDescent="0.45">
      <c r="H180" t="s">
        <v>2677</v>
      </c>
      <c r="I180" t="s">
        <v>36</v>
      </c>
      <c r="J180">
        <v>4.885758027362506E-3</v>
      </c>
      <c r="K180" t="s">
        <v>14</v>
      </c>
      <c r="U180" t="s">
        <v>2475</v>
      </c>
      <c r="V180" t="s">
        <v>2917</v>
      </c>
      <c r="W180" t="s">
        <v>2508</v>
      </c>
      <c r="X180" t="s">
        <v>19</v>
      </c>
    </row>
    <row r="181" spans="8:24" x14ac:dyDescent="0.45">
      <c r="H181" t="s">
        <v>2680</v>
      </c>
      <c r="I181" t="s">
        <v>13</v>
      </c>
      <c r="J181">
        <v>1.961463915507369E-2</v>
      </c>
      <c r="K181" t="s">
        <v>14</v>
      </c>
      <c r="U181" t="s">
        <v>2475</v>
      </c>
      <c r="V181" t="s">
        <v>2918</v>
      </c>
      <c r="W181" t="s">
        <v>2508</v>
      </c>
      <c r="X181" t="s">
        <v>19</v>
      </c>
    </row>
    <row r="182" spans="8:24" x14ac:dyDescent="0.45">
      <c r="H182" t="s">
        <v>2680</v>
      </c>
      <c r="I182" t="s">
        <v>27</v>
      </c>
      <c r="J182">
        <v>1.961463915507369E-2</v>
      </c>
      <c r="K182" t="s">
        <v>14</v>
      </c>
      <c r="U182" t="s">
        <v>2475</v>
      </c>
      <c r="V182" t="s">
        <v>2919</v>
      </c>
      <c r="W182" t="s">
        <v>2508</v>
      </c>
      <c r="X182" t="s">
        <v>19</v>
      </c>
    </row>
    <row r="183" spans="8:24" x14ac:dyDescent="0.45">
      <c r="H183" t="s">
        <v>2680</v>
      </c>
      <c r="I183" t="s">
        <v>36</v>
      </c>
      <c r="J183">
        <v>1.961463915507369E-2</v>
      </c>
      <c r="K183" t="s">
        <v>14</v>
      </c>
      <c r="U183" t="s">
        <v>2475</v>
      </c>
      <c r="V183" t="s">
        <v>2920</v>
      </c>
      <c r="W183" t="s">
        <v>2508</v>
      </c>
      <c r="X183" t="s">
        <v>19</v>
      </c>
    </row>
    <row r="184" spans="8:24" x14ac:dyDescent="0.45">
      <c r="H184" t="s">
        <v>2682</v>
      </c>
      <c r="I184" t="s">
        <v>13</v>
      </c>
      <c r="J184">
        <v>1.0994378439506392E-2</v>
      </c>
      <c r="K184" t="s">
        <v>14</v>
      </c>
      <c r="U184" t="s">
        <v>2475</v>
      </c>
      <c r="V184" t="s">
        <v>2921</v>
      </c>
      <c r="W184" t="s">
        <v>2508</v>
      </c>
      <c r="X184" t="s">
        <v>19</v>
      </c>
    </row>
    <row r="185" spans="8:24" x14ac:dyDescent="0.45">
      <c r="H185" t="s">
        <v>2682</v>
      </c>
      <c r="I185" t="s">
        <v>27</v>
      </c>
      <c r="J185">
        <v>1.0994378439506392E-2</v>
      </c>
      <c r="K185" t="s">
        <v>14</v>
      </c>
      <c r="U185" t="s">
        <v>2475</v>
      </c>
      <c r="V185" t="s">
        <v>2922</v>
      </c>
      <c r="W185" t="s">
        <v>2508</v>
      </c>
      <c r="X185" t="s">
        <v>19</v>
      </c>
    </row>
    <row r="186" spans="8:24" x14ac:dyDescent="0.45">
      <c r="H186" t="s">
        <v>2682</v>
      </c>
      <c r="I186" t="s">
        <v>36</v>
      </c>
      <c r="J186">
        <v>1.0994378439506392E-2</v>
      </c>
      <c r="K186" t="s">
        <v>14</v>
      </c>
      <c r="U186" t="s">
        <v>2475</v>
      </c>
      <c r="V186" t="s">
        <v>2923</v>
      </c>
      <c r="W186" t="s">
        <v>2508</v>
      </c>
      <c r="X186" t="s">
        <v>19</v>
      </c>
    </row>
    <row r="187" spans="8:24" x14ac:dyDescent="0.45">
      <c r="H187" t="s">
        <v>2685</v>
      </c>
      <c r="I187" t="s">
        <v>13</v>
      </c>
      <c r="J187">
        <v>3.6787079072879941E-3</v>
      </c>
      <c r="K187" t="s">
        <v>14</v>
      </c>
      <c r="U187" t="s">
        <v>2475</v>
      </c>
      <c r="V187" t="s">
        <v>2924</v>
      </c>
      <c r="W187" t="s">
        <v>2508</v>
      </c>
      <c r="X187" t="s">
        <v>19</v>
      </c>
    </row>
    <row r="188" spans="8:24" x14ac:dyDescent="0.45">
      <c r="H188" t="s">
        <v>2685</v>
      </c>
      <c r="I188" t="s">
        <v>27</v>
      </c>
      <c r="J188">
        <v>3.6787079072879941E-3</v>
      </c>
      <c r="K188" t="s">
        <v>14</v>
      </c>
      <c r="U188" t="s">
        <v>2475</v>
      </c>
      <c r="V188" t="s">
        <v>2925</v>
      </c>
      <c r="W188" t="s">
        <v>2508</v>
      </c>
      <c r="X188" t="s">
        <v>19</v>
      </c>
    </row>
    <row r="189" spans="8:24" x14ac:dyDescent="0.45">
      <c r="H189" t="s">
        <v>2685</v>
      </c>
      <c r="I189" t="s">
        <v>36</v>
      </c>
      <c r="J189">
        <v>3.6787079072879941E-3</v>
      </c>
      <c r="K189" t="s">
        <v>14</v>
      </c>
      <c r="U189" t="s">
        <v>2475</v>
      </c>
      <c r="V189" t="s">
        <v>2926</v>
      </c>
      <c r="W189" t="s">
        <v>2508</v>
      </c>
      <c r="X189" t="s">
        <v>19</v>
      </c>
    </row>
    <row r="190" spans="8:24" x14ac:dyDescent="0.45">
      <c r="H190" t="s">
        <v>2688</v>
      </c>
      <c r="I190" t="s">
        <v>13</v>
      </c>
      <c r="J190">
        <v>5.831493968307757E-2</v>
      </c>
      <c r="K190" t="s">
        <v>14</v>
      </c>
      <c r="U190" t="s">
        <v>2475</v>
      </c>
      <c r="V190" t="s">
        <v>2927</v>
      </c>
      <c r="W190" t="s">
        <v>2508</v>
      </c>
      <c r="X190" t="s">
        <v>19</v>
      </c>
    </row>
    <row r="191" spans="8:24" x14ac:dyDescent="0.45">
      <c r="H191" t="s">
        <v>2688</v>
      </c>
      <c r="I191" t="s">
        <v>27</v>
      </c>
      <c r="J191">
        <v>5.831493968307757E-2</v>
      </c>
      <c r="K191" t="s">
        <v>14</v>
      </c>
      <c r="U191" t="s">
        <v>2475</v>
      </c>
      <c r="V191" t="s">
        <v>2927</v>
      </c>
      <c r="W191" t="s">
        <v>2852</v>
      </c>
      <c r="X191" t="s">
        <v>19</v>
      </c>
    </row>
    <row r="192" spans="8:24" x14ac:dyDescent="0.45">
      <c r="H192" t="s">
        <v>2688</v>
      </c>
      <c r="I192" t="s">
        <v>36</v>
      </c>
      <c r="J192">
        <v>5.831493968307757E-2</v>
      </c>
      <c r="K192" t="s">
        <v>14</v>
      </c>
      <c r="U192" t="s">
        <v>2475</v>
      </c>
      <c r="V192" t="s">
        <v>2928</v>
      </c>
      <c r="W192" t="s">
        <v>2508</v>
      </c>
      <c r="X192" t="s">
        <v>19</v>
      </c>
    </row>
    <row r="193" spans="8:24" x14ac:dyDescent="0.45">
      <c r="H193" t="s">
        <v>2691</v>
      </c>
      <c r="I193" t="s">
        <v>13</v>
      </c>
      <c r="J193">
        <v>6.0347883451007077E-2</v>
      </c>
      <c r="K193" t="s">
        <v>14</v>
      </c>
      <c r="U193" t="s">
        <v>2475</v>
      </c>
      <c r="V193" t="s">
        <v>2928</v>
      </c>
      <c r="W193" t="s">
        <v>2852</v>
      </c>
      <c r="X193" t="s">
        <v>19</v>
      </c>
    </row>
    <row r="194" spans="8:24" x14ac:dyDescent="0.45">
      <c r="H194" t="s">
        <v>2691</v>
      </c>
      <c r="I194" t="s">
        <v>27</v>
      </c>
      <c r="J194">
        <v>6.0347883451007077E-2</v>
      </c>
      <c r="K194" t="s">
        <v>14</v>
      </c>
      <c r="U194" t="s">
        <v>2475</v>
      </c>
      <c r="V194" t="s">
        <v>2929</v>
      </c>
      <c r="W194" t="s">
        <v>2508</v>
      </c>
      <c r="X194" t="s">
        <v>19</v>
      </c>
    </row>
    <row r="195" spans="8:24" x14ac:dyDescent="0.45">
      <c r="H195" t="s">
        <v>2691</v>
      </c>
      <c r="I195" t="s">
        <v>36</v>
      </c>
      <c r="J195">
        <v>6.0347883451007077E-2</v>
      </c>
      <c r="K195" t="s">
        <v>14</v>
      </c>
      <c r="U195" t="s">
        <v>2475</v>
      </c>
      <c r="V195" t="s">
        <v>2929</v>
      </c>
      <c r="W195" t="s">
        <v>2852</v>
      </c>
      <c r="X195" t="s">
        <v>19</v>
      </c>
    </row>
    <row r="196" spans="8:24" x14ac:dyDescent="0.45">
      <c r="H196" t="s">
        <v>2692</v>
      </c>
      <c r="I196" t="s">
        <v>13</v>
      </c>
      <c r="J196">
        <v>1.4191770967575684E-2</v>
      </c>
      <c r="K196" t="s">
        <v>14</v>
      </c>
      <c r="U196" t="s">
        <v>2475</v>
      </c>
      <c r="V196" t="s">
        <v>2930</v>
      </c>
      <c r="W196" t="s">
        <v>2852</v>
      </c>
      <c r="X196" t="s">
        <v>19</v>
      </c>
    </row>
    <row r="197" spans="8:24" x14ac:dyDescent="0.45">
      <c r="H197" t="s">
        <v>2692</v>
      </c>
      <c r="I197" t="s">
        <v>27</v>
      </c>
      <c r="J197">
        <v>1.4191770967575684E-2</v>
      </c>
      <c r="K197" t="s">
        <v>14</v>
      </c>
      <c r="U197" t="s">
        <v>2475</v>
      </c>
      <c r="V197" t="s">
        <v>2931</v>
      </c>
      <c r="W197" t="s">
        <v>2852</v>
      </c>
      <c r="X197" t="s">
        <v>19</v>
      </c>
    </row>
    <row r="198" spans="8:24" x14ac:dyDescent="0.45">
      <c r="H198" t="s">
        <v>2692</v>
      </c>
      <c r="I198" t="s">
        <v>36</v>
      </c>
      <c r="J198">
        <v>1.4191770967575684E-2</v>
      </c>
      <c r="K198" t="s">
        <v>14</v>
      </c>
      <c r="U198" t="s">
        <v>2475</v>
      </c>
      <c r="V198" t="s">
        <v>2932</v>
      </c>
      <c r="W198" t="s">
        <v>2852</v>
      </c>
      <c r="X198" t="s">
        <v>19</v>
      </c>
    </row>
    <row r="199" spans="8:24" x14ac:dyDescent="0.45">
      <c r="H199" t="s">
        <v>2694</v>
      </c>
      <c r="I199" t="s">
        <v>13</v>
      </c>
      <c r="J199">
        <v>4.8135533502421963E-3</v>
      </c>
      <c r="K199" t="s">
        <v>14</v>
      </c>
      <c r="U199" t="s">
        <v>2475</v>
      </c>
      <c r="V199" t="s">
        <v>2932</v>
      </c>
      <c r="W199" t="s">
        <v>2508</v>
      </c>
      <c r="X199" t="s">
        <v>17</v>
      </c>
    </row>
    <row r="200" spans="8:24" x14ac:dyDescent="0.45">
      <c r="H200" t="s">
        <v>2694</v>
      </c>
      <c r="I200" t="s">
        <v>27</v>
      </c>
      <c r="J200">
        <v>4.8135533502421963E-3</v>
      </c>
      <c r="K200" t="s">
        <v>14</v>
      </c>
      <c r="U200" t="s">
        <v>2475</v>
      </c>
      <c r="V200" t="s">
        <v>2933</v>
      </c>
      <c r="W200" t="s">
        <v>2852</v>
      </c>
      <c r="X200" t="s">
        <v>19</v>
      </c>
    </row>
    <row r="201" spans="8:24" x14ac:dyDescent="0.45">
      <c r="H201" t="s">
        <v>2694</v>
      </c>
      <c r="I201" t="s">
        <v>36</v>
      </c>
      <c r="J201">
        <v>4.8135533502421963E-3</v>
      </c>
      <c r="K201" t="s">
        <v>14</v>
      </c>
      <c r="U201" t="s">
        <v>2475</v>
      </c>
      <c r="V201" t="s">
        <v>2933</v>
      </c>
      <c r="W201" t="s">
        <v>2508</v>
      </c>
      <c r="X201" t="s">
        <v>17</v>
      </c>
    </row>
    <row r="202" spans="8:24" x14ac:dyDescent="0.45">
      <c r="H202" t="s">
        <v>2695</v>
      </c>
      <c r="I202" t="s">
        <v>13</v>
      </c>
      <c r="J202">
        <v>4.8199412850502051E-3</v>
      </c>
      <c r="K202" t="s">
        <v>14</v>
      </c>
      <c r="U202" t="s">
        <v>2475</v>
      </c>
      <c r="V202" t="s">
        <v>2934</v>
      </c>
      <c r="W202" t="s">
        <v>2512</v>
      </c>
      <c r="X202" t="s">
        <v>19</v>
      </c>
    </row>
    <row r="203" spans="8:24" x14ac:dyDescent="0.45">
      <c r="H203" t="s">
        <v>2695</v>
      </c>
      <c r="I203" t="s">
        <v>27</v>
      </c>
      <c r="J203">
        <v>4.8199412850502051E-3</v>
      </c>
      <c r="K203" t="s">
        <v>14</v>
      </c>
      <c r="U203" t="s">
        <v>2475</v>
      </c>
      <c r="V203" t="s">
        <v>2935</v>
      </c>
      <c r="W203" t="s">
        <v>2512</v>
      </c>
      <c r="X203" t="s">
        <v>19</v>
      </c>
    </row>
    <row r="204" spans="8:24" x14ac:dyDescent="0.45">
      <c r="H204" t="s">
        <v>2695</v>
      </c>
      <c r="I204" t="s">
        <v>36</v>
      </c>
      <c r="J204">
        <v>4.8199412850502051E-3</v>
      </c>
      <c r="K204" t="s">
        <v>14</v>
      </c>
      <c r="U204" t="s">
        <v>2475</v>
      </c>
      <c r="V204" t="s">
        <v>2936</v>
      </c>
      <c r="W204" t="s">
        <v>2512</v>
      </c>
      <c r="X204" t="s">
        <v>19</v>
      </c>
    </row>
    <row r="205" spans="8:24" x14ac:dyDescent="0.45">
      <c r="H205" t="s">
        <v>2697</v>
      </c>
      <c r="I205" t="s">
        <v>13</v>
      </c>
      <c r="J205">
        <v>2.1475032660077361E-3</v>
      </c>
      <c r="K205" t="s">
        <v>14</v>
      </c>
      <c r="U205" t="s">
        <v>2475</v>
      </c>
      <c r="V205" t="s">
        <v>2937</v>
      </c>
      <c r="W205" t="s">
        <v>2512</v>
      </c>
      <c r="X205" t="s">
        <v>19</v>
      </c>
    </row>
    <row r="206" spans="8:24" x14ac:dyDescent="0.45">
      <c r="H206" t="s">
        <v>2697</v>
      </c>
      <c r="I206" t="s">
        <v>27</v>
      </c>
      <c r="J206">
        <v>2.1475032660077361E-3</v>
      </c>
      <c r="K206" t="s">
        <v>14</v>
      </c>
      <c r="U206" t="s">
        <v>2475</v>
      </c>
      <c r="V206" t="s">
        <v>2938</v>
      </c>
      <c r="W206" t="s">
        <v>2512</v>
      </c>
      <c r="X206" t="s">
        <v>19</v>
      </c>
    </row>
    <row r="207" spans="8:24" x14ac:dyDescent="0.45">
      <c r="H207" t="s">
        <v>2697</v>
      </c>
      <c r="I207" t="s">
        <v>36</v>
      </c>
      <c r="J207">
        <v>2.1475032660077361E-3</v>
      </c>
      <c r="K207" t="s">
        <v>14</v>
      </c>
      <c r="U207" t="s">
        <v>2475</v>
      </c>
      <c r="V207" t="s">
        <v>2939</v>
      </c>
      <c r="W207" t="s">
        <v>2512</v>
      </c>
      <c r="X207" t="s">
        <v>19</v>
      </c>
    </row>
    <row r="208" spans="8:24" x14ac:dyDescent="0.45">
      <c r="H208" t="s">
        <v>2699</v>
      </c>
      <c r="I208" t="s">
        <v>13</v>
      </c>
      <c r="J208">
        <v>2.1444962370996356E-3</v>
      </c>
      <c r="K208" t="s">
        <v>14</v>
      </c>
      <c r="U208" t="s">
        <v>2475</v>
      </c>
      <c r="V208" t="s">
        <v>2940</v>
      </c>
      <c r="W208" t="s">
        <v>2512</v>
      </c>
      <c r="X208" t="s">
        <v>19</v>
      </c>
    </row>
    <row r="209" spans="8:24" x14ac:dyDescent="0.45">
      <c r="H209" t="s">
        <v>2699</v>
      </c>
      <c r="I209" t="s">
        <v>27</v>
      </c>
      <c r="J209">
        <v>2.1444962370996356E-3</v>
      </c>
      <c r="K209" t="s">
        <v>14</v>
      </c>
      <c r="U209" t="s">
        <v>2475</v>
      </c>
      <c r="V209" t="s">
        <v>2941</v>
      </c>
      <c r="W209" t="s">
        <v>2512</v>
      </c>
      <c r="X209" t="s">
        <v>19</v>
      </c>
    </row>
    <row r="210" spans="8:24" x14ac:dyDescent="0.45">
      <c r="H210" t="s">
        <v>2699</v>
      </c>
      <c r="I210" t="s">
        <v>36</v>
      </c>
      <c r="J210">
        <v>2.1444962370996356E-3</v>
      </c>
      <c r="K210" t="s">
        <v>14</v>
      </c>
      <c r="U210" t="s">
        <v>2475</v>
      </c>
      <c r="V210" t="s">
        <v>2942</v>
      </c>
      <c r="W210" t="s">
        <v>2512</v>
      </c>
      <c r="X210" t="s">
        <v>19</v>
      </c>
    </row>
    <row r="211" spans="8:24" x14ac:dyDescent="0.45">
      <c r="H211" t="s">
        <v>2701</v>
      </c>
      <c r="I211" t="s">
        <v>13</v>
      </c>
      <c r="J211">
        <v>3.8487864018426059E-3</v>
      </c>
      <c r="K211" t="s">
        <v>14</v>
      </c>
      <c r="U211" t="s">
        <v>2475</v>
      </c>
      <c r="V211" t="s">
        <v>2943</v>
      </c>
      <c r="W211" t="s">
        <v>2512</v>
      </c>
      <c r="X211" t="s">
        <v>19</v>
      </c>
    </row>
    <row r="212" spans="8:24" x14ac:dyDescent="0.45">
      <c r="H212" t="s">
        <v>2701</v>
      </c>
      <c r="I212" t="s">
        <v>27</v>
      </c>
      <c r="J212">
        <v>3.8487864018426059E-3</v>
      </c>
      <c r="K212" t="s">
        <v>14</v>
      </c>
      <c r="U212" t="s">
        <v>2475</v>
      </c>
      <c r="V212" t="s">
        <v>2944</v>
      </c>
      <c r="W212" t="s">
        <v>2512</v>
      </c>
      <c r="X212" t="s">
        <v>19</v>
      </c>
    </row>
    <row r="213" spans="8:24" x14ac:dyDescent="0.45">
      <c r="H213" t="s">
        <v>2701</v>
      </c>
      <c r="I213" t="s">
        <v>36</v>
      </c>
      <c r="J213">
        <v>3.8487864018426059E-3</v>
      </c>
      <c r="K213" t="s">
        <v>14</v>
      </c>
      <c r="U213" t="s">
        <v>2475</v>
      </c>
      <c r="V213" t="s">
        <v>2944</v>
      </c>
      <c r="W213" t="s">
        <v>2872</v>
      </c>
      <c r="X213" t="s">
        <v>19</v>
      </c>
    </row>
    <row r="214" spans="8:24" x14ac:dyDescent="0.45">
      <c r="H214" t="s">
        <v>2703</v>
      </c>
      <c r="I214" t="s">
        <v>13</v>
      </c>
      <c r="J214">
        <v>8.8990626483438119E-3</v>
      </c>
      <c r="K214" t="s">
        <v>14</v>
      </c>
      <c r="U214" t="s">
        <v>2475</v>
      </c>
      <c r="V214" t="s">
        <v>2945</v>
      </c>
      <c r="W214" t="s">
        <v>2512</v>
      </c>
      <c r="X214" t="s">
        <v>19</v>
      </c>
    </row>
    <row r="215" spans="8:24" x14ac:dyDescent="0.45">
      <c r="H215" t="s">
        <v>2703</v>
      </c>
      <c r="I215" t="s">
        <v>27</v>
      </c>
      <c r="J215">
        <v>8.8990626483438119E-3</v>
      </c>
      <c r="K215" t="s">
        <v>14</v>
      </c>
      <c r="U215" t="s">
        <v>2475</v>
      </c>
      <c r="V215" t="s">
        <v>2945</v>
      </c>
      <c r="W215" t="s">
        <v>2872</v>
      </c>
      <c r="X215" t="s">
        <v>19</v>
      </c>
    </row>
    <row r="216" spans="8:24" x14ac:dyDescent="0.45">
      <c r="H216" t="s">
        <v>2703</v>
      </c>
      <c r="I216" t="s">
        <v>36</v>
      </c>
      <c r="J216">
        <v>8.8990626483438119E-3</v>
      </c>
      <c r="K216" t="s">
        <v>14</v>
      </c>
      <c r="U216" t="s">
        <v>2475</v>
      </c>
      <c r="V216" t="s">
        <v>2946</v>
      </c>
      <c r="W216" t="s">
        <v>2512</v>
      </c>
      <c r="X216" t="s">
        <v>19</v>
      </c>
    </row>
    <row r="217" spans="8:24" x14ac:dyDescent="0.45">
      <c r="H217" t="s">
        <v>2705</v>
      </c>
      <c r="I217" t="s">
        <v>13</v>
      </c>
      <c r="J217">
        <v>4.3248616929961362E-2</v>
      </c>
      <c r="K217" t="s">
        <v>14</v>
      </c>
      <c r="U217" t="s">
        <v>2475</v>
      </c>
      <c r="V217" t="s">
        <v>2946</v>
      </c>
      <c r="W217" t="s">
        <v>2872</v>
      </c>
      <c r="X217" t="s">
        <v>19</v>
      </c>
    </row>
    <row r="218" spans="8:24" x14ac:dyDescent="0.45">
      <c r="H218" t="s">
        <v>2705</v>
      </c>
      <c r="I218" t="s">
        <v>27</v>
      </c>
      <c r="J218">
        <v>4.3248616929961362E-2</v>
      </c>
      <c r="K218" t="s">
        <v>14</v>
      </c>
      <c r="U218" t="s">
        <v>2475</v>
      </c>
      <c r="V218" t="s">
        <v>2947</v>
      </c>
      <c r="W218" t="s">
        <v>2872</v>
      </c>
      <c r="X218" t="s">
        <v>19</v>
      </c>
    </row>
    <row r="219" spans="8:24" x14ac:dyDescent="0.45">
      <c r="H219" t="s">
        <v>2705</v>
      </c>
      <c r="I219" t="s">
        <v>36</v>
      </c>
      <c r="J219">
        <v>4.3248616929961362E-2</v>
      </c>
      <c r="K219" t="s">
        <v>14</v>
      </c>
      <c r="U219" t="s">
        <v>2475</v>
      </c>
      <c r="V219" t="s">
        <v>2948</v>
      </c>
      <c r="W219" t="s">
        <v>2872</v>
      </c>
      <c r="X219" t="s">
        <v>19</v>
      </c>
    </row>
    <row r="220" spans="8:24" x14ac:dyDescent="0.45">
      <c r="H220" t="s">
        <v>2707</v>
      </c>
      <c r="I220" t="s">
        <v>13</v>
      </c>
      <c r="J220">
        <v>2.7109501348586217E-2</v>
      </c>
      <c r="K220" t="s">
        <v>14</v>
      </c>
      <c r="U220" t="s">
        <v>2475</v>
      </c>
      <c r="V220" t="s">
        <v>2949</v>
      </c>
      <c r="W220" t="s">
        <v>2872</v>
      </c>
      <c r="X220" t="s">
        <v>19</v>
      </c>
    </row>
    <row r="221" spans="8:24" x14ac:dyDescent="0.45">
      <c r="H221" t="s">
        <v>2707</v>
      </c>
      <c r="I221" t="s">
        <v>27</v>
      </c>
      <c r="J221">
        <v>2.7109501348586217E-2</v>
      </c>
      <c r="K221" t="s">
        <v>14</v>
      </c>
      <c r="U221" t="s">
        <v>2475</v>
      </c>
      <c r="V221" t="s">
        <v>2949</v>
      </c>
      <c r="W221" t="s">
        <v>2512</v>
      </c>
      <c r="X221" t="s">
        <v>17</v>
      </c>
    </row>
    <row r="222" spans="8:24" x14ac:dyDescent="0.45">
      <c r="H222" t="s">
        <v>2707</v>
      </c>
      <c r="I222" t="s">
        <v>36</v>
      </c>
      <c r="J222">
        <v>2.7109501348586217E-2</v>
      </c>
      <c r="K222" t="s">
        <v>14</v>
      </c>
      <c r="U222" t="s">
        <v>2475</v>
      </c>
      <c r="V222" t="s">
        <v>2950</v>
      </c>
      <c r="W222" t="s">
        <v>2872</v>
      </c>
      <c r="X222" t="s">
        <v>19</v>
      </c>
    </row>
    <row r="223" spans="8:24" x14ac:dyDescent="0.45">
      <c r="H223" t="s">
        <v>2709</v>
      </c>
      <c r="I223" t="s">
        <v>13</v>
      </c>
      <c r="J223">
        <v>5.2721154290259392E-2</v>
      </c>
      <c r="K223" t="s">
        <v>14</v>
      </c>
      <c r="U223" t="s">
        <v>2475</v>
      </c>
      <c r="V223" t="s">
        <v>2950</v>
      </c>
      <c r="W223" t="s">
        <v>2512</v>
      </c>
      <c r="X223" t="s">
        <v>17</v>
      </c>
    </row>
    <row r="224" spans="8:24" x14ac:dyDescent="0.45">
      <c r="H224" t="s">
        <v>2709</v>
      </c>
      <c r="I224" t="s">
        <v>27</v>
      </c>
      <c r="J224">
        <v>5.2721154290259392E-2</v>
      </c>
      <c r="K224" t="s">
        <v>14</v>
      </c>
      <c r="U224" t="s">
        <v>2475</v>
      </c>
      <c r="V224" t="s">
        <v>2951</v>
      </c>
      <c r="W224" t="s">
        <v>2516</v>
      </c>
      <c r="X224" t="s">
        <v>19</v>
      </c>
    </row>
    <row r="225" spans="8:24" x14ac:dyDescent="0.45">
      <c r="H225" t="s">
        <v>2709</v>
      </c>
      <c r="I225" t="s">
        <v>36</v>
      </c>
      <c r="J225">
        <v>5.2721154290259392E-2</v>
      </c>
      <c r="K225" t="s">
        <v>14</v>
      </c>
      <c r="U225" t="s">
        <v>2475</v>
      </c>
      <c r="V225" t="s">
        <v>2952</v>
      </c>
      <c r="W225" t="s">
        <v>2516</v>
      </c>
      <c r="X225" t="s">
        <v>19</v>
      </c>
    </row>
    <row r="226" spans="8:24" x14ac:dyDescent="0.45">
      <c r="H226" t="s">
        <v>2711</v>
      </c>
      <c r="I226" t="s">
        <v>13</v>
      </c>
      <c r="J226">
        <v>9.4543116472414115E-3</v>
      </c>
      <c r="K226" t="s">
        <v>14</v>
      </c>
      <c r="U226" t="s">
        <v>2475</v>
      </c>
      <c r="V226" t="s">
        <v>2953</v>
      </c>
      <c r="W226" t="s">
        <v>2516</v>
      </c>
      <c r="X226" t="s">
        <v>19</v>
      </c>
    </row>
    <row r="227" spans="8:24" x14ac:dyDescent="0.45">
      <c r="H227" t="s">
        <v>2711</v>
      </c>
      <c r="I227" t="s">
        <v>27</v>
      </c>
      <c r="J227">
        <v>9.4543116472414115E-3</v>
      </c>
      <c r="K227" t="s">
        <v>14</v>
      </c>
      <c r="U227" t="s">
        <v>2475</v>
      </c>
      <c r="V227" t="s">
        <v>2954</v>
      </c>
      <c r="W227" t="s">
        <v>2516</v>
      </c>
      <c r="X227" t="s">
        <v>19</v>
      </c>
    </row>
    <row r="228" spans="8:24" x14ac:dyDescent="0.45">
      <c r="H228" t="s">
        <v>2711</v>
      </c>
      <c r="I228" t="s">
        <v>36</v>
      </c>
      <c r="J228">
        <v>9.4543116472414115E-3</v>
      </c>
      <c r="K228" t="s">
        <v>14</v>
      </c>
      <c r="U228" t="s">
        <v>2475</v>
      </c>
      <c r="V228" t="s">
        <v>2955</v>
      </c>
      <c r="W228" t="s">
        <v>2516</v>
      </c>
      <c r="X228" t="s">
        <v>19</v>
      </c>
    </row>
    <row r="229" spans="8:24" x14ac:dyDescent="0.45">
      <c r="H229" t="s">
        <v>2713</v>
      </c>
      <c r="I229" t="s">
        <v>13</v>
      </c>
      <c r="J229">
        <v>4.9091555603068333E-2</v>
      </c>
      <c r="K229" t="s">
        <v>14</v>
      </c>
      <c r="U229" t="s">
        <v>2475</v>
      </c>
      <c r="V229" t="s">
        <v>2956</v>
      </c>
      <c r="W229" t="s">
        <v>2516</v>
      </c>
      <c r="X229" t="s">
        <v>19</v>
      </c>
    </row>
    <row r="230" spans="8:24" x14ac:dyDescent="0.45">
      <c r="H230" t="s">
        <v>2713</v>
      </c>
      <c r="I230" t="s">
        <v>27</v>
      </c>
      <c r="J230">
        <v>4.9091555603068333E-2</v>
      </c>
      <c r="K230" t="s">
        <v>14</v>
      </c>
      <c r="U230" t="s">
        <v>2475</v>
      </c>
      <c r="V230" t="s">
        <v>2957</v>
      </c>
      <c r="W230" t="s">
        <v>2516</v>
      </c>
      <c r="X230" t="s">
        <v>19</v>
      </c>
    </row>
    <row r="231" spans="8:24" x14ac:dyDescent="0.45">
      <c r="H231" t="s">
        <v>2713</v>
      </c>
      <c r="I231" t="s">
        <v>36</v>
      </c>
      <c r="J231">
        <v>4.9091555603068333E-2</v>
      </c>
      <c r="K231" t="s">
        <v>14</v>
      </c>
      <c r="U231" t="s">
        <v>2475</v>
      </c>
      <c r="V231" t="s">
        <v>2958</v>
      </c>
      <c r="W231" t="s">
        <v>2516</v>
      </c>
      <c r="X231" t="s">
        <v>19</v>
      </c>
    </row>
    <row r="232" spans="8:24" x14ac:dyDescent="0.45">
      <c r="H232" t="s">
        <v>2715</v>
      </c>
      <c r="I232" t="s">
        <v>13</v>
      </c>
      <c r="J232">
        <v>1.4617418257332688E-2</v>
      </c>
      <c r="K232" t="s">
        <v>14</v>
      </c>
      <c r="U232" t="s">
        <v>2475</v>
      </c>
      <c r="V232" t="s">
        <v>2959</v>
      </c>
      <c r="W232" t="s">
        <v>2516</v>
      </c>
      <c r="X232" t="s">
        <v>19</v>
      </c>
    </row>
    <row r="233" spans="8:24" x14ac:dyDescent="0.45">
      <c r="H233" t="s">
        <v>2715</v>
      </c>
      <c r="I233" t="s">
        <v>27</v>
      </c>
      <c r="J233">
        <v>1.4617418257332688E-2</v>
      </c>
      <c r="K233" t="s">
        <v>14</v>
      </c>
      <c r="U233" t="s">
        <v>2475</v>
      </c>
      <c r="V233" t="s">
        <v>2960</v>
      </c>
      <c r="W233" t="s">
        <v>2516</v>
      </c>
      <c r="X233" t="s">
        <v>19</v>
      </c>
    </row>
    <row r="234" spans="8:24" x14ac:dyDescent="0.45">
      <c r="H234" t="s">
        <v>2715</v>
      </c>
      <c r="I234" t="s">
        <v>36</v>
      </c>
      <c r="J234">
        <v>1.4617418257332688E-2</v>
      </c>
      <c r="K234" t="s">
        <v>14</v>
      </c>
      <c r="U234" t="s">
        <v>2475</v>
      </c>
      <c r="V234" t="s">
        <v>2961</v>
      </c>
      <c r="W234" t="s">
        <v>2516</v>
      </c>
      <c r="X234" t="s">
        <v>19</v>
      </c>
    </row>
    <row r="235" spans="8:24" x14ac:dyDescent="0.45">
      <c r="H235" t="s">
        <v>2717</v>
      </c>
      <c r="I235" t="s">
        <v>13</v>
      </c>
      <c r="J235">
        <v>7.7381897904656525E-3</v>
      </c>
      <c r="K235" t="s">
        <v>14</v>
      </c>
      <c r="U235" t="s">
        <v>2475</v>
      </c>
      <c r="V235" t="s">
        <v>2961</v>
      </c>
      <c r="W235" t="s">
        <v>2905</v>
      </c>
      <c r="X235" t="s">
        <v>19</v>
      </c>
    </row>
    <row r="236" spans="8:24" x14ac:dyDescent="0.45">
      <c r="H236" t="s">
        <v>2717</v>
      </c>
      <c r="I236" t="s">
        <v>27</v>
      </c>
      <c r="J236">
        <v>7.7381897904656525E-3</v>
      </c>
      <c r="K236" t="s">
        <v>14</v>
      </c>
      <c r="U236" t="s">
        <v>2475</v>
      </c>
      <c r="V236" t="s">
        <v>2962</v>
      </c>
      <c r="W236" t="s">
        <v>2516</v>
      </c>
      <c r="X236" t="s">
        <v>19</v>
      </c>
    </row>
    <row r="237" spans="8:24" x14ac:dyDescent="0.45">
      <c r="H237" t="s">
        <v>2717</v>
      </c>
      <c r="I237" t="s">
        <v>36</v>
      </c>
      <c r="J237">
        <v>7.7381897904656525E-3</v>
      </c>
      <c r="K237" t="s">
        <v>14</v>
      </c>
      <c r="U237" t="s">
        <v>2475</v>
      </c>
      <c r="V237" t="s">
        <v>2962</v>
      </c>
      <c r="W237" t="s">
        <v>2905</v>
      </c>
      <c r="X237" t="s">
        <v>19</v>
      </c>
    </row>
    <row r="238" spans="8:24" x14ac:dyDescent="0.45">
      <c r="H238" t="s">
        <v>2719</v>
      </c>
      <c r="I238" t="s">
        <v>13</v>
      </c>
      <c r="J238">
        <v>6.9858825425211366E-2</v>
      </c>
      <c r="K238" t="s">
        <v>14</v>
      </c>
      <c r="U238" t="s">
        <v>2475</v>
      </c>
      <c r="V238" t="s">
        <v>2963</v>
      </c>
      <c r="W238" t="s">
        <v>2516</v>
      </c>
      <c r="X238" t="s">
        <v>19</v>
      </c>
    </row>
    <row r="239" spans="8:24" x14ac:dyDescent="0.45">
      <c r="H239" t="s">
        <v>2719</v>
      </c>
      <c r="I239" t="s">
        <v>27</v>
      </c>
      <c r="J239">
        <v>6.9858825425211366E-2</v>
      </c>
      <c r="K239" t="s">
        <v>14</v>
      </c>
      <c r="U239" t="s">
        <v>2475</v>
      </c>
      <c r="V239" t="s">
        <v>2963</v>
      </c>
      <c r="W239" t="s">
        <v>2905</v>
      </c>
      <c r="X239" t="s">
        <v>19</v>
      </c>
    </row>
    <row r="240" spans="8:24" x14ac:dyDescent="0.45">
      <c r="H240" t="s">
        <v>2719</v>
      </c>
      <c r="I240" t="s">
        <v>36</v>
      </c>
      <c r="J240">
        <v>6.9858825425211366E-2</v>
      </c>
      <c r="K240" t="s">
        <v>14</v>
      </c>
      <c r="U240" t="s">
        <v>2475</v>
      </c>
      <c r="V240" t="s">
        <v>2964</v>
      </c>
      <c r="W240" t="s">
        <v>2905</v>
      </c>
      <c r="X240" t="s">
        <v>19</v>
      </c>
    </row>
    <row r="241" spans="8:24" x14ac:dyDescent="0.45">
      <c r="H241" t="s">
        <v>2721</v>
      </c>
      <c r="I241" t="s">
        <v>13</v>
      </c>
      <c r="J241">
        <v>3.7852104994517868E-2</v>
      </c>
      <c r="K241" t="s">
        <v>14</v>
      </c>
      <c r="U241" t="s">
        <v>2475</v>
      </c>
      <c r="V241" t="s">
        <v>2965</v>
      </c>
      <c r="W241" t="s">
        <v>2905</v>
      </c>
      <c r="X241" t="s">
        <v>19</v>
      </c>
    </row>
    <row r="242" spans="8:24" x14ac:dyDescent="0.45">
      <c r="H242" t="s">
        <v>2721</v>
      </c>
      <c r="I242" t="s">
        <v>27</v>
      </c>
      <c r="J242">
        <v>3.7852104994517868E-2</v>
      </c>
      <c r="K242" t="s">
        <v>14</v>
      </c>
      <c r="U242" t="s">
        <v>2475</v>
      </c>
      <c r="V242" t="s">
        <v>2966</v>
      </c>
      <c r="W242" t="s">
        <v>2905</v>
      </c>
      <c r="X242" t="s">
        <v>19</v>
      </c>
    </row>
    <row r="243" spans="8:24" x14ac:dyDescent="0.45">
      <c r="H243" t="s">
        <v>2721</v>
      </c>
      <c r="I243" t="s">
        <v>36</v>
      </c>
      <c r="J243">
        <v>3.7852104994517868E-2</v>
      </c>
      <c r="K243" t="s">
        <v>14</v>
      </c>
      <c r="U243" t="s">
        <v>2475</v>
      </c>
      <c r="V243" t="s">
        <v>2966</v>
      </c>
      <c r="W243" t="s">
        <v>2516</v>
      </c>
      <c r="X243" t="s">
        <v>17</v>
      </c>
    </row>
    <row r="244" spans="8:24" x14ac:dyDescent="0.45">
      <c r="H244" t="s">
        <v>2722</v>
      </c>
      <c r="I244" t="s">
        <v>13</v>
      </c>
      <c r="J244">
        <v>4.3987042311574555E-2</v>
      </c>
      <c r="K244" t="s">
        <v>14</v>
      </c>
      <c r="U244" t="s">
        <v>2475</v>
      </c>
      <c r="V244" t="s">
        <v>2967</v>
      </c>
      <c r="W244" t="s">
        <v>2905</v>
      </c>
      <c r="X244" t="s">
        <v>19</v>
      </c>
    </row>
    <row r="245" spans="8:24" x14ac:dyDescent="0.45">
      <c r="H245" t="s">
        <v>2722</v>
      </c>
      <c r="I245" t="s">
        <v>27</v>
      </c>
      <c r="J245">
        <v>4.3987042311574555E-2</v>
      </c>
      <c r="K245" t="s">
        <v>14</v>
      </c>
      <c r="U245" t="s">
        <v>2475</v>
      </c>
      <c r="V245" t="s">
        <v>2967</v>
      </c>
      <c r="W245" t="s">
        <v>2516</v>
      </c>
      <c r="X245" t="s">
        <v>17</v>
      </c>
    </row>
    <row r="246" spans="8:24" x14ac:dyDescent="0.45">
      <c r="H246" t="s">
        <v>2722</v>
      </c>
      <c r="I246" t="s">
        <v>36</v>
      </c>
      <c r="J246">
        <v>4.3987042311574555E-2</v>
      </c>
      <c r="K246" t="s">
        <v>14</v>
      </c>
      <c r="U246" t="s">
        <v>2475</v>
      </c>
      <c r="V246" t="s">
        <v>2968</v>
      </c>
      <c r="W246" t="s">
        <v>2520</v>
      </c>
      <c r="X246" t="s">
        <v>19</v>
      </c>
    </row>
    <row r="247" spans="8:24" x14ac:dyDescent="0.45">
      <c r="H247" t="s">
        <v>2724</v>
      </c>
      <c r="I247" t="s">
        <v>13</v>
      </c>
      <c r="J247">
        <v>2.9968417375847958E-2</v>
      </c>
      <c r="K247" t="s">
        <v>14</v>
      </c>
      <c r="U247" t="s">
        <v>2475</v>
      </c>
      <c r="V247" t="s">
        <v>2969</v>
      </c>
      <c r="W247" t="s">
        <v>2520</v>
      </c>
      <c r="X247" t="s">
        <v>19</v>
      </c>
    </row>
    <row r="248" spans="8:24" x14ac:dyDescent="0.45">
      <c r="H248" t="s">
        <v>2724</v>
      </c>
      <c r="I248" t="s">
        <v>27</v>
      </c>
      <c r="J248">
        <v>2.9968417375847958E-2</v>
      </c>
      <c r="K248" t="s">
        <v>14</v>
      </c>
      <c r="U248" t="s">
        <v>2475</v>
      </c>
      <c r="V248" t="s">
        <v>2970</v>
      </c>
      <c r="W248" t="s">
        <v>2520</v>
      </c>
      <c r="X248" t="s">
        <v>19</v>
      </c>
    </row>
    <row r="249" spans="8:24" x14ac:dyDescent="0.45">
      <c r="H249" t="s">
        <v>2724</v>
      </c>
      <c r="I249" t="s">
        <v>36</v>
      </c>
      <c r="J249">
        <v>2.9968417375847958E-2</v>
      </c>
      <c r="K249" t="s">
        <v>14</v>
      </c>
      <c r="U249" t="s">
        <v>2475</v>
      </c>
      <c r="V249" t="s">
        <v>2971</v>
      </c>
      <c r="W249" t="s">
        <v>2520</v>
      </c>
      <c r="X249" t="s">
        <v>19</v>
      </c>
    </row>
    <row r="250" spans="8:24" x14ac:dyDescent="0.45">
      <c r="H250" t="s">
        <v>2725</v>
      </c>
      <c r="I250" t="s">
        <v>13</v>
      </c>
      <c r="J250">
        <v>1.0194618322193689E-2</v>
      </c>
      <c r="K250" t="s">
        <v>14</v>
      </c>
      <c r="U250" t="s">
        <v>2475</v>
      </c>
      <c r="V250" t="s">
        <v>2972</v>
      </c>
      <c r="W250" t="s">
        <v>2520</v>
      </c>
      <c r="X250" t="s">
        <v>19</v>
      </c>
    </row>
    <row r="251" spans="8:24" x14ac:dyDescent="0.45">
      <c r="H251" t="s">
        <v>2725</v>
      </c>
      <c r="I251" t="s">
        <v>27</v>
      </c>
      <c r="J251">
        <v>1.0194618322193689E-2</v>
      </c>
      <c r="K251" t="s">
        <v>14</v>
      </c>
      <c r="U251" t="s">
        <v>2475</v>
      </c>
      <c r="V251" t="s">
        <v>2973</v>
      </c>
      <c r="W251" t="s">
        <v>2520</v>
      </c>
      <c r="X251" t="s">
        <v>19</v>
      </c>
    </row>
    <row r="252" spans="8:24" x14ac:dyDescent="0.45">
      <c r="H252" t="s">
        <v>2725</v>
      </c>
      <c r="I252" t="s">
        <v>36</v>
      </c>
      <c r="J252">
        <v>1.0194618322193689E-2</v>
      </c>
      <c r="K252" t="s">
        <v>14</v>
      </c>
      <c r="U252" t="s">
        <v>2475</v>
      </c>
      <c r="V252" t="s">
        <v>2974</v>
      </c>
      <c r="W252" t="s">
        <v>2520</v>
      </c>
      <c r="X252" t="s">
        <v>19</v>
      </c>
    </row>
    <row r="253" spans="8:24" x14ac:dyDescent="0.45">
      <c r="H253" t="s">
        <v>2727</v>
      </c>
      <c r="I253" t="s">
        <v>13</v>
      </c>
      <c r="J253">
        <v>2.3980237328607684E-2</v>
      </c>
      <c r="K253" t="s">
        <v>14</v>
      </c>
      <c r="U253" t="s">
        <v>2475</v>
      </c>
      <c r="V253" t="s">
        <v>2975</v>
      </c>
      <c r="W253" t="s">
        <v>2520</v>
      </c>
      <c r="X253" t="s">
        <v>19</v>
      </c>
    </row>
    <row r="254" spans="8:24" x14ac:dyDescent="0.45">
      <c r="H254" t="s">
        <v>2727</v>
      </c>
      <c r="I254" t="s">
        <v>27</v>
      </c>
      <c r="J254">
        <v>2.3980237328607684E-2</v>
      </c>
      <c r="K254" t="s">
        <v>14</v>
      </c>
      <c r="U254" t="s">
        <v>2475</v>
      </c>
      <c r="V254" t="s">
        <v>2976</v>
      </c>
      <c r="W254" t="s">
        <v>2520</v>
      </c>
      <c r="X254" t="s">
        <v>19</v>
      </c>
    </row>
    <row r="255" spans="8:24" x14ac:dyDescent="0.45">
      <c r="H255" t="s">
        <v>2727</v>
      </c>
      <c r="I255" t="s">
        <v>36</v>
      </c>
      <c r="J255">
        <v>2.3980237328607684E-2</v>
      </c>
      <c r="K255" t="s">
        <v>14</v>
      </c>
      <c r="U255" t="s">
        <v>2475</v>
      </c>
      <c r="V255" t="s">
        <v>2977</v>
      </c>
      <c r="W255" t="s">
        <v>2520</v>
      </c>
      <c r="X255" t="s">
        <v>19</v>
      </c>
    </row>
    <row r="256" spans="8:24" x14ac:dyDescent="0.45">
      <c r="H256" t="s">
        <v>2729</v>
      </c>
      <c r="I256" t="s">
        <v>13</v>
      </c>
      <c r="J256">
        <v>1.8153636441602367E-2</v>
      </c>
      <c r="K256" t="s">
        <v>14</v>
      </c>
      <c r="U256" t="s">
        <v>2475</v>
      </c>
      <c r="V256" t="s">
        <v>2978</v>
      </c>
      <c r="W256" t="s">
        <v>2520</v>
      </c>
      <c r="X256" t="s">
        <v>19</v>
      </c>
    </row>
    <row r="257" spans="8:24" x14ac:dyDescent="0.45">
      <c r="H257" t="s">
        <v>2729</v>
      </c>
      <c r="I257" t="s">
        <v>27</v>
      </c>
      <c r="J257">
        <v>1.8153636441602367E-2</v>
      </c>
      <c r="K257" t="s">
        <v>14</v>
      </c>
      <c r="U257" t="s">
        <v>2475</v>
      </c>
      <c r="V257" t="s">
        <v>2978</v>
      </c>
      <c r="W257" t="s">
        <v>2880</v>
      </c>
      <c r="X257" t="s">
        <v>19</v>
      </c>
    </row>
    <row r="258" spans="8:24" x14ac:dyDescent="0.45">
      <c r="H258" t="s">
        <v>2729</v>
      </c>
      <c r="I258" t="s">
        <v>36</v>
      </c>
      <c r="J258">
        <v>1.8153636441602367E-2</v>
      </c>
      <c r="K258" t="s">
        <v>14</v>
      </c>
      <c r="U258" t="s">
        <v>2475</v>
      </c>
      <c r="V258" t="s">
        <v>2979</v>
      </c>
      <c r="W258" t="s">
        <v>2520</v>
      </c>
      <c r="X258" t="s">
        <v>19</v>
      </c>
    </row>
    <row r="259" spans="8:24" x14ac:dyDescent="0.45">
      <c r="H259" t="s">
        <v>2731</v>
      </c>
      <c r="I259" t="s">
        <v>13</v>
      </c>
      <c r="J259">
        <v>5.2510294263457095E-3</v>
      </c>
      <c r="K259" t="s">
        <v>14</v>
      </c>
      <c r="U259" t="s">
        <v>2475</v>
      </c>
      <c r="V259" t="s">
        <v>2979</v>
      </c>
      <c r="W259" t="s">
        <v>2880</v>
      </c>
      <c r="X259" t="s">
        <v>19</v>
      </c>
    </row>
    <row r="260" spans="8:24" x14ac:dyDescent="0.45">
      <c r="H260" t="s">
        <v>2731</v>
      </c>
      <c r="I260" t="s">
        <v>27</v>
      </c>
      <c r="J260">
        <v>5.2510294263457095E-3</v>
      </c>
      <c r="K260" t="s">
        <v>14</v>
      </c>
      <c r="U260" t="s">
        <v>2475</v>
      </c>
      <c r="V260" t="s">
        <v>2980</v>
      </c>
      <c r="W260" t="s">
        <v>2520</v>
      </c>
      <c r="X260" t="s">
        <v>19</v>
      </c>
    </row>
    <row r="261" spans="8:24" x14ac:dyDescent="0.45">
      <c r="H261" t="s">
        <v>2731</v>
      </c>
      <c r="I261" t="s">
        <v>36</v>
      </c>
      <c r="J261">
        <v>5.2510294263457095E-3</v>
      </c>
      <c r="K261" t="s">
        <v>14</v>
      </c>
      <c r="U261" t="s">
        <v>2475</v>
      </c>
      <c r="V261" t="s">
        <v>2980</v>
      </c>
      <c r="W261" t="s">
        <v>2880</v>
      </c>
      <c r="X261" t="s">
        <v>19</v>
      </c>
    </row>
    <row r="262" spans="8:24" x14ac:dyDescent="0.45">
      <c r="H262" t="s">
        <v>2732</v>
      </c>
      <c r="I262" t="s">
        <v>13</v>
      </c>
      <c r="J262">
        <v>5.4833402178561037E-2</v>
      </c>
      <c r="K262" t="s">
        <v>14</v>
      </c>
      <c r="U262" t="s">
        <v>2475</v>
      </c>
      <c r="V262" t="s">
        <v>2981</v>
      </c>
      <c r="W262" t="s">
        <v>2880</v>
      </c>
      <c r="X262" t="s">
        <v>19</v>
      </c>
    </row>
    <row r="263" spans="8:24" x14ac:dyDescent="0.45">
      <c r="H263" t="s">
        <v>2732</v>
      </c>
      <c r="I263" t="s">
        <v>27</v>
      </c>
      <c r="J263">
        <v>5.4833402178561037E-2</v>
      </c>
      <c r="K263" t="s">
        <v>14</v>
      </c>
      <c r="U263" t="s">
        <v>2475</v>
      </c>
      <c r="V263" t="s">
        <v>2982</v>
      </c>
      <c r="W263" t="s">
        <v>2880</v>
      </c>
      <c r="X263" t="s">
        <v>19</v>
      </c>
    </row>
    <row r="264" spans="8:24" x14ac:dyDescent="0.45">
      <c r="H264" t="s">
        <v>2732</v>
      </c>
      <c r="I264" t="s">
        <v>36</v>
      </c>
      <c r="J264">
        <v>5.4833402178561037E-2</v>
      </c>
      <c r="K264" t="s">
        <v>14</v>
      </c>
      <c r="U264" t="s">
        <v>2475</v>
      </c>
      <c r="V264" t="s">
        <v>2983</v>
      </c>
      <c r="W264" t="s">
        <v>2880</v>
      </c>
      <c r="X264" t="s">
        <v>19</v>
      </c>
    </row>
    <row r="265" spans="8:24" x14ac:dyDescent="0.45">
      <c r="H265" t="s">
        <v>2734</v>
      </c>
      <c r="I265" t="s">
        <v>13</v>
      </c>
      <c r="J265">
        <v>0.15330539369178206</v>
      </c>
      <c r="K265" t="s">
        <v>14</v>
      </c>
      <c r="U265" t="s">
        <v>2475</v>
      </c>
      <c r="V265" t="s">
        <v>2983</v>
      </c>
      <c r="W265" t="s">
        <v>2520</v>
      </c>
      <c r="X265" t="s">
        <v>17</v>
      </c>
    </row>
    <row r="266" spans="8:24" x14ac:dyDescent="0.45">
      <c r="H266" t="s">
        <v>2734</v>
      </c>
      <c r="I266" t="s">
        <v>27</v>
      </c>
      <c r="J266">
        <v>0.15330539369178206</v>
      </c>
      <c r="K266" t="s">
        <v>14</v>
      </c>
      <c r="U266" t="s">
        <v>2475</v>
      </c>
      <c r="V266" t="s">
        <v>2984</v>
      </c>
      <c r="W266" t="s">
        <v>2880</v>
      </c>
      <c r="X266" t="s">
        <v>19</v>
      </c>
    </row>
    <row r="267" spans="8:24" x14ac:dyDescent="0.45">
      <c r="H267" t="s">
        <v>2734</v>
      </c>
      <c r="I267" t="s">
        <v>36</v>
      </c>
      <c r="J267">
        <v>0.15330539369178206</v>
      </c>
      <c r="K267" t="s">
        <v>14</v>
      </c>
      <c r="U267" t="s">
        <v>2475</v>
      </c>
      <c r="V267" t="s">
        <v>2984</v>
      </c>
      <c r="W267" t="s">
        <v>2520</v>
      </c>
      <c r="X267" t="s">
        <v>17</v>
      </c>
    </row>
    <row r="268" spans="8:24" x14ac:dyDescent="0.45">
      <c r="H268" t="s">
        <v>2735</v>
      </c>
      <c r="I268" t="s">
        <v>13</v>
      </c>
      <c r="J268">
        <v>3.6173857371635663E-2</v>
      </c>
      <c r="K268" t="s">
        <v>14</v>
      </c>
      <c r="U268" t="s">
        <v>2475</v>
      </c>
      <c r="V268" t="s">
        <v>2985</v>
      </c>
      <c r="W268" t="s">
        <v>2524</v>
      </c>
      <c r="X268" t="s">
        <v>19</v>
      </c>
    </row>
    <row r="269" spans="8:24" x14ac:dyDescent="0.45">
      <c r="H269" t="s">
        <v>2735</v>
      </c>
      <c r="I269" t="s">
        <v>27</v>
      </c>
      <c r="J269">
        <v>3.6173857371635663E-2</v>
      </c>
      <c r="K269" t="s">
        <v>14</v>
      </c>
      <c r="U269" t="s">
        <v>2475</v>
      </c>
      <c r="V269" t="s">
        <v>2986</v>
      </c>
      <c r="W269" t="s">
        <v>2524</v>
      </c>
      <c r="X269" t="s">
        <v>19</v>
      </c>
    </row>
    <row r="270" spans="8:24" x14ac:dyDescent="0.45">
      <c r="H270" t="s">
        <v>2735</v>
      </c>
      <c r="I270" t="s">
        <v>36</v>
      </c>
      <c r="J270">
        <v>3.6173857371635663E-2</v>
      </c>
      <c r="K270" t="s">
        <v>14</v>
      </c>
      <c r="U270" t="s">
        <v>2475</v>
      </c>
      <c r="V270" t="s">
        <v>2987</v>
      </c>
      <c r="W270" t="s">
        <v>2524</v>
      </c>
      <c r="X270" t="s">
        <v>19</v>
      </c>
    </row>
    <row r="271" spans="8:24" x14ac:dyDescent="0.45">
      <c r="H271" t="s">
        <v>2737</v>
      </c>
      <c r="I271" t="s">
        <v>13</v>
      </c>
      <c r="J271">
        <v>4.2875382326183813E-2</v>
      </c>
      <c r="K271" t="s">
        <v>14</v>
      </c>
      <c r="U271" t="s">
        <v>2475</v>
      </c>
      <c r="V271" t="s">
        <v>2988</v>
      </c>
      <c r="W271" t="s">
        <v>2524</v>
      </c>
      <c r="X271" t="s">
        <v>19</v>
      </c>
    </row>
    <row r="272" spans="8:24" x14ac:dyDescent="0.45">
      <c r="H272" t="s">
        <v>2737</v>
      </c>
      <c r="I272" t="s">
        <v>27</v>
      </c>
      <c r="J272">
        <v>4.2875382326183813E-2</v>
      </c>
      <c r="K272" t="s">
        <v>14</v>
      </c>
      <c r="U272" t="s">
        <v>2475</v>
      </c>
      <c r="V272" t="s">
        <v>2989</v>
      </c>
      <c r="W272" t="s">
        <v>2524</v>
      </c>
      <c r="X272" t="s">
        <v>19</v>
      </c>
    </row>
    <row r="273" spans="8:24" x14ac:dyDescent="0.45">
      <c r="H273" t="s">
        <v>2737</v>
      </c>
      <c r="I273" t="s">
        <v>36</v>
      </c>
      <c r="J273">
        <v>4.2875382326183813E-2</v>
      </c>
      <c r="K273" t="s">
        <v>14</v>
      </c>
      <c r="U273" t="s">
        <v>2475</v>
      </c>
      <c r="V273" t="s">
        <v>2990</v>
      </c>
      <c r="W273" t="s">
        <v>2524</v>
      </c>
      <c r="X273" t="s">
        <v>19</v>
      </c>
    </row>
    <row r="274" spans="8:24" x14ac:dyDescent="0.45">
      <c r="H274" t="s">
        <v>2739</v>
      </c>
      <c r="I274" t="s">
        <v>13</v>
      </c>
      <c r="J274">
        <v>1.9277213622419086E-2</v>
      </c>
      <c r="K274" t="s">
        <v>14</v>
      </c>
      <c r="U274" t="s">
        <v>2475</v>
      </c>
      <c r="V274" t="s">
        <v>2991</v>
      </c>
      <c r="W274" t="s">
        <v>2524</v>
      </c>
      <c r="X274" t="s">
        <v>19</v>
      </c>
    </row>
    <row r="275" spans="8:24" x14ac:dyDescent="0.45">
      <c r="H275" t="s">
        <v>2739</v>
      </c>
      <c r="I275" t="s">
        <v>27</v>
      </c>
      <c r="J275">
        <v>1.9277213622419086E-2</v>
      </c>
      <c r="K275" t="s">
        <v>14</v>
      </c>
      <c r="U275" t="s">
        <v>2475</v>
      </c>
      <c r="V275" t="s">
        <v>2992</v>
      </c>
      <c r="W275" t="s">
        <v>2524</v>
      </c>
      <c r="X275" t="s">
        <v>19</v>
      </c>
    </row>
    <row r="276" spans="8:24" x14ac:dyDescent="0.45">
      <c r="H276" t="s">
        <v>2739</v>
      </c>
      <c r="I276" t="s">
        <v>36</v>
      </c>
      <c r="J276">
        <v>1.9277213622419086E-2</v>
      </c>
      <c r="K276" t="s">
        <v>14</v>
      </c>
      <c r="U276" t="s">
        <v>2475</v>
      </c>
      <c r="V276" t="s">
        <v>2993</v>
      </c>
      <c r="W276" t="s">
        <v>2524</v>
      </c>
      <c r="X276" t="s">
        <v>19</v>
      </c>
    </row>
    <row r="277" spans="8:24" x14ac:dyDescent="0.45">
      <c r="H277" t="s">
        <v>2741</v>
      </c>
      <c r="I277" t="s">
        <v>13</v>
      </c>
      <c r="J277">
        <v>2.2354980028807342E-2</v>
      </c>
      <c r="K277" t="s">
        <v>14</v>
      </c>
      <c r="U277" t="s">
        <v>2475</v>
      </c>
      <c r="V277" t="s">
        <v>2994</v>
      </c>
      <c r="W277" t="s">
        <v>2524</v>
      </c>
      <c r="X277" t="s">
        <v>19</v>
      </c>
    </row>
    <row r="278" spans="8:24" x14ac:dyDescent="0.45">
      <c r="H278" t="s">
        <v>2741</v>
      </c>
      <c r="I278" t="s">
        <v>27</v>
      </c>
      <c r="J278">
        <v>2.2354980028807342E-2</v>
      </c>
      <c r="K278" t="s">
        <v>14</v>
      </c>
      <c r="U278" t="s">
        <v>2475</v>
      </c>
      <c r="V278" t="s">
        <v>2995</v>
      </c>
      <c r="W278" t="s">
        <v>2524</v>
      </c>
      <c r="X278" t="s">
        <v>19</v>
      </c>
    </row>
    <row r="279" spans="8:24" x14ac:dyDescent="0.45">
      <c r="H279" t="s">
        <v>2741</v>
      </c>
      <c r="I279" t="s">
        <v>36</v>
      </c>
      <c r="J279">
        <v>2.2354980028807342E-2</v>
      </c>
      <c r="K279" t="s">
        <v>14</v>
      </c>
      <c r="U279" t="s">
        <v>2475</v>
      </c>
      <c r="V279" t="s">
        <v>2995</v>
      </c>
      <c r="W279" t="s">
        <v>2859</v>
      </c>
      <c r="X279" t="s">
        <v>19</v>
      </c>
    </row>
    <row r="280" spans="8:24" x14ac:dyDescent="0.45">
      <c r="H280" t="s">
        <v>2743</v>
      </c>
      <c r="I280" t="s">
        <v>13</v>
      </c>
      <c r="J280">
        <v>5.4570135443861795E-3</v>
      </c>
      <c r="K280" t="s">
        <v>14</v>
      </c>
      <c r="U280" t="s">
        <v>2475</v>
      </c>
      <c r="V280" t="s">
        <v>2996</v>
      </c>
      <c r="W280" t="s">
        <v>2524</v>
      </c>
      <c r="X280" t="s">
        <v>19</v>
      </c>
    </row>
    <row r="281" spans="8:24" x14ac:dyDescent="0.45">
      <c r="H281" t="s">
        <v>2743</v>
      </c>
      <c r="I281" t="s">
        <v>27</v>
      </c>
      <c r="J281">
        <v>5.4570135443861795E-3</v>
      </c>
      <c r="K281" t="s">
        <v>14</v>
      </c>
      <c r="U281" t="s">
        <v>2475</v>
      </c>
      <c r="V281" t="s">
        <v>2996</v>
      </c>
      <c r="W281" t="s">
        <v>2859</v>
      </c>
      <c r="X281" t="s">
        <v>19</v>
      </c>
    </row>
    <row r="282" spans="8:24" x14ac:dyDescent="0.45">
      <c r="H282" t="s">
        <v>2743</v>
      </c>
      <c r="I282" t="s">
        <v>36</v>
      </c>
      <c r="J282">
        <v>5.4570135443861795E-3</v>
      </c>
      <c r="K282" t="s">
        <v>14</v>
      </c>
      <c r="U282" t="s">
        <v>2475</v>
      </c>
      <c r="V282" t="s">
        <v>2997</v>
      </c>
      <c r="W282" t="s">
        <v>2524</v>
      </c>
      <c r="X282" t="s">
        <v>19</v>
      </c>
    </row>
    <row r="283" spans="8:24" x14ac:dyDescent="0.45">
      <c r="H283" t="s">
        <v>2745</v>
      </c>
      <c r="I283" t="s">
        <v>13</v>
      </c>
      <c r="J283">
        <v>1.898480217465902E-3</v>
      </c>
      <c r="K283" t="s">
        <v>14</v>
      </c>
      <c r="U283" t="s">
        <v>2475</v>
      </c>
      <c r="V283" t="s">
        <v>2997</v>
      </c>
      <c r="W283" t="s">
        <v>2859</v>
      </c>
      <c r="X283" t="s">
        <v>19</v>
      </c>
    </row>
    <row r="284" spans="8:24" x14ac:dyDescent="0.45">
      <c r="H284" t="s">
        <v>2745</v>
      </c>
      <c r="I284" t="s">
        <v>27</v>
      </c>
      <c r="J284">
        <v>1.898480217465902E-3</v>
      </c>
      <c r="K284" t="s">
        <v>14</v>
      </c>
      <c r="U284" t="s">
        <v>2475</v>
      </c>
      <c r="V284" t="s">
        <v>2998</v>
      </c>
      <c r="W284" t="s">
        <v>2859</v>
      </c>
      <c r="X284" t="s">
        <v>19</v>
      </c>
    </row>
    <row r="285" spans="8:24" x14ac:dyDescent="0.45">
      <c r="H285" t="s">
        <v>2745</v>
      </c>
      <c r="I285" t="s">
        <v>36</v>
      </c>
      <c r="J285">
        <v>1.898480217465902E-3</v>
      </c>
      <c r="K285" t="s">
        <v>14</v>
      </c>
      <c r="U285" t="s">
        <v>2475</v>
      </c>
      <c r="V285" t="s">
        <v>2999</v>
      </c>
      <c r="W285" t="s">
        <v>2859</v>
      </c>
      <c r="X285" t="s">
        <v>19</v>
      </c>
    </row>
    <row r="286" spans="8:24" x14ac:dyDescent="0.45">
      <c r="H286" t="s">
        <v>2747</v>
      </c>
      <c r="I286" t="s">
        <v>13</v>
      </c>
      <c r="J286">
        <v>1.8961967064637518E-3</v>
      </c>
      <c r="K286" t="s">
        <v>14</v>
      </c>
      <c r="U286" t="s">
        <v>2475</v>
      </c>
      <c r="V286" t="s">
        <v>3000</v>
      </c>
      <c r="W286" t="s">
        <v>2859</v>
      </c>
      <c r="X286" t="s">
        <v>19</v>
      </c>
    </row>
    <row r="287" spans="8:24" x14ac:dyDescent="0.45">
      <c r="H287" t="s">
        <v>2747</v>
      </c>
      <c r="I287" t="s">
        <v>27</v>
      </c>
      <c r="J287">
        <v>1.8961967064637518E-3</v>
      </c>
      <c r="K287" t="s">
        <v>14</v>
      </c>
      <c r="U287" t="s">
        <v>2475</v>
      </c>
      <c r="V287" t="s">
        <v>3000</v>
      </c>
      <c r="W287" t="s">
        <v>2524</v>
      </c>
      <c r="X287" t="s">
        <v>17</v>
      </c>
    </row>
    <row r="288" spans="8:24" x14ac:dyDescent="0.45">
      <c r="H288" t="s">
        <v>2747</v>
      </c>
      <c r="I288" t="s">
        <v>36</v>
      </c>
      <c r="J288">
        <v>1.8961967064637518E-3</v>
      </c>
      <c r="K288" t="s">
        <v>14</v>
      </c>
      <c r="U288" t="s">
        <v>2475</v>
      </c>
      <c r="V288" t="s">
        <v>3001</v>
      </c>
      <c r="W288" t="s">
        <v>2859</v>
      </c>
      <c r="X288" t="s">
        <v>19</v>
      </c>
    </row>
    <row r="289" spans="8:24" x14ac:dyDescent="0.45">
      <c r="H289" t="s">
        <v>2749</v>
      </c>
      <c r="I289" t="s">
        <v>13</v>
      </c>
      <c r="J289">
        <v>4.885758027362506E-3</v>
      </c>
      <c r="K289" t="s">
        <v>14</v>
      </c>
      <c r="U289" t="s">
        <v>2475</v>
      </c>
      <c r="V289" t="s">
        <v>3001</v>
      </c>
      <c r="W289" t="s">
        <v>2524</v>
      </c>
      <c r="X289" t="s">
        <v>17</v>
      </c>
    </row>
    <row r="290" spans="8:24" x14ac:dyDescent="0.45">
      <c r="H290" t="s">
        <v>2749</v>
      </c>
      <c r="I290" t="s">
        <v>27</v>
      </c>
      <c r="J290">
        <v>4.885758027362506E-3</v>
      </c>
      <c r="K290" t="s">
        <v>14</v>
      </c>
      <c r="U290" t="s">
        <v>2475</v>
      </c>
      <c r="V290" t="s">
        <v>3002</v>
      </c>
      <c r="W290" t="s">
        <v>2528</v>
      </c>
      <c r="X290" t="s">
        <v>19</v>
      </c>
    </row>
    <row r="291" spans="8:24" x14ac:dyDescent="0.45">
      <c r="H291" t="s">
        <v>2749</v>
      </c>
      <c r="I291" t="s">
        <v>36</v>
      </c>
      <c r="J291">
        <v>4.885758027362506E-3</v>
      </c>
      <c r="K291" t="s">
        <v>14</v>
      </c>
      <c r="U291" t="s">
        <v>2475</v>
      </c>
      <c r="V291" t="s">
        <v>3003</v>
      </c>
      <c r="W291" t="s">
        <v>2528</v>
      </c>
      <c r="X291" t="s">
        <v>19</v>
      </c>
    </row>
    <row r="292" spans="8:24" x14ac:dyDescent="0.45">
      <c r="H292" t="s">
        <v>2751</v>
      </c>
      <c r="I292" t="s">
        <v>13</v>
      </c>
      <c r="J292">
        <v>1.961463915507369E-2</v>
      </c>
      <c r="K292" t="s">
        <v>14</v>
      </c>
      <c r="U292" t="s">
        <v>2475</v>
      </c>
      <c r="V292" t="s">
        <v>3004</v>
      </c>
      <c r="W292" t="s">
        <v>2528</v>
      </c>
      <c r="X292" t="s">
        <v>19</v>
      </c>
    </row>
    <row r="293" spans="8:24" x14ac:dyDescent="0.45">
      <c r="H293" t="s">
        <v>2751</v>
      </c>
      <c r="I293" t="s">
        <v>27</v>
      </c>
      <c r="J293">
        <v>1.961463915507369E-2</v>
      </c>
      <c r="K293" t="s">
        <v>14</v>
      </c>
      <c r="U293" t="s">
        <v>2475</v>
      </c>
      <c r="V293" t="s">
        <v>3005</v>
      </c>
      <c r="W293" t="s">
        <v>2528</v>
      </c>
      <c r="X293" t="s">
        <v>19</v>
      </c>
    </row>
    <row r="294" spans="8:24" x14ac:dyDescent="0.45">
      <c r="H294" t="s">
        <v>2751</v>
      </c>
      <c r="I294" t="s">
        <v>36</v>
      </c>
      <c r="J294">
        <v>1.961463915507369E-2</v>
      </c>
      <c r="K294" t="s">
        <v>14</v>
      </c>
      <c r="U294" t="s">
        <v>2475</v>
      </c>
      <c r="V294" t="s">
        <v>3006</v>
      </c>
      <c r="W294" t="s">
        <v>2528</v>
      </c>
      <c r="X294" t="s">
        <v>19</v>
      </c>
    </row>
    <row r="295" spans="8:24" x14ac:dyDescent="0.45">
      <c r="H295" t="s">
        <v>2753</v>
      </c>
      <c r="I295" t="s">
        <v>13</v>
      </c>
      <c r="J295">
        <v>1.0994378439506392E-2</v>
      </c>
      <c r="K295" t="s">
        <v>14</v>
      </c>
      <c r="U295" t="s">
        <v>2475</v>
      </c>
      <c r="V295" t="s">
        <v>3007</v>
      </c>
      <c r="W295" t="s">
        <v>2528</v>
      </c>
      <c r="X295" t="s">
        <v>19</v>
      </c>
    </row>
    <row r="296" spans="8:24" x14ac:dyDescent="0.45">
      <c r="H296" t="s">
        <v>2753</v>
      </c>
      <c r="I296" t="s">
        <v>27</v>
      </c>
      <c r="J296">
        <v>1.0994378439506392E-2</v>
      </c>
      <c r="K296" t="s">
        <v>14</v>
      </c>
      <c r="U296" t="s">
        <v>2475</v>
      </c>
      <c r="V296" t="s">
        <v>3008</v>
      </c>
      <c r="W296" t="s">
        <v>2528</v>
      </c>
      <c r="X296" t="s">
        <v>19</v>
      </c>
    </row>
    <row r="297" spans="8:24" x14ac:dyDescent="0.45">
      <c r="H297" t="s">
        <v>2753</v>
      </c>
      <c r="I297" t="s">
        <v>36</v>
      </c>
      <c r="J297">
        <v>1.0994378439506392E-2</v>
      </c>
      <c r="K297" t="s">
        <v>14</v>
      </c>
      <c r="U297" t="s">
        <v>2475</v>
      </c>
      <c r="V297" t="s">
        <v>3009</v>
      </c>
      <c r="W297" t="s">
        <v>2528</v>
      </c>
      <c r="X297" t="s">
        <v>19</v>
      </c>
    </row>
    <row r="298" spans="8:24" x14ac:dyDescent="0.45">
      <c r="H298" t="s">
        <v>2755</v>
      </c>
      <c r="I298" t="s">
        <v>13</v>
      </c>
      <c r="J298">
        <v>3.6787079072879941E-3</v>
      </c>
      <c r="K298" t="s">
        <v>14</v>
      </c>
      <c r="U298" t="s">
        <v>2475</v>
      </c>
      <c r="V298" t="s">
        <v>3010</v>
      </c>
      <c r="W298" t="s">
        <v>2528</v>
      </c>
      <c r="X298" t="s">
        <v>19</v>
      </c>
    </row>
    <row r="299" spans="8:24" x14ac:dyDescent="0.45">
      <c r="H299" t="s">
        <v>2755</v>
      </c>
      <c r="I299" t="s">
        <v>27</v>
      </c>
      <c r="J299">
        <v>3.6787079072879941E-3</v>
      </c>
      <c r="K299" t="s">
        <v>14</v>
      </c>
      <c r="U299" t="s">
        <v>2475</v>
      </c>
      <c r="V299" t="s">
        <v>3011</v>
      </c>
      <c r="W299" t="s">
        <v>2528</v>
      </c>
      <c r="X299" t="s">
        <v>19</v>
      </c>
    </row>
    <row r="300" spans="8:24" x14ac:dyDescent="0.45">
      <c r="H300" t="s">
        <v>2755</v>
      </c>
      <c r="I300" t="s">
        <v>36</v>
      </c>
      <c r="J300">
        <v>3.6787079072879941E-3</v>
      </c>
      <c r="K300" t="s">
        <v>14</v>
      </c>
      <c r="U300" t="s">
        <v>2475</v>
      </c>
      <c r="V300" t="s">
        <v>3012</v>
      </c>
      <c r="W300" t="s">
        <v>2528</v>
      </c>
      <c r="X300" t="s">
        <v>19</v>
      </c>
    </row>
    <row r="301" spans="8:24" x14ac:dyDescent="0.45">
      <c r="H301" t="s">
        <v>2757</v>
      </c>
      <c r="I301" t="s">
        <v>13</v>
      </c>
      <c r="J301">
        <v>5.831493968307757E-2</v>
      </c>
      <c r="K301" t="s">
        <v>14</v>
      </c>
      <c r="U301" t="s">
        <v>2475</v>
      </c>
      <c r="V301" t="s">
        <v>3012</v>
      </c>
      <c r="W301" t="s">
        <v>2849</v>
      </c>
      <c r="X301" t="s">
        <v>19</v>
      </c>
    </row>
    <row r="302" spans="8:24" x14ac:dyDescent="0.45">
      <c r="H302" t="s">
        <v>2757</v>
      </c>
      <c r="I302" t="s">
        <v>27</v>
      </c>
      <c r="J302">
        <v>5.831493968307757E-2</v>
      </c>
      <c r="K302" t="s">
        <v>14</v>
      </c>
      <c r="U302" t="s">
        <v>2475</v>
      </c>
      <c r="V302" t="s">
        <v>3013</v>
      </c>
      <c r="W302" t="s">
        <v>2528</v>
      </c>
      <c r="X302" t="s">
        <v>19</v>
      </c>
    </row>
    <row r="303" spans="8:24" x14ac:dyDescent="0.45">
      <c r="H303" t="s">
        <v>2757</v>
      </c>
      <c r="I303" t="s">
        <v>36</v>
      </c>
      <c r="J303">
        <v>5.831493968307757E-2</v>
      </c>
      <c r="K303" t="s">
        <v>14</v>
      </c>
      <c r="U303" t="s">
        <v>2475</v>
      </c>
      <c r="V303" t="s">
        <v>3013</v>
      </c>
      <c r="W303" t="s">
        <v>2849</v>
      </c>
      <c r="X303" t="s">
        <v>19</v>
      </c>
    </row>
    <row r="304" spans="8:24" x14ac:dyDescent="0.45">
      <c r="H304" t="s">
        <v>2759</v>
      </c>
      <c r="I304" t="s">
        <v>13</v>
      </c>
      <c r="J304">
        <v>6.0347883451007077E-2</v>
      </c>
      <c r="K304" t="s">
        <v>14</v>
      </c>
      <c r="U304" t="s">
        <v>2475</v>
      </c>
      <c r="V304" t="s">
        <v>3014</v>
      </c>
      <c r="W304" t="s">
        <v>2528</v>
      </c>
      <c r="X304" t="s">
        <v>19</v>
      </c>
    </row>
    <row r="305" spans="8:24" x14ac:dyDescent="0.45">
      <c r="H305" t="s">
        <v>2759</v>
      </c>
      <c r="I305" t="s">
        <v>27</v>
      </c>
      <c r="J305">
        <v>6.0347883451007077E-2</v>
      </c>
      <c r="K305" t="s">
        <v>14</v>
      </c>
      <c r="U305" t="s">
        <v>2475</v>
      </c>
      <c r="V305" t="s">
        <v>3014</v>
      </c>
      <c r="W305" t="s">
        <v>2849</v>
      </c>
      <c r="X305" t="s">
        <v>19</v>
      </c>
    </row>
    <row r="306" spans="8:24" x14ac:dyDescent="0.45">
      <c r="H306" t="s">
        <v>2759</v>
      </c>
      <c r="I306" t="s">
        <v>36</v>
      </c>
      <c r="J306">
        <v>6.0347883451007077E-2</v>
      </c>
      <c r="K306" t="s">
        <v>14</v>
      </c>
      <c r="U306" t="s">
        <v>2475</v>
      </c>
      <c r="V306" t="s">
        <v>3015</v>
      </c>
      <c r="W306" t="s">
        <v>2849</v>
      </c>
      <c r="X306" t="s">
        <v>19</v>
      </c>
    </row>
    <row r="307" spans="8:24" x14ac:dyDescent="0.45">
      <c r="H307" t="s">
        <v>2761</v>
      </c>
      <c r="I307" t="s">
        <v>13</v>
      </c>
      <c r="J307">
        <v>1.4191770967575684E-2</v>
      </c>
      <c r="K307" t="s">
        <v>14</v>
      </c>
      <c r="U307" t="s">
        <v>2475</v>
      </c>
      <c r="V307" t="s">
        <v>3016</v>
      </c>
      <c r="W307" t="s">
        <v>2849</v>
      </c>
      <c r="X307" t="s">
        <v>19</v>
      </c>
    </row>
    <row r="308" spans="8:24" x14ac:dyDescent="0.45">
      <c r="H308" t="s">
        <v>2761</v>
      </c>
      <c r="I308" t="s">
        <v>27</v>
      </c>
      <c r="J308">
        <v>1.4191770967575684E-2</v>
      </c>
      <c r="K308" t="s">
        <v>14</v>
      </c>
      <c r="U308" t="s">
        <v>2475</v>
      </c>
      <c r="V308" t="s">
        <v>3017</v>
      </c>
      <c r="W308" t="s">
        <v>2849</v>
      </c>
      <c r="X308" t="s">
        <v>19</v>
      </c>
    </row>
    <row r="309" spans="8:24" x14ac:dyDescent="0.45">
      <c r="H309" t="s">
        <v>2761</v>
      </c>
      <c r="I309" t="s">
        <v>36</v>
      </c>
      <c r="J309">
        <v>1.4191770967575684E-2</v>
      </c>
      <c r="K309" t="s">
        <v>14</v>
      </c>
      <c r="U309" t="s">
        <v>2475</v>
      </c>
      <c r="V309" t="s">
        <v>3017</v>
      </c>
      <c r="W309" t="s">
        <v>2528</v>
      </c>
      <c r="X309" t="s">
        <v>17</v>
      </c>
    </row>
    <row r="310" spans="8:24" x14ac:dyDescent="0.45">
      <c r="H310" t="s">
        <v>2762</v>
      </c>
      <c r="I310" t="s">
        <v>13</v>
      </c>
      <c r="J310">
        <v>4.8135533502421963E-3</v>
      </c>
      <c r="K310" t="s">
        <v>14</v>
      </c>
      <c r="U310" t="s">
        <v>2475</v>
      </c>
      <c r="V310" t="s">
        <v>3018</v>
      </c>
      <c r="W310" t="s">
        <v>2849</v>
      </c>
      <c r="X310" t="s">
        <v>19</v>
      </c>
    </row>
    <row r="311" spans="8:24" x14ac:dyDescent="0.45">
      <c r="H311" t="s">
        <v>2762</v>
      </c>
      <c r="I311" t="s">
        <v>27</v>
      </c>
      <c r="J311">
        <v>4.8135533502421963E-3</v>
      </c>
      <c r="K311" t="s">
        <v>14</v>
      </c>
      <c r="U311" t="s">
        <v>2475</v>
      </c>
      <c r="V311" t="s">
        <v>3018</v>
      </c>
      <c r="W311" t="s">
        <v>2528</v>
      </c>
      <c r="X311" t="s">
        <v>17</v>
      </c>
    </row>
    <row r="312" spans="8:24" x14ac:dyDescent="0.45">
      <c r="H312" t="s">
        <v>2762</v>
      </c>
      <c r="I312" t="s">
        <v>36</v>
      </c>
      <c r="J312">
        <v>4.8135533502421963E-3</v>
      </c>
      <c r="K312" t="s">
        <v>14</v>
      </c>
      <c r="U312" t="s">
        <v>2475</v>
      </c>
      <c r="V312" t="s">
        <v>3019</v>
      </c>
      <c r="W312" t="s">
        <v>2531</v>
      </c>
      <c r="X312" t="s">
        <v>19</v>
      </c>
    </row>
    <row r="313" spans="8:24" x14ac:dyDescent="0.45">
      <c r="H313" t="s">
        <v>2764</v>
      </c>
      <c r="I313" t="s">
        <v>13</v>
      </c>
      <c r="J313">
        <v>4.8199412850502051E-3</v>
      </c>
      <c r="K313" t="s">
        <v>14</v>
      </c>
      <c r="U313" t="s">
        <v>2475</v>
      </c>
      <c r="V313" t="s">
        <v>3020</v>
      </c>
      <c r="W313" t="s">
        <v>2531</v>
      </c>
      <c r="X313" t="s">
        <v>19</v>
      </c>
    </row>
    <row r="314" spans="8:24" x14ac:dyDescent="0.45">
      <c r="H314" t="s">
        <v>2764</v>
      </c>
      <c r="I314" t="s">
        <v>27</v>
      </c>
      <c r="J314">
        <v>4.8199412850502051E-3</v>
      </c>
      <c r="K314" t="s">
        <v>14</v>
      </c>
      <c r="U314" t="s">
        <v>2475</v>
      </c>
      <c r="V314" t="s">
        <v>3021</v>
      </c>
      <c r="W314" t="s">
        <v>2531</v>
      </c>
      <c r="X314" t="s">
        <v>19</v>
      </c>
    </row>
    <row r="315" spans="8:24" x14ac:dyDescent="0.45">
      <c r="H315" t="s">
        <v>2764</v>
      </c>
      <c r="I315" t="s">
        <v>36</v>
      </c>
      <c r="J315">
        <v>4.8199412850502051E-3</v>
      </c>
      <c r="K315" t="s">
        <v>14</v>
      </c>
      <c r="U315" t="s">
        <v>2475</v>
      </c>
      <c r="V315" t="s">
        <v>3022</v>
      </c>
      <c r="W315" t="s">
        <v>2531</v>
      </c>
      <c r="X315" t="s">
        <v>19</v>
      </c>
    </row>
    <row r="316" spans="8:24" x14ac:dyDescent="0.45">
      <c r="H316" t="s">
        <v>2765</v>
      </c>
      <c r="I316" t="s">
        <v>13</v>
      </c>
      <c r="J316">
        <v>2.1475032660077361E-3</v>
      </c>
      <c r="K316" t="s">
        <v>14</v>
      </c>
      <c r="U316" t="s">
        <v>2475</v>
      </c>
      <c r="V316" t="s">
        <v>3023</v>
      </c>
      <c r="W316" t="s">
        <v>2531</v>
      </c>
      <c r="X316" t="s">
        <v>19</v>
      </c>
    </row>
    <row r="317" spans="8:24" x14ac:dyDescent="0.45">
      <c r="H317" t="s">
        <v>2765</v>
      </c>
      <c r="I317" t="s">
        <v>27</v>
      </c>
      <c r="J317">
        <v>2.1475032660077361E-3</v>
      </c>
      <c r="K317" t="s">
        <v>14</v>
      </c>
      <c r="U317" t="s">
        <v>2475</v>
      </c>
      <c r="V317" t="s">
        <v>3024</v>
      </c>
      <c r="W317" t="s">
        <v>2531</v>
      </c>
      <c r="X317" t="s">
        <v>19</v>
      </c>
    </row>
    <row r="318" spans="8:24" x14ac:dyDescent="0.45">
      <c r="H318" t="s">
        <v>2765</v>
      </c>
      <c r="I318" t="s">
        <v>36</v>
      </c>
      <c r="J318">
        <v>2.1475032660077361E-3</v>
      </c>
      <c r="K318" t="s">
        <v>14</v>
      </c>
      <c r="U318" t="s">
        <v>2475</v>
      </c>
      <c r="V318" t="s">
        <v>3025</v>
      </c>
      <c r="W318" t="s">
        <v>2531</v>
      </c>
      <c r="X318" t="s">
        <v>19</v>
      </c>
    </row>
    <row r="319" spans="8:24" x14ac:dyDescent="0.45">
      <c r="H319" t="s">
        <v>2767</v>
      </c>
      <c r="I319" t="s">
        <v>13</v>
      </c>
      <c r="J319">
        <v>2.1444962370996356E-3</v>
      </c>
      <c r="K319" t="s">
        <v>14</v>
      </c>
      <c r="U319" t="s">
        <v>2475</v>
      </c>
      <c r="V319" t="s">
        <v>3026</v>
      </c>
      <c r="W319" t="s">
        <v>2531</v>
      </c>
      <c r="X319" t="s">
        <v>19</v>
      </c>
    </row>
    <row r="320" spans="8:24" x14ac:dyDescent="0.45">
      <c r="H320" t="s">
        <v>2767</v>
      </c>
      <c r="I320" t="s">
        <v>27</v>
      </c>
      <c r="J320">
        <v>2.1444962370996356E-3</v>
      </c>
      <c r="K320" t="s">
        <v>14</v>
      </c>
      <c r="U320" t="s">
        <v>2475</v>
      </c>
      <c r="V320" t="s">
        <v>3027</v>
      </c>
      <c r="W320" t="s">
        <v>2531</v>
      </c>
      <c r="X320" t="s">
        <v>19</v>
      </c>
    </row>
    <row r="321" spans="8:24" x14ac:dyDescent="0.45">
      <c r="H321" t="s">
        <v>2767</v>
      </c>
      <c r="I321" t="s">
        <v>36</v>
      </c>
      <c r="J321">
        <v>2.1444962370996356E-3</v>
      </c>
      <c r="K321" t="s">
        <v>14</v>
      </c>
      <c r="U321" t="s">
        <v>2475</v>
      </c>
      <c r="V321" t="s">
        <v>3028</v>
      </c>
      <c r="W321" t="s">
        <v>2531</v>
      </c>
      <c r="X321" t="s">
        <v>19</v>
      </c>
    </row>
    <row r="322" spans="8:24" x14ac:dyDescent="0.45">
      <c r="H322" t="s">
        <v>2769</v>
      </c>
      <c r="I322" t="s">
        <v>13</v>
      </c>
      <c r="J322">
        <v>3.8487864018426059E-3</v>
      </c>
      <c r="K322" t="s">
        <v>14</v>
      </c>
      <c r="U322" t="s">
        <v>2475</v>
      </c>
      <c r="V322" t="s">
        <v>3029</v>
      </c>
      <c r="W322" t="s">
        <v>2531</v>
      </c>
      <c r="X322" t="s">
        <v>19</v>
      </c>
    </row>
    <row r="323" spans="8:24" x14ac:dyDescent="0.45">
      <c r="H323" t="s">
        <v>2769</v>
      </c>
      <c r="I323" t="s">
        <v>27</v>
      </c>
      <c r="J323">
        <v>3.8487864018426059E-3</v>
      </c>
      <c r="K323" t="s">
        <v>14</v>
      </c>
      <c r="U323" t="s">
        <v>2475</v>
      </c>
      <c r="V323" t="s">
        <v>3029</v>
      </c>
      <c r="W323" t="s">
        <v>2898</v>
      </c>
      <c r="X323" t="s">
        <v>19</v>
      </c>
    </row>
    <row r="324" spans="8:24" x14ac:dyDescent="0.45">
      <c r="H324" t="s">
        <v>2769</v>
      </c>
      <c r="I324" t="s">
        <v>36</v>
      </c>
      <c r="J324">
        <v>3.8487864018426059E-3</v>
      </c>
      <c r="K324" t="s">
        <v>14</v>
      </c>
      <c r="U324" t="s">
        <v>2475</v>
      </c>
      <c r="V324" t="s">
        <v>3030</v>
      </c>
      <c r="W324" t="s">
        <v>2531</v>
      </c>
      <c r="X324" t="s">
        <v>19</v>
      </c>
    </row>
    <row r="325" spans="8:24" x14ac:dyDescent="0.45">
      <c r="H325" t="s">
        <v>2771</v>
      </c>
      <c r="I325" t="s">
        <v>13</v>
      </c>
      <c r="J325">
        <v>8.8990626483438119E-3</v>
      </c>
      <c r="K325" t="s">
        <v>14</v>
      </c>
      <c r="U325" t="s">
        <v>2475</v>
      </c>
      <c r="V325" t="s">
        <v>3030</v>
      </c>
      <c r="W325" t="s">
        <v>2898</v>
      </c>
      <c r="X325" t="s">
        <v>19</v>
      </c>
    </row>
    <row r="326" spans="8:24" x14ac:dyDescent="0.45">
      <c r="H326" t="s">
        <v>2771</v>
      </c>
      <c r="I326" t="s">
        <v>27</v>
      </c>
      <c r="J326">
        <v>8.8990626483438119E-3</v>
      </c>
      <c r="K326" t="s">
        <v>14</v>
      </c>
      <c r="U326" t="s">
        <v>2475</v>
      </c>
      <c r="V326" t="s">
        <v>3031</v>
      </c>
      <c r="W326" t="s">
        <v>2531</v>
      </c>
      <c r="X326" t="s">
        <v>19</v>
      </c>
    </row>
    <row r="327" spans="8:24" x14ac:dyDescent="0.45">
      <c r="H327" t="s">
        <v>2771</v>
      </c>
      <c r="I327" t="s">
        <v>36</v>
      </c>
      <c r="J327">
        <v>8.8990626483438119E-3</v>
      </c>
      <c r="K327" t="s">
        <v>14</v>
      </c>
      <c r="U327" t="s">
        <v>2475</v>
      </c>
      <c r="V327" t="s">
        <v>3031</v>
      </c>
      <c r="W327" t="s">
        <v>2898</v>
      </c>
      <c r="X327" t="s">
        <v>19</v>
      </c>
    </row>
    <row r="328" spans="8:24" x14ac:dyDescent="0.45">
      <c r="H328" t="s">
        <v>2772</v>
      </c>
      <c r="I328" t="s">
        <v>13</v>
      </c>
      <c r="J328">
        <v>4.3248616929961362E-2</v>
      </c>
      <c r="K328" t="s">
        <v>14</v>
      </c>
      <c r="U328" t="s">
        <v>2475</v>
      </c>
      <c r="V328" t="s">
        <v>3032</v>
      </c>
      <c r="W328" t="s">
        <v>2898</v>
      </c>
      <c r="X328" t="s">
        <v>19</v>
      </c>
    </row>
    <row r="329" spans="8:24" x14ac:dyDescent="0.45">
      <c r="H329" t="s">
        <v>2772</v>
      </c>
      <c r="I329" t="s">
        <v>27</v>
      </c>
      <c r="J329">
        <v>4.3248616929961362E-2</v>
      </c>
      <c r="K329" t="s">
        <v>14</v>
      </c>
      <c r="U329" t="s">
        <v>2475</v>
      </c>
      <c r="V329" t="s">
        <v>3033</v>
      </c>
      <c r="W329" t="s">
        <v>2898</v>
      </c>
      <c r="X329" t="s">
        <v>19</v>
      </c>
    </row>
    <row r="330" spans="8:24" x14ac:dyDescent="0.45">
      <c r="H330" t="s">
        <v>2772</v>
      </c>
      <c r="I330" t="s">
        <v>36</v>
      </c>
      <c r="J330">
        <v>4.3248616929961362E-2</v>
      </c>
      <c r="K330" t="s">
        <v>14</v>
      </c>
      <c r="U330" t="s">
        <v>2475</v>
      </c>
      <c r="V330" t="s">
        <v>3034</v>
      </c>
      <c r="W330" t="s">
        <v>2898</v>
      </c>
      <c r="X330" t="s">
        <v>19</v>
      </c>
    </row>
    <row r="331" spans="8:24" x14ac:dyDescent="0.45">
      <c r="H331" t="s">
        <v>2774</v>
      </c>
      <c r="I331" t="s">
        <v>13</v>
      </c>
      <c r="J331">
        <v>2.7109501348586217E-2</v>
      </c>
      <c r="K331" t="s">
        <v>14</v>
      </c>
      <c r="U331" t="s">
        <v>2475</v>
      </c>
      <c r="V331" t="s">
        <v>3034</v>
      </c>
      <c r="W331" t="s">
        <v>2531</v>
      </c>
      <c r="X331" t="s">
        <v>17</v>
      </c>
    </row>
    <row r="332" spans="8:24" x14ac:dyDescent="0.45">
      <c r="H332" t="s">
        <v>2774</v>
      </c>
      <c r="I332" t="s">
        <v>27</v>
      </c>
      <c r="J332">
        <v>2.7109501348586217E-2</v>
      </c>
      <c r="K332" t="s">
        <v>14</v>
      </c>
      <c r="U332" t="s">
        <v>2475</v>
      </c>
      <c r="V332" t="s">
        <v>3035</v>
      </c>
      <c r="W332" t="s">
        <v>2898</v>
      </c>
      <c r="X332" t="s">
        <v>19</v>
      </c>
    </row>
    <row r="333" spans="8:24" x14ac:dyDescent="0.45">
      <c r="H333" t="s">
        <v>2774</v>
      </c>
      <c r="I333" t="s">
        <v>36</v>
      </c>
      <c r="J333">
        <v>2.7109501348586217E-2</v>
      </c>
      <c r="K333" t="s">
        <v>14</v>
      </c>
      <c r="U333" t="s">
        <v>2475</v>
      </c>
      <c r="V333" t="s">
        <v>3035</v>
      </c>
      <c r="W333" t="s">
        <v>2531</v>
      </c>
      <c r="X333" t="s">
        <v>17</v>
      </c>
    </row>
    <row r="334" spans="8:24" x14ac:dyDescent="0.45">
      <c r="H334" t="s">
        <v>2775</v>
      </c>
      <c r="I334" t="s">
        <v>13</v>
      </c>
      <c r="J334">
        <v>5.2721154290259392E-2</v>
      </c>
      <c r="K334" t="s">
        <v>14</v>
      </c>
      <c r="U334" t="s">
        <v>2475</v>
      </c>
      <c r="V334" t="s">
        <v>3036</v>
      </c>
      <c r="W334" t="s">
        <v>2535</v>
      </c>
      <c r="X334" t="s">
        <v>19</v>
      </c>
    </row>
    <row r="335" spans="8:24" x14ac:dyDescent="0.45">
      <c r="H335" t="s">
        <v>2775</v>
      </c>
      <c r="I335" t="s">
        <v>27</v>
      </c>
      <c r="J335">
        <v>5.2721154290259392E-2</v>
      </c>
      <c r="K335" t="s">
        <v>14</v>
      </c>
      <c r="U335" t="s">
        <v>2475</v>
      </c>
      <c r="V335" t="s">
        <v>3037</v>
      </c>
      <c r="W335" t="s">
        <v>2535</v>
      </c>
      <c r="X335" t="s">
        <v>19</v>
      </c>
    </row>
    <row r="336" spans="8:24" x14ac:dyDescent="0.45">
      <c r="H336" t="s">
        <v>2775</v>
      </c>
      <c r="I336" t="s">
        <v>36</v>
      </c>
      <c r="J336">
        <v>5.2721154290259392E-2</v>
      </c>
      <c r="K336" t="s">
        <v>14</v>
      </c>
      <c r="U336" t="s">
        <v>2475</v>
      </c>
      <c r="V336" t="s">
        <v>3038</v>
      </c>
      <c r="W336" t="s">
        <v>2535</v>
      </c>
      <c r="X336" t="s">
        <v>19</v>
      </c>
    </row>
    <row r="337" spans="8:24" x14ac:dyDescent="0.45">
      <c r="H337" t="s">
        <v>2777</v>
      </c>
      <c r="I337" t="s">
        <v>13</v>
      </c>
      <c r="J337">
        <v>9.4543116472414115E-3</v>
      </c>
      <c r="K337" t="s">
        <v>14</v>
      </c>
      <c r="U337" t="s">
        <v>2475</v>
      </c>
      <c r="V337" t="s">
        <v>3039</v>
      </c>
      <c r="W337" t="s">
        <v>2535</v>
      </c>
      <c r="X337" t="s">
        <v>19</v>
      </c>
    </row>
    <row r="338" spans="8:24" x14ac:dyDescent="0.45">
      <c r="H338" t="s">
        <v>2777</v>
      </c>
      <c r="I338" t="s">
        <v>27</v>
      </c>
      <c r="J338">
        <v>9.4543116472414115E-3</v>
      </c>
      <c r="K338" t="s">
        <v>14</v>
      </c>
      <c r="U338" t="s">
        <v>2475</v>
      </c>
      <c r="V338" t="s">
        <v>3040</v>
      </c>
      <c r="W338" t="s">
        <v>2535</v>
      </c>
      <c r="X338" t="s">
        <v>19</v>
      </c>
    </row>
    <row r="339" spans="8:24" x14ac:dyDescent="0.45">
      <c r="H339" t="s">
        <v>2777</v>
      </c>
      <c r="I339" t="s">
        <v>36</v>
      </c>
      <c r="J339">
        <v>9.4543116472414115E-3</v>
      </c>
      <c r="K339" t="s">
        <v>14</v>
      </c>
      <c r="U339" t="s">
        <v>2475</v>
      </c>
      <c r="V339" t="s">
        <v>3041</v>
      </c>
      <c r="W339" t="s">
        <v>2535</v>
      </c>
      <c r="X339" t="s">
        <v>19</v>
      </c>
    </row>
    <row r="340" spans="8:24" x14ac:dyDescent="0.45">
      <c r="H340" t="s">
        <v>2779</v>
      </c>
      <c r="I340" t="s">
        <v>13</v>
      </c>
      <c r="J340">
        <v>4.9091555603068333E-2</v>
      </c>
      <c r="K340" t="s">
        <v>14</v>
      </c>
      <c r="U340" t="s">
        <v>2475</v>
      </c>
      <c r="V340" t="s">
        <v>3042</v>
      </c>
      <c r="W340" t="s">
        <v>2535</v>
      </c>
      <c r="X340" t="s">
        <v>19</v>
      </c>
    </row>
    <row r="341" spans="8:24" x14ac:dyDescent="0.45">
      <c r="H341" t="s">
        <v>2779</v>
      </c>
      <c r="I341" t="s">
        <v>27</v>
      </c>
      <c r="J341">
        <v>4.9091555603068333E-2</v>
      </c>
      <c r="K341" t="s">
        <v>14</v>
      </c>
      <c r="U341" t="s">
        <v>2475</v>
      </c>
      <c r="V341" t="s">
        <v>3043</v>
      </c>
      <c r="W341" t="s">
        <v>2535</v>
      </c>
      <c r="X341" t="s">
        <v>19</v>
      </c>
    </row>
    <row r="342" spans="8:24" x14ac:dyDescent="0.45">
      <c r="H342" t="s">
        <v>2779</v>
      </c>
      <c r="I342" t="s">
        <v>36</v>
      </c>
      <c r="J342">
        <v>4.9091555603068333E-2</v>
      </c>
      <c r="K342" t="s">
        <v>14</v>
      </c>
      <c r="U342" t="s">
        <v>2475</v>
      </c>
      <c r="V342" t="s">
        <v>3044</v>
      </c>
      <c r="W342" t="s">
        <v>2535</v>
      </c>
      <c r="X342" t="s">
        <v>19</v>
      </c>
    </row>
    <row r="343" spans="8:24" x14ac:dyDescent="0.45">
      <c r="H343" t="s">
        <v>2781</v>
      </c>
      <c r="I343" t="s">
        <v>13</v>
      </c>
      <c r="J343">
        <v>1.4617418257332688E-2</v>
      </c>
      <c r="K343" t="s">
        <v>14</v>
      </c>
      <c r="U343" t="s">
        <v>2475</v>
      </c>
      <c r="V343" t="s">
        <v>3045</v>
      </c>
      <c r="W343" t="s">
        <v>2535</v>
      </c>
      <c r="X343" t="s">
        <v>19</v>
      </c>
    </row>
    <row r="344" spans="8:24" x14ac:dyDescent="0.45">
      <c r="H344" t="s">
        <v>2781</v>
      </c>
      <c r="I344" t="s">
        <v>27</v>
      </c>
      <c r="J344">
        <v>1.4617418257332688E-2</v>
      </c>
      <c r="K344" t="s">
        <v>14</v>
      </c>
      <c r="U344" t="s">
        <v>2475</v>
      </c>
      <c r="V344" t="s">
        <v>3046</v>
      </c>
      <c r="W344" t="s">
        <v>2535</v>
      </c>
      <c r="X344" t="s">
        <v>19</v>
      </c>
    </row>
    <row r="345" spans="8:24" x14ac:dyDescent="0.45">
      <c r="H345" t="s">
        <v>2781</v>
      </c>
      <c r="I345" t="s">
        <v>36</v>
      </c>
      <c r="J345">
        <v>1.4617418257332688E-2</v>
      </c>
      <c r="K345" t="s">
        <v>14</v>
      </c>
      <c r="U345" t="s">
        <v>2475</v>
      </c>
      <c r="V345" t="s">
        <v>3046</v>
      </c>
      <c r="W345" t="s">
        <v>2866</v>
      </c>
      <c r="X345" t="s">
        <v>19</v>
      </c>
    </row>
    <row r="346" spans="8:24" x14ac:dyDescent="0.45">
      <c r="H346" t="s">
        <v>2783</v>
      </c>
      <c r="I346" t="s">
        <v>13</v>
      </c>
      <c r="J346">
        <v>7.7381897904656525E-3</v>
      </c>
      <c r="K346" t="s">
        <v>14</v>
      </c>
      <c r="U346" t="s">
        <v>2475</v>
      </c>
      <c r="V346" t="s">
        <v>3047</v>
      </c>
      <c r="W346" t="s">
        <v>2535</v>
      </c>
      <c r="X346" t="s">
        <v>19</v>
      </c>
    </row>
    <row r="347" spans="8:24" x14ac:dyDescent="0.45">
      <c r="H347" t="s">
        <v>2783</v>
      </c>
      <c r="I347" t="s">
        <v>27</v>
      </c>
      <c r="J347">
        <v>7.7381897904656525E-3</v>
      </c>
      <c r="K347" t="s">
        <v>14</v>
      </c>
      <c r="U347" t="s">
        <v>2475</v>
      </c>
      <c r="V347" t="s">
        <v>3047</v>
      </c>
      <c r="W347" t="s">
        <v>2866</v>
      </c>
      <c r="X347" t="s">
        <v>19</v>
      </c>
    </row>
    <row r="348" spans="8:24" x14ac:dyDescent="0.45">
      <c r="H348" t="s">
        <v>2783</v>
      </c>
      <c r="I348" t="s">
        <v>36</v>
      </c>
      <c r="J348">
        <v>7.7381897904656525E-3</v>
      </c>
      <c r="K348" t="s">
        <v>14</v>
      </c>
      <c r="U348" t="s">
        <v>2475</v>
      </c>
      <c r="V348" t="s">
        <v>3048</v>
      </c>
      <c r="W348" t="s">
        <v>2535</v>
      </c>
      <c r="X348" t="s">
        <v>19</v>
      </c>
    </row>
    <row r="349" spans="8:24" x14ac:dyDescent="0.45">
      <c r="H349" t="s">
        <v>2785</v>
      </c>
      <c r="I349" t="s">
        <v>13</v>
      </c>
      <c r="J349">
        <v>6.9858825425211366E-2</v>
      </c>
      <c r="K349" t="s">
        <v>14</v>
      </c>
      <c r="U349" t="s">
        <v>2475</v>
      </c>
      <c r="V349" t="s">
        <v>3048</v>
      </c>
      <c r="W349" t="s">
        <v>2866</v>
      </c>
      <c r="X349" t="s">
        <v>19</v>
      </c>
    </row>
    <row r="350" spans="8:24" x14ac:dyDescent="0.45">
      <c r="H350" t="s">
        <v>2785</v>
      </c>
      <c r="I350" t="s">
        <v>27</v>
      </c>
      <c r="J350">
        <v>6.9858825425211366E-2</v>
      </c>
      <c r="K350" t="s">
        <v>14</v>
      </c>
      <c r="U350" t="s">
        <v>2475</v>
      </c>
      <c r="V350" t="s">
        <v>3049</v>
      </c>
      <c r="W350" t="s">
        <v>2866</v>
      </c>
      <c r="X350" t="s">
        <v>19</v>
      </c>
    </row>
    <row r="351" spans="8:24" x14ac:dyDescent="0.45">
      <c r="H351" t="s">
        <v>2785</v>
      </c>
      <c r="I351" t="s">
        <v>36</v>
      </c>
      <c r="J351">
        <v>6.9858825425211366E-2</v>
      </c>
      <c r="K351" t="s">
        <v>14</v>
      </c>
      <c r="U351" t="s">
        <v>2475</v>
      </c>
      <c r="V351" t="s">
        <v>3050</v>
      </c>
      <c r="W351" t="s">
        <v>2866</v>
      </c>
      <c r="X351" t="s">
        <v>19</v>
      </c>
    </row>
    <row r="352" spans="8:24" x14ac:dyDescent="0.45">
      <c r="H352" t="s">
        <v>2787</v>
      </c>
      <c r="I352" t="s">
        <v>13</v>
      </c>
      <c r="J352">
        <v>3.7852104994517868E-2</v>
      </c>
      <c r="K352" t="s">
        <v>14</v>
      </c>
      <c r="U352" t="s">
        <v>2475</v>
      </c>
      <c r="V352" t="s">
        <v>3051</v>
      </c>
      <c r="W352" t="s">
        <v>2866</v>
      </c>
      <c r="X352" t="s">
        <v>19</v>
      </c>
    </row>
    <row r="353" spans="8:24" x14ac:dyDescent="0.45">
      <c r="H353" t="s">
        <v>2787</v>
      </c>
      <c r="I353" t="s">
        <v>27</v>
      </c>
      <c r="J353">
        <v>3.7852104994517868E-2</v>
      </c>
      <c r="K353" t="s">
        <v>14</v>
      </c>
      <c r="U353" t="s">
        <v>2475</v>
      </c>
      <c r="V353" t="s">
        <v>3051</v>
      </c>
      <c r="W353" t="s">
        <v>2535</v>
      </c>
      <c r="X353" t="s">
        <v>17</v>
      </c>
    </row>
    <row r="354" spans="8:24" x14ac:dyDescent="0.45">
      <c r="H354" t="s">
        <v>2787</v>
      </c>
      <c r="I354" t="s">
        <v>36</v>
      </c>
      <c r="J354">
        <v>3.7852104994517868E-2</v>
      </c>
      <c r="K354" t="s">
        <v>14</v>
      </c>
      <c r="U354" t="s">
        <v>2475</v>
      </c>
      <c r="V354" t="s">
        <v>3052</v>
      </c>
      <c r="W354" t="s">
        <v>2866</v>
      </c>
      <c r="X354" t="s">
        <v>19</v>
      </c>
    </row>
    <row r="355" spans="8:24" x14ac:dyDescent="0.45">
      <c r="H355" t="s">
        <v>2789</v>
      </c>
      <c r="I355" t="s">
        <v>13</v>
      </c>
      <c r="J355">
        <v>4.3987042311574555E-2</v>
      </c>
      <c r="K355" t="s">
        <v>14</v>
      </c>
      <c r="U355" t="s">
        <v>2475</v>
      </c>
      <c r="V355" t="s">
        <v>3052</v>
      </c>
      <c r="W355" t="s">
        <v>2535</v>
      </c>
      <c r="X355" t="s">
        <v>17</v>
      </c>
    </row>
    <row r="356" spans="8:24" x14ac:dyDescent="0.45">
      <c r="H356" t="s">
        <v>2789</v>
      </c>
      <c r="I356" t="s">
        <v>27</v>
      </c>
      <c r="J356">
        <v>4.3987042311574555E-2</v>
      </c>
      <c r="K356" t="s">
        <v>14</v>
      </c>
      <c r="U356" t="s">
        <v>2475</v>
      </c>
      <c r="V356" t="s">
        <v>3053</v>
      </c>
      <c r="W356" t="s">
        <v>2538</v>
      </c>
      <c r="X356" t="s">
        <v>19</v>
      </c>
    </row>
    <row r="357" spans="8:24" x14ac:dyDescent="0.45">
      <c r="H357" t="s">
        <v>2789</v>
      </c>
      <c r="I357" t="s">
        <v>36</v>
      </c>
      <c r="J357">
        <v>4.3987042311574555E-2</v>
      </c>
      <c r="K357" t="s">
        <v>14</v>
      </c>
      <c r="U357" t="s">
        <v>2475</v>
      </c>
      <c r="V357" t="s">
        <v>3054</v>
      </c>
      <c r="W357" t="s">
        <v>2538</v>
      </c>
      <c r="X357" t="s">
        <v>19</v>
      </c>
    </row>
    <row r="358" spans="8:24" x14ac:dyDescent="0.45">
      <c r="H358" t="s">
        <v>2791</v>
      </c>
      <c r="I358" t="s">
        <v>13</v>
      </c>
      <c r="J358">
        <v>2.9968417375847958E-2</v>
      </c>
      <c r="K358" t="s">
        <v>14</v>
      </c>
      <c r="U358" t="s">
        <v>2475</v>
      </c>
      <c r="V358" t="s">
        <v>3055</v>
      </c>
      <c r="W358" t="s">
        <v>2538</v>
      </c>
      <c r="X358" t="s">
        <v>19</v>
      </c>
    </row>
    <row r="359" spans="8:24" x14ac:dyDescent="0.45">
      <c r="H359" t="s">
        <v>2791</v>
      </c>
      <c r="I359" t="s">
        <v>27</v>
      </c>
      <c r="J359">
        <v>2.9968417375847958E-2</v>
      </c>
      <c r="K359" t="s">
        <v>14</v>
      </c>
      <c r="U359" t="s">
        <v>2475</v>
      </c>
      <c r="V359" t="s">
        <v>3056</v>
      </c>
      <c r="W359" t="s">
        <v>2538</v>
      </c>
      <c r="X359" t="s">
        <v>19</v>
      </c>
    </row>
    <row r="360" spans="8:24" x14ac:dyDescent="0.45">
      <c r="H360" t="s">
        <v>2791</v>
      </c>
      <c r="I360" t="s">
        <v>36</v>
      </c>
      <c r="J360">
        <v>2.9968417375847958E-2</v>
      </c>
      <c r="K360" t="s">
        <v>14</v>
      </c>
      <c r="U360" t="s">
        <v>2475</v>
      </c>
      <c r="V360" t="s">
        <v>3057</v>
      </c>
      <c r="W360" t="s">
        <v>2538</v>
      </c>
      <c r="X360" t="s">
        <v>19</v>
      </c>
    </row>
    <row r="361" spans="8:24" x14ac:dyDescent="0.45">
      <c r="H361" t="s">
        <v>2793</v>
      </c>
      <c r="I361" t="s">
        <v>13</v>
      </c>
      <c r="J361">
        <v>1.0194618322193689E-2</v>
      </c>
      <c r="K361" t="s">
        <v>14</v>
      </c>
      <c r="U361" t="s">
        <v>2475</v>
      </c>
      <c r="V361" t="s">
        <v>3058</v>
      </c>
      <c r="W361" t="s">
        <v>2538</v>
      </c>
      <c r="X361" t="s">
        <v>19</v>
      </c>
    </row>
    <row r="362" spans="8:24" x14ac:dyDescent="0.45">
      <c r="H362" t="s">
        <v>2793</v>
      </c>
      <c r="I362" t="s">
        <v>27</v>
      </c>
      <c r="J362">
        <v>1.0194618322193689E-2</v>
      </c>
      <c r="K362" t="s">
        <v>14</v>
      </c>
      <c r="U362" t="s">
        <v>2475</v>
      </c>
      <c r="V362" t="s">
        <v>3059</v>
      </c>
      <c r="W362" t="s">
        <v>2538</v>
      </c>
      <c r="X362" t="s">
        <v>19</v>
      </c>
    </row>
    <row r="363" spans="8:24" x14ac:dyDescent="0.45">
      <c r="H363" t="s">
        <v>2793</v>
      </c>
      <c r="I363" t="s">
        <v>36</v>
      </c>
      <c r="J363">
        <v>1.0194618322193689E-2</v>
      </c>
      <c r="K363" t="s">
        <v>14</v>
      </c>
      <c r="U363" t="s">
        <v>2475</v>
      </c>
      <c r="V363" t="s">
        <v>3060</v>
      </c>
      <c r="W363" t="s">
        <v>2538</v>
      </c>
      <c r="X363" t="s">
        <v>19</v>
      </c>
    </row>
    <row r="364" spans="8:24" x14ac:dyDescent="0.45">
      <c r="H364" t="s">
        <v>2795</v>
      </c>
      <c r="I364" t="s">
        <v>13</v>
      </c>
      <c r="J364">
        <v>2.3980237328607684E-2</v>
      </c>
      <c r="K364" t="s">
        <v>14</v>
      </c>
      <c r="U364" t="s">
        <v>2475</v>
      </c>
      <c r="V364" t="s">
        <v>3061</v>
      </c>
      <c r="W364" t="s">
        <v>2538</v>
      </c>
      <c r="X364" t="s">
        <v>19</v>
      </c>
    </row>
    <row r="365" spans="8:24" x14ac:dyDescent="0.45">
      <c r="H365" t="s">
        <v>2795</v>
      </c>
      <c r="I365" t="s">
        <v>27</v>
      </c>
      <c r="J365">
        <v>2.3980237328607684E-2</v>
      </c>
      <c r="K365" t="s">
        <v>14</v>
      </c>
      <c r="U365" t="s">
        <v>2475</v>
      </c>
      <c r="V365" t="s">
        <v>3062</v>
      </c>
      <c r="W365" t="s">
        <v>2538</v>
      </c>
      <c r="X365" t="s">
        <v>19</v>
      </c>
    </row>
    <row r="366" spans="8:24" x14ac:dyDescent="0.45">
      <c r="H366" t="s">
        <v>2795</v>
      </c>
      <c r="I366" t="s">
        <v>36</v>
      </c>
      <c r="J366">
        <v>2.3980237328607684E-2</v>
      </c>
      <c r="K366" t="s">
        <v>14</v>
      </c>
      <c r="U366" t="s">
        <v>2475</v>
      </c>
      <c r="V366" t="s">
        <v>3063</v>
      </c>
      <c r="W366" t="s">
        <v>2538</v>
      </c>
      <c r="X366" t="s">
        <v>19</v>
      </c>
    </row>
    <row r="367" spans="8:24" x14ac:dyDescent="0.45">
      <c r="H367" t="s">
        <v>2797</v>
      </c>
      <c r="I367" t="s">
        <v>13</v>
      </c>
      <c r="J367">
        <v>1.8153636441602367E-2</v>
      </c>
      <c r="K367" t="s">
        <v>14</v>
      </c>
      <c r="U367" t="s">
        <v>2475</v>
      </c>
      <c r="V367" t="s">
        <v>3063</v>
      </c>
      <c r="W367" t="s">
        <v>2889</v>
      </c>
      <c r="X367" t="s">
        <v>19</v>
      </c>
    </row>
    <row r="368" spans="8:24" x14ac:dyDescent="0.45">
      <c r="H368" t="s">
        <v>2797</v>
      </c>
      <c r="I368" t="s">
        <v>27</v>
      </c>
      <c r="J368">
        <v>1.8153636441602367E-2</v>
      </c>
      <c r="K368" t="s">
        <v>14</v>
      </c>
      <c r="U368" t="s">
        <v>2475</v>
      </c>
      <c r="V368" t="s">
        <v>3064</v>
      </c>
      <c r="W368" t="s">
        <v>2538</v>
      </c>
      <c r="X368" t="s">
        <v>19</v>
      </c>
    </row>
    <row r="369" spans="8:24" x14ac:dyDescent="0.45">
      <c r="H369" t="s">
        <v>2797</v>
      </c>
      <c r="I369" t="s">
        <v>36</v>
      </c>
      <c r="J369">
        <v>1.8153636441602367E-2</v>
      </c>
      <c r="K369" t="s">
        <v>14</v>
      </c>
      <c r="U369" t="s">
        <v>2475</v>
      </c>
      <c r="V369" t="s">
        <v>3064</v>
      </c>
      <c r="W369" t="s">
        <v>2889</v>
      </c>
      <c r="X369" t="s">
        <v>19</v>
      </c>
    </row>
    <row r="370" spans="8:24" x14ac:dyDescent="0.45">
      <c r="H370" t="s">
        <v>2799</v>
      </c>
      <c r="I370" t="s">
        <v>13</v>
      </c>
      <c r="J370">
        <v>5.2510294263457095E-3</v>
      </c>
      <c r="K370" t="s">
        <v>14</v>
      </c>
      <c r="U370" t="s">
        <v>2475</v>
      </c>
      <c r="V370" t="s">
        <v>3065</v>
      </c>
      <c r="W370" t="s">
        <v>2538</v>
      </c>
      <c r="X370" t="s">
        <v>19</v>
      </c>
    </row>
    <row r="371" spans="8:24" x14ac:dyDescent="0.45">
      <c r="H371" t="s">
        <v>2799</v>
      </c>
      <c r="I371" t="s">
        <v>27</v>
      </c>
      <c r="J371">
        <v>5.2510294263457095E-3</v>
      </c>
      <c r="K371" t="s">
        <v>14</v>
      </c>
      <c r="U371" t="s">
        <v>2475</v>
      </c>
      <c r="V371" t="s">
        <v>3065</v>
      </c>
      <c r="W371" t="s">
        <v>2889</v>
      </c>
      <c r="X371" t="s">
        <v>19</v>
      </c>
    </row>
    <row r="372" spans="8:24" x14ac:dyDescent="0.45">
      <c r="H372" t="s">
        <v>2799</v>
      </c>
      <c r="I372" t="s">
        <v>36</v>
      </c>
      <c r="J372">
        <v>5.2510294263457095E-3</v>
      </c>
      <c r="K372" t="s">
        <v>14</v>
      </c>
      <c r="U372" t="s">
        <v>2475</v>
      </c>
      <c r="V372" t="s">
        <v>3066</v>
      </c>
      <c r="W372" t="s">
        <v>2889</v>
      </c>
      <c r="X372" t="s">
        <v>19</v>
      </c>
    </row>
    <row r="373" spans="8:24" x14ac:dyDescent="0.45">
      <c r="H373" t="s">
        <v>2801</v>
      </c>
      <c r="I373" t="s">
        <v>13</v>
      </c>
      <c r="J373">
        <v>5.4833402178561037E-2</v>
      </c>
      <c r="K373" t="s">
        <v>14</v>
      </c>
      <c r="U373" t="s">
        <v>2475</v>
      </c>
      <c r="V373" t="s">
        <v>3067</v>
      </c>
      <c r="W373" t="s">
        <v>2889</v>
      </c>
      <c r="X373" t="s">
        <v>19</v>
      </c>
    </row>
    <row r="374" spans="8:24" x14ac:dyDescent="0.45">
      <c r="H374" t="s">
        <v>2801</v>
      </c>
      <c r="I374" t="s">
        <v>27</v>
      </c>
      <c r="J374">
        <v>5.4833402178561037E-2</v>
      </c>
      <c r="K374" t="s">
        <v>14</v>
      </c>
      <c r="U374" t="s">
        <v>2475</v>
      </c>
      <c r="V374" t="s">
        <v>3068</v>
      </c>
      <c r="W374" t="s">
        <v>2889</v>
      </c>
      <c r="X374" t="s">
        <v>19</v>
      </c>
    </row>
    <row r="375" spans="8:24" x14ac:dyDescent="0.45">
      <c r="H375" t="s">
        <v>2801</v>
      </c>
      <c r="I375" t="s">
        <v>36</v>
      </c>
      <c r="J375">
        <v>5.4833402178561037E-2</v>
      </c>
      <c r="K375" t="s">
        <v>14</v>
      </c>
      <c r="U375" t="s">
        <v>2475</v>
      </c>
      <c r="V375" t="s">
        <v>3068</v>
      </c>
      <c r="W375" t="s">
        <v>2538</v>
      </c>
      <c r="X375" t="s">
        <v>17</v>
      </c>
    </row>
    <row r="376" spans="8:24" x14ac:dyDescent="0.45">
      <c r="H376" t="s">
        <v>2802</v>
      </c>
      <c r="I376" t="s">
        <v>13</v>
      </c>
      <c r="J376">
        <v>0.15330539369178206</v>
      </c>
      <c r="K376" t="s">
        <v>14</v>
      </c>
      <c r="U376" t="s">
        <v>2475</v>
      </c>
      <c r="V376" t="s">
        <v>3069</v>
      </c>
      <c r="W376" t="s">
        <v>2889</v>
      </c>
      <c r="X376" t="s">
        <v>19</v>
      </c>
    </row>
    <row r="377" spans="8:24" x14ac:dyDescent="0.45">
      <c r="H377" t="s">
        <v>2802</v>
      </c>
      <c r="I377" t="s">
        <v>27</v>
      </c>
      <c r="J377">
        <v>0.15330539369178206</v>
      </c>
      <c r="K377" t="s">
        <v>14</v>
      </c>
      <c r="U377" t="s">
        <v>2475</v>
      </c>
      <c r="V377" t="s">
        <v>3069</v>
      </c>
      <c r="W377" t="s">
        <v>2538</v>
      </c>
      <c r="X377" t="s">
        <v>17</v>
      </c>
    </row>
    <row r="378" spans="8:24" x14ac:dyDescent="0.45">
      <c r="H378" t="s">
        <v>2802</v>
      </c>
      <c r="I378" t="s">
        <v>36</v>
      </c>
      <c r="J378">
        <v>0.15330539369178206</v>
      </c>
      <c r="K378" t="s">
        <v>14</v>
      </c>
      <c r="U378" t="s">
        <v>2475</v>
      </c>
      <c r="V378" t="s">
        <v>3070</v>
      </c>
      <c r="W378" t="s">
        <v>2542</v>
      </c>
      <c r="X378" t="s">
        <v>19</v>
      </c>
    </row>
    <row r="379" spans="8:24" x14ac:dyDescent="0.45">
      <c r="H379" t="s">
        <v>2804</v>
      </c>
      <c r="I379" t="s">
        <v>13</v>
      </c>
      <c r="J379">
        <v>3.6173857371635663E-2</v>
      </c>
      <c r="K379" t="s">
        <v>14</v>
      </c>
      <c r="U379" t="s">
        <v>2475</v>
      </c>
      <c r="V379" t="s">
        <v>3071</v>
      </c>
      <c r="W379" t="s">
        <v>2542</v>
      </c>
      <c r="X379" t="s">
        <v>19</v>
      </c>
    </row>
    <row r="380" spans="8:24" x14ac:dyDescent="0.45">
      <c r="H380" t="s">
        <v>2804</v>
      </c>
      <c r="I380" t="s">
        <v>27</v>
      </c>
      <c r="J380">
        <v>3.6173857371635663E-2</v>
      </c>
      <c r="K380" t="s">
        <v>14</v>
      </c>
      <c r="U380" t="s">
        <v>2475</v>
      </c>
      <c r="V380" t="s">
        <v>3072</v>
      </c>
      <c r="W380" t="s">
        <v>2542</v>
      </c>
      <c r="X380" t="s">
        <v>19</v>
      </c>
    </row>
    <row r="381" spans="8:24" x14ac:dyDescent="0.45">
      <c r="H381" t="s">
        <v>2804</v>
      </c>
      <c r="I381" t="s">
        <v>36</v>
      </c>
      <c r="J381">
        <v>3.6173857371635663E-2</v>
      </c>
      <c r="K381" t="s">
        <v>14</v>
      </c>
      <c r="U381" t="s">
        <v>2475</v>
      </c>
      <c r="V381" t="s">
        <v>3073</v>
      </c>
      <c r="W381" t="s">
        <v>2542</v>
      </c>
      <c r="X381" t="s">
        <v>19</v>
      </c>
    </row>
    <row r="382" spans="8:24" x14ac:dyDescent="0.45">
      <c r="H382" t="s">
        <v>2805</v>
      </c>
      <c r="I382" t="s">
        <v>13</v>
      </c>
      <c r="J382">
        <v>4.2875382326183813E-2</v>
      </c>
      <c r="K382" t="s">
        <v>14</v>
      </c>
      <c r="U382" t="s">
        <v>2475</v>
      </c>
      <c r="V382" t="s">
        <v>3074</v>
      </c>
      <c r="W382" t="s">
        <v>2542</v>
      </c>
      <c r="X382" t="s">
        <v>19</v>
      </c>
    </row>
    <row r="383" spans="8:24" x14ac:dyDescent="0.45">
      <c r="H383" t="s">
        <v>2805</v>
      </c>
      <c r="I383" t="s">
        <v>27</v>
      </c>
      <c r="J383">
        <v>4.2875382326183813E-2</v>
      </c>
      <c r="K383" t="s">
        <v>14</v>
      </c>
      <c r="U383" t="s">
        <v>2475</v>
      </c>
      <c r="V383" t="s">
        <v>3075</v>
      </c>
      <c r="W383" t="s">
        <v>2542</v>
      </c>
      <c r="X383" t="s">
        <v>19</v>
      </c>
    </row>
    <row r="384" spans="8:24" x14ac:dyDescent="0.45">
      <c r="H384" t="s">
        <v>2805</v>
      </c>
      <c r="I384" t="s">
        <v>36</v>
      </c>
      <c r="J384">
        <v>4.2875382326183813E-2</v>
      </c>
      <c r="K384" t="s">
        <v>14</v>
      </c>
      <c r="U384" t="s">
        <v>2475</v>
      </c>
      <c r="V384" t="s">
        <v>3076</v>
      </c>
      <c r="W384" t="s">
        <v>2542</v>
      </c>
      <c r="X384" t="s">
        <v>19</v>
      </c>
    </row>
    <row r="385" spans="8:24" x14ac:dyDescent="0.45">
      <c r="H385" t="s">
        <v>2807</v>
      </c>
      <c r="I385" t="s">
        <v>13</v>
      </c>
      <c r="J385">
        <v>1.9277213622419086E-2</v>
      </c>
      <c r="K385" t="s">
        <v>14</v>
      </c>
      <c r="U385" t="s">
        <v>2475</v>
      </c>
      <c r="V385" t="s">
        <v>3077</v>
      </c>
      <c r="W385" t="s">
        <v>2542</v>
      </c>
      <c r="X385" t="s">
        <v>19</v>
      </c>
    </row>
    <row r="386" spans="8:24" x14ac:dyDescent="0.45">
      <c r="H386" t="s">
        <v>2807</v>
      </c>
      <c r="I386" t="s">
        <v>27</v>
      </c>
      <c r="J386">
        <v>1.9277213622419086E-2</v>
      </c>
      <c r="K386" t="s">
        <v>14</v>
      </c>
      <c r="U386" t="s">
        <v>2475</v>
      </c>
      <c r="V386" t="s">
        <v>3078</v>
      </c>
      <c r="W386" t="s">
        <v>2542</v>
      </c>
      <c r="X386" t="s">
        <v>19</v>
      </c>
    </row>
    <row r="387" spans="8:24" x14ac:dyDescent="0.45">
      <c r="H387" t="s">
        <v>2807</v>
      </c>
      <c r="I387" t="s">
        <v>36</v>
      </c>
      <c r="J387">
        <v>1.9277213622419086E-2</v>
      </c>
      <c r="K387" t="s">
        <v>14</v>
      </c>
      <c r="U387" t="s">
        <v>2475</v>
      </c>
      <c r="V387" t="s">
        <v>3079</v>
      </c>
      <c r="W387" t="s">
        <v>2542</v>
      </c>
      <c r="X387" t="s">
        <v>19</v>
      </c>
    </row>
    <row r="388" spans="8:24" x14ac:dyDescent="0.45">
      <c r="H388" t="s">
        <v>2809</v>
      </c>
      <c r="I388" t="s">
        <v>13</v>
      </c>
      <c r="J388">
        <v>2.2354980028807342E-2</v>
      </c>
      <c r="K388" t="s">
        <v>14</v>
      </c>
      <c r="U388" t="s">
        <v>2475</v>
      </c>
      <c r="V388" t="s">
        <v>3080</v>
      </c>
      <c r="W388" t="s">
        <v>2542</v>
      </c>
      <c r="X388" t="s">
        <v>19</v>
      </c>
    </row>
    <row r="389" spans="8:24" x14ac:dyDescent="0.45">
      <c r="H389" t="s">
        <v>2809</v>
      </c>
      <c r="I389" t="s">
        <v>27</v>
      </c>
      <c r="J389">
        <v>2.2354980028807342E-2</v>
      </c>
      <c r="K389" t="s">
        <v>14</v>
      </c>
      <c r="U389" t="s">
        <v>2475</v>
      </c>
      <c r="V389" t="s">
        <v>3080</v>
      </c>
      <c r="W389" t="s">
        <v>2846</v>
      </c>
      <c r="X389" t="s">
        <v>19</v>
      </c>
    </row>
    <row r="390" spans="8:24" x14ac:dyDescent="0.45">
      <c r="H390" t="s">
        <v>2809</v>
      </c>
      <c r="I390" t="s">
        <v>36</v>
      </c>
      <c r="J390">
        <v>2.2354980028807342E-2</v>
      </c>
      <c r="K390" t="s">
        <v>14</v>
      </c>
      <c r="U390" t="s">
        <v>2475</v>
      </c>
      <c r="V390" t="s">
        <v>3081</v>
      </c>
      <c r="W390" t="s">
        <v>2542</v>
      </c>
      <c r="X390" t="s">
        <v>19</v>
      </c>
    </row>
    <row r="391" spans="8:24" x14ac:dyDescent="0.45">
      <c r="H391" t="s">
        <v>2811</v>
      </c>
      <c r="I391" t="s">
        <v>13</v>
      </c>
      <c r="J391">
        <v>5.4570135443861795E-3</v>
      </c>
      <c r="K391" t="s">
        <v>14</v>
      </c>
      <c r="U391" t="s">
        <v>2475</v>
      </c>
      <c r="V391" t="s">
        <v>3081</v>
      </c>
      <c r="W391" t="s">
        <v>2846</v>
      </c>
      <c r="X391" t="s">
        <v>19</v>
      </c>
    </row>
    <row r="392" spans="8:24" x14ac:dyDescent="0.45">
      <c r="H392" t="s">
        <v>2811</v>
      </c>
      <c r="I392" t="s">
        <v>27</v>
      </c>
      <c r="J392">
        <v>5.4570135443861795E-3</v>
      </c>
      <c r="K392" t="s">
        <v>14</v>
      </c>
      <c r="U392" t="s">
        <v>2475</v>
      </c>
      <c r="V392" t="s">
        <v>3082</v>
      </c>
      <c r="W392" t="s">
        <v>2542</v>
      </c>
      <c r="X392" t="s">
        <v>19</v>
      </c>
    </row>
    <row r="393" spans="8:24" x14ac:dyDescent="0.45">
      <c r="H393" t="s">
        <v>2811</v>
      </c>
      <c r="I393" t="s">
        <v>36</v>
      </c>
      <c r="J393">
        <v>5.4570135443861795E-3</v>
      </c>
      <c r="K393" t="s">
        <v>14</v>
      </c>
      <c r="U393" t="s">
        <v>2475</v>
      </c>
      <c r="V393" t="s">
        <v>3082</v>
      </c>
      <c r="W393" t="s">
        <v>2846</v>
      </c>
      <c r="X393" t="s">
        <v>19</v>
      </c>
    </row>
    <row r="394" spans="8:24" x14ac:dyDescent="0.45">
      <c r="H394" t="s">
        <v>2812</v>
      </c>
      <c r="I394" t="s">
        <v>13</v>
      </c>
      <c r="J394">
        <v>1.898480217465902E-3</v>
      </c>
      <c r="K394" t="s">
        <v>14</v>
      </c>
      <c r="U394" t="s">
        <v>2475</v>
      </c>
      <c r="V394" t="s">
        <v>3083</v>
      </c>
      <c r="W394" t="s">
        <v>2846</v>
      </c>
      <c r="X394" t="s">
        <v>19</v>
      </c>
    </row>
    <row r="395" spans="8:24" x14ac:dyDescent="0.45">
      <c r="H395" t="s">
        <v>2812</v>
      </c>
      <c r="I395" t="s">
        <v>27</v>
      </c>
      <c r="J395">
        <v>1.898480217465902E-3</v>
      </c>
      <c r="K395" t="s">
        <v>14</v>
      </c>
      <c r="U395" t="s">
        <v>2475</v>
      </c>
      <c r="V395" t="s">
        <v>3084</v>
      </c>
      <c r="W395" t="s">
        <v>2846</v>
      </c>
      <c r="X395" t="s">
        <v>19</v>
      </c>
    </row>
    <row r="396" spans="8:24" x14ac:dyDescent="0.45">
      <c r="H396" t="s">
        <v>2812</v>
      </c>
      <c r="I396" t="s">
        <v>36</v>
      </c>
      <c r="J396">
        <v>1.898480217465902E-3</v>
      </c>
      <c r="K396" t="s">
        <v>14</v>
      </c>
      <c r="U396" t="s">
        <v>2475</v>
      </c>
      <c r="V396" t="s">
        <v>3085</v>
      </c>
      <c r="W396" t="s">
        <v>2846</v>
      </c>
      <c r="X396" t="s">
        <v>19</v>
      </c>
    </row>
    <row r="397" spans="8:24" x14ac:dyDescent="0.45">
      <c r="H397" t="s">
        <v>2814</v>
      </c>
      <c r="I397" t="s">
        <v>13</v>
      </c>
      <c r="J397">
        <v>1.8961967064637518E-3</v>
      </c>
      <c r="K397" t="s">
        <v>14</v>
      </c>
      <c r="U397" t="s">
        <v>2475</v>
      </c>
      <c r="V397" t="s">
        <v>3085</v>
      </c>
      <c r="W397" t="s">
        <v>2542</v>
      </c>
      <c r="X397" t="s">
        <v>17</v>
      </c>
    </row>
    <row r="398" spans="8:24" x14ac:dyDescent="0.45">
      <c r="H398" t="s">
        <v>2814</v>
      </c>
      <c r="I398" t="s">
        <v>27</v>
      </c>
      <c r="J398">
        <v>1.8961967064637518E-3</v>
      </c>
      <c r="K398" t="s">
        <v>14</v>
      </c>
      <c r="U398" t="s">
        <v>2475</v>
      </c>
      <c r="V398" t="s">
        <v>3086</v>
      </c>
      <c r="W398" t="s">
        <v>2846</v>
      </c>
      <c r="X398" t="s">
        <v>19</v>
      </c>
    </row>
    <row r="399" spans="8:24" x14ac:dyDescent="0.45">
      <c r="H399" t="s">
        <v>2814</v>
      </c>
      <c r="I399" t="s">
        <v>36</v>
      </c>
      <c r="J399">
        <v>1.8961967064637518E-3</v>
      </c>
      <c r="K399" t="s">
        <v>14</v>
      </c>
      <c r="U399" t="s">
        <v>2475</v>
      </c>
      <c r="V399" t="s">
        <v>3086</v>
      </c>
      <c r="W399" t="s">
        <v>2542</v>
      </c>
      <c r="X399" t="s">
        <v>17</v>
      </c>
    </row>
    <row r="400" spans="8:24" x14ac:dyDescent="0.45">
      <c r="H400" t="s">
        <v>2815</v>
      </c>
      <c r="I400" t="s">
        <v>13</v>
      </c>
      <c r="J400">
        <v>4.885758027362506E-3</v>
      </c>
      <c r="K400" t="s">
        <v>14</v>
      </c>
      <c r="U400" t="s">
        <v>2475</v>
      </c>
      <c r="V400" t="s">
        <v>3087</v>
      </c>
      <c r="W400" t="s">
        <v>2546</v>
      </c>
      <c r="X400" t="s">
        <v>19</v>
      </c>
    </row>
    <row r="401" spans="8:24" x14ac:dyDescent="0.45">
      <c r="H401" t="s">
        <v>2815</v>
      </c>
      <c r="I401" t="s">
        <v>27</v>
      </c>
      <c r="J401">
        <v>4.885758027362506E-3</v>
      </c>
      <c r="K401" t="s">
        <v>14</v>
      </c>
      <c r="U401" t="s">
        <v>2475</v>
      </c>
      <c r="V401" t="s">
        <v>3088</v>
      </c>
      <c r="W401" t="s">
        <v>2546</v>
      </c>
      <c r="X401" t="s">
        <v>19</v>
      </c>
    </row>
    <row r="402" spans="8:24" x14ac:dyDescent="0.45">
      <c r="H402" t="s">
        <v>2815</v>
      </c>
      <c r="I402" t="s">
        <v>36</v>
      </c>
      <c r="J402">
        <v>4.885758027362506E-3</v>
      </c>
      <c r="K402" t="s">
        <v>14</v>
      </c>
      <c r="U402" t="s">
        <v>2475</v>
      </c>
      <c r="V402" t="s">
        <v>3089</v>
      </c>
      <c r="W402" t="s">
        <v>2546</v>
      </c>
      <c r="X402" t="s">
        <v>19</v>
      </c>
    </row>
    <row r="403" spans="8:24" x14ac:dyDescent="0.45">
      <c r="H403" t="s">
        <v>2817</v>
      </c>
      <c r="I403" t="s">
        <v>13</v>
      </c>
      <c r="J403">
        <v>1.961463915507369E-2</v>
      </c>
      <c r="K403" t="s">
        <v>14</v>
      </c>
      <c r="U403" t="s">
        <v>2475</v>
      </c>
      <c r="V403" t="s">
        <v>3090</v>
      </c>
      <c r="W403" t="s">
        <v>2546</v>
      </c>
      <c r="X403" t="s">
        <v>19</v>
      </c>
    </row>
    <row r="404" spans="8:24" x14ac:dyDescent="0.45">
      <c r="H404" t="s">
        <v>2817</v>
      </c>
      <c r="I404" t="s">
        <v>27</v>
      </c>
      <c r="J404">
        <v>1.961463915507369E-2</v>
      </c>
      <c r="K404" t="s">
        <v>14</v>
      </c>
      <c r="U404" t="s">
        <v>2475</v>
      </c>
      <c r="V404" t="s">
        <v>3091</v>
      </c>
      <c r="W404" t="s">
        <v>2546</v>
      </c>
      <c r="X404" t="s">
        <v>19</v>
      </c>
    </row>
    <row r="405" spans="8:24" x14ac:dyDescent="0.45">
      <c r="H405" t="s">
        <v>2817</v>
      </c>
      <c r="I405" t="s">
        <v>36</v>
      </c>
      <c r="J405">
        <v>1.961463915507369E-2</v>
      </c>
      <c r="K405" t="s">
        <v>14</v>
      </c>
      <c r="U405" t="s">
        <v>2475</v>
      </c>
      <c r="V405" t="s">
        <v>3092</v>
      </c>
      <c r="W405" t="s">
        <v>2546</v>
      </c>
      <c r="X405" t="s">
        <v>19</v>
      </c>
    </row>
    <row r="406" spans="8:24" x14ac:dyDescent="0.45">
      <c r="H406" t="s">
        <v>2819</v>
      </c>
      <c r="I406" t="s">
        <v>13</v>
      </c>
      <c r="J406">
        <v>1.0994378439506392E-2</v>
      </c>
      <c r="K406" t="s">
        <v>14</v>
      </c>
      <c r="U406" t="s">
        <v>2475</v>
      </c>
      <c r="V406" t="s">
        <v>3093</v>
      </c>
      <c r="W406" t="s">
        <v>2546</v>
      </c>
      <c r="X406" t="s">
        <v>19</v>
      </c>
    </row>
    <row r="407" spans="8:24" x14ac:dyDescent="0.45">
      <c r="H407" t="s">
        <v>2819</v>
      </c>
      <c r="I407" t="s">
        <v>27</v>
      </c>
      <c r="J407">
        <v>1.0994378439506392E-2</v>
      </c>
      <c r="K407" t="s">
        <v>14</v>
      </c>
      <c r="U407" t="s">
        <v>2475</v>
      </c>
      <c r="V407" t="s">
        <v>3094</v>
      </c>
      <c r="W407" t="s">
        <v>2546</v>
      </c>
      <c r="X407" t="s">
        <v>19</v>
      </c>
    </row>
    <row r="408" spans="8:24" x14ac:dyDescent="0.45">
      <c r="H408" t="s">
        <v>2819</v>
      </c>
      <c r="I408" t="s">
        <v>36</v>
      </c>
      <c r="J408">
        <v>1.0994378439506392E-2</v>
      </c>
      <c r="K408" t="s">
        <v>14</v>
      </c>
      <c r="U408" t="s">
        <v>2475</v>
      </c>
      <c r="V408" t="s">
        <v>3095</v>
      </c>
      <c r="W408" t="s">
        <v>2546</v>
      </c>
      <c r="X408" t="s">
        <v>19</v>
      </c>
    </row>
    <row r="409" spans="8:24" x14ac:dyDescent="0.45">
      <c r="H409" t="s">
        <v>2821</v>
      </c>
      <c r="I409" t="s">
        <v>13</v>
      </c>
      <c r="J409">
        <v>3.6787079072879941E-3</v>
      </c>
      <c r="K409" t="s">
        <v>14</v>
      </c>
      <c r="U409" t="s">
        <v>2475</v>
      </c>
      <c r="V409" t="s">
        <v>3096</v>
      </c>
      <c r="W409" t="s">
        <v>2546</v>
      </c>
      <c r="X409" t="s">
        <v>19</v>
      </c>
    </row>
    <row r="410" spans="8:24" x14ac:dyDescent="0.45">
      <c r="H410" t="s">
        <v>2821</v>
      </c>
      <c r="I410" t="s">
        <v>27</v>
      </c>
      <c r="J410">
        <v>3.6787079072879941E-3</v>
      </c>
      <c r="K410" t="s">
        <v>14</v>
      </c>
      <c r="U410" t="s">
        <v>2475</v>
      </c>
      <c r="V410" t="s">
        <v>3097</v>
      </c>
      <c r="W410" t="s">
        <v>2546</v>
      </c>
      <c r="X410" t="s">
        <v>19</v>
      </c>
    </row>
    <row r="411" spans="8:24" x14ac:dyDescent="0.45">
      <c r="H411" t="s">
        <v>2821</v>
      </c>
      <c r="I411" t="s">
        <v>36</v>
      </c>
      <c r="J411">
        <v>3.6787079072879941E-3</v>
      </c>
      <c r="K411" t="s">
        <v>14</v>
      </c>
      <c r="U411" t="s">
        <v>2475</v>
      </c>
      <c r="V411" t="s">
        <v>3097</v>
      </c>
      <c r="W411" t="s">
        <v>3098</v>
      </c>
      <c r="X411" t="s">
        <v>19</v>
      </c>
    </row>
    <row r="412" spans="8:24" x14ac:dyDescent="0.45">
      <c r="H412" t="s">
        <v>2823</v>
      </c>
      <c r="I412" t="s">
        <v>13</v>
      </c>
      <c r="J412">
        <v>5.831493968307757E-2</v>
      </c>
      <c r="K412" t="s">
        <v>14</v>
      </c>
      <c r="U412" t="s">
        <v>2475</v>
      </c>
      <c r="V412" t="s">
        <v>3099</v>
      </c>
      <c r="W412" t="s">
        <v>2546</v>
      </c>
      <c r="X412" t="s">
        <v>19</v>
      </c>
    </row>
    <row r="413" spans="8:24" x14ac:dyDescent="0.45">
      <c r="H413" t="s">
        <v>2823</v>
      </c>
      <c r="I413" t="s">
        <v>27</v>
      </c>
      <c r="J413">
        <v>5.831493968307757E-2</v>
      </c>
      <c r="K413" t="s">
        <v>14</v>
      </c>
      <c r="U413" t="s">
        <v>2475</v>
      </c>
      <c r="V413" t="s">
        <v>3099</v>
      </c>
      <c r="W413" t="s">
        <v>3098</v>
      </c>
      <c r="X413" t="s">
        <v>19</v>
      </c>
    </row>
    <row r="414" spans="8:24" x14ac:dyDescent="0.45">
      <c r="H414" t="s">
        <v>2823</v>
      </c>
      <c r="I414" t="s">
        <v>36</v>
      </c>
      <c r="J414">
        <v>5.831493968307757E-2</v>
      </c>
      <c r="K414" t="s">
        <v>14</v>
      </c>
      <c r="U414" t="s">
        <v>2475</v>
      </c>
      <c r="V414" t="s">
        <v>3100</v>
      </c>
      <c r="W414" t="s">
        <v>2546</v>
      </c>
      <c r="X414" t="s">
        <v>19</v>
      </c>
    </row>
    <row r="415" spans="8:24" x14ac:dyDescent="0.45">
      <c r="H415" t="s">
        <v>2825</v>
      </c>
      <c r="I415" t="s">
        <v>13</v>
      </c>
      <c r="J415">
        <v>6.0347883451007077E-2</v>
      </c>
      <c r="K415" t="s">
        <v>14</v>
      </c>
      <c r="U415" t="s">
        <v>2475</v>
      </c>
      <c r="V415" t="s">
        <v>3100</v>
      </c>
      <c r="W415" t="s">
        <v>3098</v>
      </c>
      <c r="X415" t="s">
        <v>19</v>
      </c>
    </row>
    <row r="416" spans="8:24" x14ac:dyDescent="0.45">
      <c r="H416" t="s">
        <v>2825</v>
      </c>
      <c r="I416" t="s">
        <v>27</v>
      </c>
      <c r="J416">
        <v>6.0347883451007077E-2</v>
      </c>
      <c r="K416" t="s">
        <v>14</v>
      </c>
      <c r="U416" t="s">
        <v>2475</v>
      </c>
      <c r="V416" t="s">
        <v>3101</v>
      </c>
      <c r="W416" t="s">
        <v>3098</v>
      </c>
      <c r="X416" t="s">
        <v>19</v>
      </c>
    </row>
    <row r="417" spans="8:24" x14ac:dyDescent="0.45">
      <c r="H417" t="s">
        <v>2825</v>
      </c>
      <c r="I417" t="s">
        <v>36</v>
      </c>
      <c r="J417">
        <v>6.0347883451007077E-2</v>
      </c>
      <c r="K417" t="s">
        <v>14</v>
      </c>
      <c r="U417" t="s">
        <v>2475</v>
      </c>
      <c r="V417" t="s">
        <v>3102</v>
      </c>
      <c r="W417" t="s">
        <v>3098</v>
      </c>
      <c r="X417" t="s">
        <v>19</v>
      </c>
    </row>
    <row r="418" spans="8:24" x14ac:dyDescent="0.45">
      <c r="H418" t="s">
        <v>2827</v>
      </c>
      <c r="I418" t="s">
        <v>13</v>
      </c>
      <c r="J418">
        <v>1.4191770967575684E-2</v>
      </c>
      <c r="K418" t="s">
        <v>14</v>
      </c>
      <c r="U418" t="s">
        <v>2475</v>
      </c>
      <c r="V418" t="s">
        <v>3103</v>
      </c>
      <c r="W418" t="s">
        <v>3098</v>
      </c>
      <c r="X418" t="s">
        <v>19</v>
      </c>
    </row>
    <row r="419" spans="8:24" x14ac:dyDescent="0.45">
      <c r="H419" t="s">
        <v>2827</v>
      </c>
      <c r="I419" t="s">
        <v>27</v>
      </c>
      <c r="J419">
        <v>1.4191770967575684E-2</v>
      </c>
      <c r="K419" t="s">
        <v>14</v>
      </c>
      <c r="U419" t="s">
        <v>2475</v>
      </c>
      <c r="V419" t="s">
        <v>3103</v>
      </c>
      <c r="W419" t="s">
        <v>2546</v>
      </c>
      <c r="X419" t="s">
        <v>17</v>
      </c>
    </row>
    <row r="420" spans="8:24" x14ac:dyDescent="0.45">
      <c r="H420" t="s">
        <v>2827</v>
      </c>
      <c r="I420" t="s">
        <v>36</v>
      </c>
      <c r="J420">
        <v>1.4191770967575684E-2</v>
      </c>
      <c r="K420" t="s">
        <v>14</v>
      </c>
      <c r="U420" t="s">
        <v>2475</v>
      </c>
      <c r="V420" t="s">
        <v>3104</v>
      </c>
      <c r="W420" t="s">
        <v>3098</v>
      </c>
      <c r="X420" t="s">
        <v>19</v>
      </c>
    </row>
    <row r="421" spans="8:24" x14ac:dyDescent="0.45">
      <c r="H421" t="s">
        <v>2829</v>
      </c>
      <c r="I421" t="s">
        <v>13</v>
      </c>
      <c r="J421">
        <v>4.8135533502421963E-3</v>
      </c>
      <c r="K421" t="s">
        <v>14</v>
      </c>
      <c r="U421" t="s">
        <v>2475</v>
      </c>
      <c r="V421" t="s">
        <v>3104</v>
      </c>
      <c r="W421" t="s">
        <v>2546</v>
      </c>
      <c r="X421" t="s">
        <v>17</v>
      </c>
    </row>
    <row r="422" spans="8:24" x14ac:dyDescent="0.45">
      <c r="H422" t="s">
        <v>2829</v>
      </c>
      <c r="I422" t="s">
        <v>27</v>
      </c>
      <c r="J422">
        <v>4.8135533502421963E-3</v>
      </c>
      <c r="K422" t="s">
        <v>14</v>
      </c>
      <c r="U422" t="s">
        <v>2475</v>
      </c>
      <c r="V422" t="s">
        <v>3105</v>
      </c>
      <c r="W422" t="s">
        <v>2550</v>
      </c>
      <c r="X422" t="s">
        <v>19</v>
      </c>
    </row>
    <row r="423" spans="8:24" x14ac:dyDescent="0.45">
      <c r="H423" t="s">
        <v>2829</v>
      </c>
      <c r="I423" t="s">
        <v>36</v>
      </c>
      <c r="J423">
        <v>4.8135533502421963E-3</v>
      </c>
      <c r="K423" t="s">
        <v>14</v>
      </c>
      <c r="U423" t="s">
        <v>2475</v>
      </c>
      <c r="V423" t="s">
        <v>3106</v>
      </c>
      <c r="W423" t="s">
        <v>2550</v>
      </c>
      <c r="X423" t="s">
        <v>19</v>
      </c>
    </row>
    <row r="424" spans="8:24" x14ac:dyDescent="0.45">
      <c r="H424" t="s">
        <v>2831</v>
      </c>
      <c r="I424" t="s">
        <v>13</v>
      </c>
      <c r="J424">
        <v>4.8199412850502051E-3</v>
      </c>
      <c r="K424" t="s">
        <v>14</v>
      </c>
      <c r="U424" t="s">
        <v>2475</v>
      </c>
      <c r="V424" t="s">
        <v>3107</v>
      </c>
      <c r="W424" t="s">
        <v>2550</v>
      </c>
      <c r="X424" t="s">
        <v>19</v>
      </c>
    </row>
    <row r="425" spans="8:24" x14ac:dyDescent="0.45">
      <c r="H425" t="s">
        <v>2831</v>
      </c>
      <c r="I425" t="s">
        <v>27</v>
      </c>
      <c r="J425">
        <v>4.8199412850502051E-3</v>
      </c>
      <c r="K425" t="s">
        <v>14</v>
      </c>
      <c r="U425" t="s">
        <v>2475</v>
      </c>
      <c r="V425" t="s">
        <v>3108</v>
      </c>
      <c r="W425" t="s">
        <v>2550</v>
      </c>
      <c r="X425" t="s">
        <v>19</v>
      </c>
    </row>
    <row r="426" spans="8:24" x14ac:dyDescent="0.45">
      <c r="H426" t="s">
        <v>2831</v>
      </c>
      <c r="I426" t="s">
        <v>36</v>
      </c>
      <c r="J426">
        <v>4.8199412850502051E-3</v>
      </c>
      <c r="K426" t="s">
        <v>14</v>
      </c>
      <c r="U426" t="s">
        <v>2475</v>
      </c>
      <c r="V426" t="s">
        <v>3109</v>
      </c>
      <c r="W426" t="s">
        <v>2550</v>
      </c>
      <c r="X426" t="s">
        <v>19</v>
      </c>
    </row>
    <row r="427" spans="8:24" x14ac:dyDescent="0.45">
      <c r="H427" t="s">
        <v>2833</v>
      </c>
      <c r="I427" t="s">
        <v>13</v>
      </c>
      <c r="J427">
        <v>2.1475032660077361E-3</v>
      </c>
      <c r="K427" t="s">
        <v>14</v>
      </c>
      <c r="U427" t="s">
        <v>2475</v>
      </c>
      <c r="V427" t="s">
        <v>3110</v>
      </c>
      <c r="W427" t="s">
        <v>2550</v>
      </c>
      <c r="X427" t="s">
        <v>19</v>
      </c>
    </row>
    <row r="428" spans="8:24" x14ac:dyDescent="0.45">
      <c r="H428" t="s">
        <v>2833</v>
      </c>
      <c r="I428" t="s">
        <v>27</v>
      </c>
      <c r="J428">
        <v>2.1475032660077361E-3</v>
      </c>
      <c r="K428" t="s">
        <v>14</v>
      </c>
      <c r="U428" t="s">
        <v>2475</v>
      </c>
      <c r="V428" t="s">
        <v>3111</v>
      </c>
      <c r="W428" t="s">
        <v>2550</v>
      </c>
      <c r="X428" t="s">
        <v>19</v>
      </c>
    </row>
    <row r="429" spans="8:24" x14ac:dyDescent="0.45">
      <c r="H429" t="s">
        <v>2833</v>
      </c>
      <c r="I429" t="s">
        <v>36</v>
      </c>
      <c r="J429">
        <v>2.1475032660077361E-3</v>
      </c>
      <c r="K429" t="s">
        <v>14</v>
      </c>
      <c r="U429" t="s">
        <v>2475</v>
      </c>
      <c r="V429" t="s">
        <v>3112</v>
      </c>
      <c r="W429" t="s">
        <v>2550</v>
      </c>
      <c r="X429" t="s">
        <v>19</v>
      </c>
    </row>
    <row r="430" spans="8:24" x14ac:dyDescent="0.45">
      <c r="H430" t="s">
        <v>2835</v>
      </c>
      <c r="I430" t="s">
        <v>13</v>
      </c>
      <c r="J430">
        <v>2.1444962370996356E-3</v>
      </c>
      <c r="K430" t="s">
        <v>14</v>
      </c>
      <c r="U430" t="s">
        <v>2475</v>
      </c>
      <c r="V430" t="s">
        <v>3113</v>
      </c>
      <c r="W430" t="s">
        <v>2550</v>
      </c>
      <c r="X430" t="s">
        <v>19</v>
      </c>
    </row>
    <row r="431" spans="8:24" x14ac:dyDescent="0.45">
      <c r="H431" t="s">
        <v>2835</v>
      </c>
      <c r="I431" t="s">
        <v>27</v>
      </c>
      <c r="J431">
        <v>2.1444962370996356E-3</v>
      </c>
      <c r="K431" t="s">
        <v>14</v>
      </c>
      <c r="U431" t="s">
        <v>2475</v>
      </c>
      <c r="V431" t="s">
        <v>3114</v>
      </c>
      <c r="W431" t="s">
        <v>2550</v>
      </c>
      <c r="X431" t="s">
        <v>19</v>
      </c>
    </row>
    <row r="432" spans="8:24" x14ac:dyDescent="0.45">
      <c r="H432" t="s">
        <v>2835</v>
      </c>
      <c r="I432" t="s">
        <v>36</v>
      </c>
      <c r="J432">
        <v>2.1444962370996356E-3</v>
      </c>
      <c r="K432" t="s">
        <v>14</v>
      </c>
      <c r="U432" t="s">
        <v>2475</v>
      </c>
      <c r="V432" t="s">
        <v>3115</v>
      </c>
      <c r="W432" t="s">
        <v>2550</v>
      </c>
      <c r="X432" t="s">
        <v>19</v>
      </c>
    </row>
    <row r="433" spans="8:24" x14ac:dyDescent="0.45">
      <c r="H433" t="s">
        <v>2837</v>
      </c>
      <c r="I433" t="s">
        <v>13</v>
      </c>
      <c r="J433">
        <v>3.8487864018426059E-3</v>
      </c>
      <c r="K433" t="s">
        <v>14</v>
      </c>
      <c r="U433" t="s">
        <v>2475</v>
      </c>
      <c r="V433" t="s">
        <v>3115</v>
      </c>
      <c r="W433" t="s">
        <v>3116</v>
      </c>
      <c r="X433" t="s">
        <v>19</v>
      </c>
    </row>
    <row r="434" spans="8:24" x14ac:dyDescent="0.45">
      <c r="H434" t="s">
        <v>2837</v>
      </c>
      <c r="I434" t="s">
        <v>27</v>
      </c>
      <c r="J434">
        <v>3.8487864018426059E-3</v>
      </c>
      <c r="K434" t="s">
        <v>14</v>
      </c>
      <c r="U434" t="s">
        <v>2475</v>
      </c>
      <c r="V434" t="s">
        <v>3117</v>
      </c>
      <c r="W434" t="s">
        <v>2550</v>
      </c>
      <c r="X434" t="s">
        <v>19</v>
      </c>
    </row>
    <row r="435" spans="8:24" x14ac:dyDescent="0.45">
      <c r="H435" t="s">
        <v>2837</v>
      </c>
      <c r="I435" t="s">
        <v>36</v>
      </c>
      <c r="J435">
        <v>3.8487864018426059E-3</v>
      </c>
      <c r="K435" t="s">
        <v>14</v>
      </c>
      <c r="U435" t="s">
        <v>2475</v>
      </c>
      <c r="V435" t="s">
        <v>3117</v>
      </c>
      <c r="W435" t="s">
        <v>3116</v>
      </c>
      <c r="X435" t="s">
        <v>19</v>
      </c>
    </row>
    <row r="436" spans="8:24" x14ac:dyDescent="0.45">
      <c r="H436" t="s">
        <v>2839</v>
      </c>
      <c r="I436" t="s">
        <v>13</v>
      </c>
      <c r="J436">
        <v>8.8990626483438119E-3</v>
      </c>
      <c r="K436" t="s">
        <v>14</v>
      </c>
      <c r="U436" t="s">
        <v>2475</v>
      </c>
      <c r="V436" t="s">
        <v>3118</v>
      </c>
      <c r="W436" t="s">
        <v>2550</v>
      </c>
      <c r="X436" t="s">
        <v>19</v>
      </c>
    </row>
    <row r="437" spans="8:24" x14ac:dyDescent="0.45">
      <c r="H437" t="s">
        <v>2839</v>
      </c>
      <c r="I437" t="s">
        <v>27</v>
      </c>
      <c r="J437">
        <v>8.8990626483438119E-3</v>
      </c>
      <c r="K437" t="s">
        <v>14</v>
      </c>
      <c r="U437" t="s">
        <v>2475</v>
      </c>
      <c r="V437" t="s">
        <v>3118</v>
      </c>
      <c r="W437" t="s">
        <v>3116</v>
      </c>
      <c r="X437" t="s">
        <v>19</v>
      </c>
    </row>
    <row r="438" spans="8:24" x14ac:dyDescent="0.45">
      <c r="H438" t="s">
        <v>2839</v>
      </c>
      <c r="I438" t="s">
        <v>36</v>
      </c>
      <c r="J438">
        <v>8.8990626483438119E-3</v>
      </c>
      <c r="K438" t="s">
        <v>14</v>
      </c>
      <c r="U438" t="s">
        <v>2475</v>
      </c>
      <c r="V438" t="s">
        <v>3119</v>
      </c>
      <c r="W438" t="s">
        <v>3116</v>
      </c>
      <c r="X438" t="s">
        <v>19</v>
      </c>
    </row>
    <row r="439" spans="8:24" x14ac:dyDescent="0.45">
      <c r="H439" t="s">
        <v>2841</v>
      </c>
      <c r="I439" t="s">
        <v>13</v>
      </c>
      <c r="J439">
        <v>4.3248616929961362E-2</v>
      </c>
      <c r="K439" t="s">
        <v>14</v>
      </c>
      <c r="U439" t="s">
        <v>2475</v>
      </c>
      <c r="V439" t="s">
        <v>3120</v>
      </c>
      <c r="W439" t="s">
        <v>3116</v>
      </c>
      <c r="X439" t="s">
        <v>19</v>
      </c>
    </row>
    <row r="440" spans="8:24" x14ac:dyDescent="0.45">
      <c r="H440" t="s">
        <v>2841</v>
      </c>
      <c r="I440" t="s">
        <v>27</v>
      </c>
      <c r="J440">
        <v>4.3248616929961362E-2</v>
      </c>
      <c r="K440" t="s">
        <v>14</v>
      </c>
      <c r="U440" t="s">
        <v>2475</v>
      </c>
      <c r="V440" t="s">
        <v>3121</v>
      </c>
      <c r="W440" t="s">
        <v>3116</v>
      </c>
      <c r="X440" t="s">
        <v>19</v>
      </c>
    </row>
    <row r="441" spans="8:24" x14ac:dyDescent="0.45">
      <c r="H441" t="s">
        <v>2841</v>
      </c>
      <c r="I441" t="s">
        <v>36</v>
      </c>
      <c r="J441">
        <v>4.3248616929961362E-2</v>
      </c>
      <c r="K441" t="s">
        <v>14</v>
      </c>
      <c r="U441" t="s">
        <v>2475</v>
      </c>
      <c r="V441" t="s">
        <v>3121</v>
      </c>
      <c r="W441" t="s">
        <v>2550</v>
      </c>
      <c r="X441" t="s">
        <v>17</v>
      </c>
    </row>
    <row r="442" spans="8:24" x14ac:dyDescent="0.45">
      <c r="H442" t="s">
        <v>2842</v>
      </c>
      <c r="I442" t="s">
        <v>13</v>
      </c>
      <c r="J442">
        <v>2.7109501348586217E-2</v>
      </c>
      <c r="K442" t="s">
        <v>14</v>
      </c>
      <c r="U442" t="s">
        <v>2475</v>
      </c>
      <c r="V442" t="s">
        <v>3122</v>
      </c>
      <c r="W442" t="s">
        <v>3116</v>
      </c>
      <c r="X442" t="s">
        <v>19</v>
      </c>
    </row>
    <row r="443" spans="8:24" x14ac:dyDescent="0.45">
      <c r="H443" t="s">
        <v>2842</v>
      </c>
      <c r="I443" t="s">
        <v>27</v>
      </c>
      <c r="J443">
        <v>2.7109501348586217E-2</v>
      </c>
      <c r="K443" t="s">
        <v>14</v>
      </c>
      <c r="U443" t="s">
        <v>2475</v>
      </c>
      <c r="V443" t="s">
        <v>3122</v>
      </c>
      <c r="W443" t="s">
        <v>2550</v>
      </c>
      <c r="X443" t="s">
        <v>17</v>
      </c>
    </row>
    <row r="444" spans="8:24" x14ac:dyDescent="0.45">
      <c r="H444" t="s">
        <v>2842</v>
      </c>
      <c r="I444" t="s">
        <v>36</v>
      </c>
      <c r="J444">
        <v>2.7109501348586217E-2</v>
      </c>
      <c r="K444" t="s">
        <v>14</v>
      </c>
      <c r="U444" t="s">
        <v>2475</v>
      </c>
      <c r="V444" t="s">
        <v>3123</v>
      </c>
      <c r="W444" t="s">
        <v>2553</v>
      </c>
      <c r="X444" t="s">
        <v>19</v>
      </c>
    </row>
    <row r="445" spans="8:24" x14ac:dyDescent="0.45">
      <c r="H445" t="s">
        <v>2844</v>
      </c>
      <c r="I445" t="s">
        <v>13</v>
      </c>
      <c r="J445">
        <v>5.2721154290259392E-2</v>
      </c>
      <c r="K445" t="s">
        <v>14</v>
      </c>
      <c r="U445" t="s">
        <v>2475</v>
      </c>
      <c r="V445" t="s">
        <v>3124</v>
      </c>
      <c r="W445" t="s">
        <v>2553</v>
      </c>
      <c r="X445" t="s">
        <v>19</v>
      </c>
    </row>
    <row r="446" spans="8:24" x14ac:dyDescent="0.45">
      <c r="H446" t="s">
        <v>2844</v>
      </c>
      <c r="I446" t="s">
        <v>27</v>
      </c>
      <c r="J446">
        <v>5.2721154290259392E-2</v>
      </c>
      <c r="K446" t="s">
        <v>14</v>
      </c>
      <c r="U446" t="s">
        <v>2475</v>
      </c>
      <c r="V446" t="s">
        <v>3125</v>
      </c>
      <c r="W446" t="s">
        <v>2553</v>
      </c>
      <c r="X446" t="s">
        <v>19</v>
      </c>
    </row>
    <row r="447" spans="8:24" x14ac:dyDescent="0.45">
      <c r="H447" t="s">
        <v>2844</v>
      </c>
      <c r="I447" t="s">
        <v>36</v>
      </c>
      <c r="J447">
        <v>5.2721154290259392E-2</v>
      </c>
      <c r="K447" t="s">
        <v>14</v>
      </c>
      <c r="U447" t="s">
        <v>2475</v>
      </c>
      <c r="V447" t="s">
        <v>3126</v>
      </c>
      <c r="W447" t="s">
        <v>2553</v>
      </c>
      <c r="X447" t="s">
        <v>19</v>
      </c>
    </row>
    <row r="448" spans="8:24" x14ac:dyDescent="0.45">
      <c r="H448" t="s">
        <v>2474</v>
      </c>
      <c r="I448" t="s">
        <v>632</v>
      </c>
      <c r="J448">
        <v>5.9964282082049652E-3</v>
      </c>
      <c r="K448" t="s">
        <v>14</v>
      </c>
      <c r="U448" t="s">
        <v>2475</v>
      </c>
      <c r="V448" t="s">
        <v>3127</v>
      </c>
      <c r="W448" t="s">
        <v>2553</v>
      </c>
      <c r="X448" t="s">
        <v>19</v>
      </c>
    </row>
    <row r="449" spans="8:24" x14ac:dyDescent="0.45">
      <c r="H449" t="s">
        <v>2479</v>
      </c>
      <c r="I449" t="s">
        <v>632</v>
      </c>
      <c r="J449">
        <v>2.9982805882043474E-2</v>
      </c>
      <c r="K449" t="s">
        <v>14</v>
      </c>
      <c r="U449" t="s">
        <v>2475</v>
      </c>
      <c r="V449" t="s">
        <v>3128</v>
      </c>
      <c r="W449" t="s">
        <v>2553</v>
      </c>
      <c r="X449" t="s">
        <v>19</v>
      </c>
    </row>
    <row r="450" spans="8:24" x14ac:dyDescent="0.45">
      <c r="H450" t="s">
        <v>2483</v>
      </c>
      <c r="I450" t="s">
        <v>632</v>
      </c>
      <c r="J450">
        <v>1.0205607727976192E-2</v>
      </c>
      <c r="K450" t="s">
        <v>14</v>
      </c>
      <c r="U450" t="s">
        <v>2475</v>
      </c>
      <c r="V450" t="s">
        <v>3129</v>
      </c>
      <c r="W450" t="s">
        <v>2553</v>
      </c>
      <c r="X450" t="s">
        <v>19</v>
      </c>
    </row>
    <row r="451" spans="8:24" x14ac:dyDescent="0.45">
      <c r="H451" t="s">
        <v>2487</v>
      </c>
      <c r="I451" t="s">
        <v>632</v>
      </c>
      <c r="J451">
        <v>6.6588265417939158E-3</v>
      </c>
      <c r="K451" t="s">
        <v>14</v>
      </c>
      <c r="U451" t="s">
        <v>2475</v>
      </c>
      <c r="V451" t="s">
        <v>3130</v>
      </c>
      <c r="W451" t="s">
        <v>2553</v>
      </c>
      <c r="X451" t="s">
        <v>19</v>
      </c>
    </row>
    <row r="452" spans="8:24" x14ac:dyDescent="0.45">
      <c r="H452" t="s">
        <v>2491</v>
      </c>
      <c r="I452" t="s">
        <v>632</v>
      </c>
      <c r="J452">
        <v>0.17514684177799991</v>
      </c>
      <c r="K452" t="s">
        <v>14</v>
      </c>
      <c r="U452" t="s">
        <v>2475</v>
      </c>
      <c r="V452" t="s">
        <v>3131</v>
      </c>
      <c r="W452" t="s">
        <v>2553</v>
      </c>
      <c r="X452" t="s">
        <v>19</v>
      </c>
    </row>
    <row r="453" spans="8:24" x14ac:dyDescent="0.45">
      <c r="H453" t="s">
        <v>2495</v>
      </c>
      <c r="I453" t="s">
        <v>632</v>
      </c>
      <c r="J453">
        <v>1.9043924870147309E-2</v>
      </c>
      <c r="K453" t="s">
        <v>14</v>
      </c>
      <c r="U453" t="s">
        <v>2475</v>
      </c>
      <c r="V453" t="s">
        <v>3132</v>
      </c>
      <c r="W453" t="s">
        <v>2553</v>
      </c>
      <c r="X453" t="s">
        <v>19</v>
      </c>
    </row>
    <row r="454" spans="8:24" x14ac:dyDescent="0.45">
      <c r="H454" t="s">
        <v>2499</v>
      </c>
      <c r="I454" t="s">
        <v>632</v>
      </c>
      <c r="J454">
        <v>2.0292871369090443E-2</v>
      </c>
      <c r="K454" t="s">
        <v>14</v>
      </c>
      <c r="U454" t="s">
        <v>2475</v>
      </c>
      <c r="V454" t="s">
        <v>3133</v>
      </c>
      <c r="W454" t="s">
        <v>2553</v>
      </c>
      <c r="X454" t="s">
        <v>19</v>
      </c>
    </row>
    <row r="455" spans="8:24" x14ac:dyDescent="0.45">
      <c r="H455" t="s">
        <v>2503</v>
      </c>
      <c r="I455" t="s">
        <v>632</v>
      </c>
      <c r="J455">
        <v>4.0348298438389059E-2</v>
      </c>
      <c r="K455" t="s">
        <v>14</v>
      </c>
      <c r="U455" t="s">
        <v>2475</v>
      </c>
      <c r="V455" t="s">
        <v>3133</v>
      </c>
      <c r="W455" t="s">
        <v>3134</v>
      </c>
      <c r="X455" t="s">
        <v>19</v>
      </c>
    </row>
    <row r="456" spans="8:24" x14ac:dyDescent="0.45">
      <c r="H456" t="s">
        <v>2507</v>
      </c>
      <c r="I456" t="s">
        <v>632</v>
      </c>
      <c r="J456">
        <v>1.4395551583819281E-3</v>
      </c>
      <c r="K456" t="s">
        <v>14</v>
      </c>
      <c r="U456" t="s">
        <v>2475</v>
      </c>
      <c r="V456" t="s">
        <v>3135</v>
      </c>
      <c r="W456" t="s">
        <v>2553</v>
      </c>
      <c r="X456" t="s">
        <v>19</v>
      </c>
    </row>
    <row r="457" spans="8:24" x14ac:dyDescent="0.45">
      <c r="H457" t="s">
        <v>2511</v>
      </c>
      <c r="I457" t="s">
        <v>632</v>
      </c>
      <c r="J457">
        <v>3.589081554862017E-2</v>
      </c>
      <c r="K457" t="s">
        <v>14</v>
      </c>
      <c r="U457" t="s">
        <v>2475</v>
      </c>
      <c r="V457" t="s">
        <v>3135</v>
      </c>
      <c r="W457" t="s">
        <v>3134</v>
      </c>
      <c r="X457" t="s">
        <v>19</v>
      </c>
    </row>
    <row r="458" spans="8:24" x14ac:dyDescent="0.45">
      <c r="H458" t="s">
        <v>2515</v>
      </c>
      <c r="I458" t="s">
        <v>632</v>
      </c>
      <c r="J458">
        <v>6.6135013205513701E-3</v>
      </c>
      <c r="K458" t="s">
        <v>14</v>
      </c>
      <c r="U458" t="s">
        <v>2475</v>
      </c>
      <c r="V458" t="s">
        <v>3136</v>
      </c>
      <c r="W458" t="s">
        <v>2553</v>
      </c>
      <c r="X458" t="s">
        <v>19</v>
      </c>
    </row>
    <row r="459" spans="8:24" x14ac:dyDescent="0.45">
      <c r="H459" t="s">
        <v>2519</v>
      </c>
      <c r="I459" t="s">
        <v>632</v>
      </c>
      <c r="J459">
        <v>6.4705309866090602E-4</v>
      </c>
      <c r="K459" t="s">
        <v>14</v>
      </c>
      <c r="U459" t="s">
        <v>2475</v>
      </c>
      <c r="V459" t="s">
        <v>3136</v>
      </c>
      <c r="W459" t="s">
        <v>3134</v>
      </c>
      <c r="X459" t="s">
        <v>19</v>
      </c>
    </row>
    <row r="460" spans="8:24" x14ac:dyDescent="0.45">
      <c r="H460" t="s">
        <v>2523</v>
      </c>
      <c r="I460" t="s">
        <v>632</v>
      </c>
      <c r="J460">
        <v>2.6971517945730498E-2</v>
      </c>
      <c r="K460" t="s">
        <v>14</v>
      </c>
      <c r="U460" t="s">
        <v>2475</v>
      </c>
      <c r="V460" t="s">
        <v>3137</v>
      </c>
      <c r="W460" t="s">
        <v>3134</v>
      </c>
      <c r="X460" t="s">
        <v>19</v>
      </c>
    </row>
    <row r="461" spans="8:24" x14ac:dyDescent="0.45">
      <c r="H461" t="s">
        <v>2527</v>
      </c>
      <c r="I461" t="s">
        <v>632</v>
      </c>
      <c r="J461">
        <v>0.17754792754249285</v>
      </c>
      <c r="K461" t="s">
        <v>14</v>
      </c>
      <c r="U461" t="s">
        <v>2475</v>
      </c>
      <c r="V461" t="s">
        <v>3138</v>
      </c>
      <c r="W461" t="s">
        <v>3134</v>
      </c>
      <c r="X461" t="s">
        <v>19</v>
      </c>
    </row>
    <row r="462" spans="8:24" x14ac:dyDescent="0.45">
      <c r="H462" t="s">
        <v>2530</v>
      </c>
      <c r="I462" t="s">
        <v>632</v>
      </c>
      <c r="J462">
        <v>6.0660887742747596E-4</v>
      </c>
      <c r="K462" t="s">
        <v>14</v>
      </c>
      <c r="U462" t="s">
        <v>2475</v>
      </c>
      <c r="V462" t="s">
        <v>3139</v>
      </c>
      <c r="W462" t="s">
        <v>3134</v>
      </c>
      <c r="X462" t="s">
        <v>19</v>
      </c>
    </row>
    <row r="463" spans="8:24" x14ac:dyDescent="0.45">
      <c r="H463" t="s">
        <v>2534</v>
      </c>
      <c r="I463" t="s">
        <v>632</v>
      </c>
      <c r="J463">
        <v>0.11448535005126947</v>
      </c>
      <c r="K463" t="s">
        <v>14</v>
      </c>
      <c r="U463" t="s">
        <v>2475</v>
      </c>
      <c r="V463" t="s">
        <v>3139</v>
      </c>
      <c r="W463" t="s">
        <v>2553</v>
      </c>
      <c r="X463" t="s">
        <v>17</v>
      </c>
    </row>
    <row r="464" spans="8:24" x14ac:dyDescent="0.45">
      <c r="H464" t="s">
        <v>2537</v>
      </c>
      <c r="I464" t="s">
        <v>632</v>
      </c>
      <c r="J464">
        <v>2.7101098158022001E-4</v>
      </c>
      <c r="K464" t="s">
        <v>14</v>
      </c>
      <c r="U464" t="s">
        <v>2475</v>
      </c>
      <c r="V464" t="s">
        <v>3140</v>
      </c>
      <c r="W464" t="s">
        <v>3134</v>
      </c>
      <c r="X464" t="s">
        <v>19</v>
      </c>
    </row>
    <row r="465" spans="8:24" x14ac:dyDescent="0.45">
      <c r="H465" t="s">
        <v>2541</v>
      </c>
      <c r="I465" t="s">
        <v>632</v>
      </c>
      <c r="J465">
        <v>2.6908912723329324E-2</v>
      </c>
      <c r="K465" t="s">
        <v>14</v>
      </c>
      <c r="U465" t="s">
        <v>2475</v>
      </c>
      <c r="V465" t="s">
        <v>3140</v>
      </c>
      <c r="W465" t="s">
        <v>2553</v>
      </c>
      <c r="X465" t="s">
        <v>17</v>
      </c>
    </row>
    <row r="466" spans="8:24" x14ac:dyDescent="0.45">
      <c r="H466" t="s">
        <v>2545</v>
      </c>
      <c r="I466" t="s">
        <v>632</v>
      </c>
      <c r="J466">
        <v>6.5470142844085001E-4</v>
      </c>
      <c r="K466" t="s">
        <v>14</v>
      </c>
      <c r="U466" t="s">
        <v>2475</v>
      </c>
      <c r="V466" t="s">
        <v>3141</v>
      </c>
      <c r="W466" t="s">
        <v>2557</v>
      </c>
      <c r="X466" t="s">
        <v>19</v>
      </c>
    </row>
    <row r="467" spans="8:24" x14ac:dyDescent="0.45">
      <c r="H467" t="s">
        <v>2549</v>
      </c>
      <c r="I467" t="s">
        <v>632</v>
      </c>
      <c r="J467">
        <v>5.4991353639911102E-10</v>
      </c>
      <c r="K467" t="s">
        <v>14</v>
      </c>
      <c r="U467" t="s">
        <v>2475</v>
      </c>
      <c r="V467" t="s">
        <v>3142</v>
      </c>
      <c r="W467" t="s">
        <v>2557</v>
      </c>
      <c r="X467" t="s">
        <v>19</v>
      </c>
    </row>
    <row r="468" spans="8:24" x14ac:dyDescent="0.45">
      <c r="H468" t="s">
        <v>2552</v>
      </c>
      <c r="I468" t="s">
        <v>632</v>
      </c>
      <c r="J468">
        <v>3.6660658022220579E-15</v>
      </c>
      <c r="K468" t="s">
        <v>14</v>
      </c>
      <c r="U468" t="s">
        <v>2475</v>
      </c>
      <c r="V468" t="s">
        <v>3143</v>
      </c>
      <c r="W468" t="s">
        <v>2557</v>
      </c>
      <c r="X468" t="s">
        <v>19</v>
      </c>
    </row>
    <row r="469" spans="8:24" x14ac:dyDescent="0.45">
      <c r="H469" t="s">
        <v>2556</v>
      </c>
      <c r="I469" t="s">
        <v>632</v>
      </c>
      <c r="J469">
        <v>1.74530944559874E-4</v>
      </c>
      <c r="K469" t="s">
        <v>14</v>
      </c>
      <c r="U469" t="s">
        <v>2475</v>
      </c>
      <c r="V469" t="s">
        <v>3144</v>
      </c>
      <c r="W469" t="s">
        <v>2557</v>
      </c>
      <c r="X469" t="s">
        <v>19</v>
      </c>
    </row>
    <row r="470" spans="8:24" x14ac:dyDescent="0.45">
      <c r="H470" t="s">
        <v>2559</v>
      </c>
      <c r="I470" t="s">
        <v>632</v>
      </c>
      <c r="J470">
        <v>3.6083828047401886E-2</v>
      </c>
      <c r="K470" t="s">
        <v>14</v>
      </c>
      <c r="U470" t="s">
        <v>2475</v>
      </c>
      <c r="V470" t="s">
        <v>3145</v>
      </c>
      <c r="W470" t="s">
        <v>2557</v>
      </c>
      <c r="X470" t="s">
        <v>19</v>
      </c>
    </row>
    <row r="471" spans="8:24" x14ac:dyDescent="0.45">
      <c r="H471" t="s">
        <v>2563</v>
      </c>
      <c r="I471" t="s">
        <v>632</v>
      </c>
      <c r="J471">
        <v>5.0598105355852596E-4</v>
      </c>
      <c r="K471" t="s">
        <v>14</v>
      </c>
      <c r="U471" t="s">
        <v>2475</v>
      </c>
      <c r="V471" t="s">
        <v>3146</v>
      </c>
      <c r="W471" t="s">
        <v>2557</v>
      </c>
      <c r="X471" t="s">
        <v>19</v>
      </c>
    </row>
    <row r="472" spans="8:24" x14ac:dyDescent="0.45">
      <c r="H472" t="s">
        <v>2567</v>
      </c>
      <c r="I472" t="s">
        <v>632</v>
      </c>
      <c r="J472">
        <v>9.3800692832480124E-5</v>
      </c>
      <c r="K472" t="s">
        <v>14</v>
      </c>
      <c r="U472" t="s">
        <v>2475</v>
      </c>
      <c r="V472" t="s">
        <v>3147</v>
      </c>
      <c r="W472" t="s">
        <v>2557</v>
      </c>
      <c r="X472" t="s">
        <v>19</v>
      </c>
    </row>
    <row r="473" spans="8:24" x14ac:dyDescent="0.45">
      <c r="H473" t="s">
        <v>2571</v>
      </c>
      <c r="I473" t="s">
        <v>632</v>
      </c>
      <c r="J473">
        <v>5.6126147648367436E-3</v>
      </c>
      <c r="K473" t="s">
        <v>14</v>
      </c>
      <c r="U473" t="s">
        <v>2475</v>
      </c>
      <c r="V473" t="s">
        <v>3148</v>
      </c>
      <c r="W473" t="s">
        <v>2557</v>
      </c>
      <c r="X473" t="s">
        <v>19</v>
      </c>
    </row>
    <row r="474" spans="8:24" x14ac:dyDescent="0.45">
      <c r="H474" t="s">
        <v>2575</v>
      </c>
      <c r="I474" t="s">
        <v>632</v>
      </c>
      <c r="J474">
        <v>6.3875718768201278E-2</v>
      </c>
      <c r="K474" t="s">
        <v>14</v>
      </c>
      <c r="U474" t="s">
        <v>2475</v>
      </c>
      <c r="V474" t="s">
        <v>3149</v>
      </c>
      <c r="W474" t="s">
        <v>2557</v>
      </c>
      <c r="X474" t="s">
        <v>19</v>
      </c>
    </row>
    <row r="475" spans="8:24" x14ac:dyDescent="0.45">
      <c r="H475" t="s">
        <v>2579</v>
      </c>
      <c r="I475" t="s">
        <v>632</v>
      </c>
      <c r="J475">
        <v>7.9895032485693726E-2</v>
      </c>
      <c r="K475" t="s">
        <v>14</v>
      </c>
      <c r="U475" t="s">
        <v>2475</v>
      </c>
      <c r="V475" t="s">
        <v>3150</v>
      </c>
      <c r="W475" t="s">
        <v>2557</v>
      </c>
      <c r="X475" t="s">
        <v>19</v>
      </c>
    </row>
    <row r="476" spans="8:24" x14ac:dyDescent="0.45">
      <c r="H476" t="s">
        <v>2583</v>
      </c>
      <c r="I476" t="s">
        <v>632</v>
      </c>
      <c r="J476">
        <v>2.44601376754182E-4</v>
      </c>
      <c r="K476" t="s">
        <v>14</v>
      </c>
      <c r="U476" t="s">
        <v>2475</v>
      </c>
      <c r="V476" t="s">
        <v>3151</v>
      </c>
      <c r="W476" t="s">
        <v>2557</v>
      </c>
      <c r="X476" t="s">
        <v>19</v>
      </c>
    </row>
    <row r="477" spans="8:24" x14ac:dyDescent="0.45">
      <c r="H477" t="s">
        <v>2587</v>
      </c>
      <c r="I477" t="s">
        <v>632</v>
      </c>
      <c r="J477">
        <v>1.38349074731378E-4</v>
      </c>
      <c r="K477" t="s">
        <v>14</v>
      </c>
      <c r="U477" t="s">
        <v>2475</v>
      </c>
      <c r="V477" t="s">
        <v>3151</v>
      </c>
      <c r="W477" t="s">
        <v>2908</v>
      </c>
      <c r="X477" t="s">
        <v>19</v>
      </c>
    </row>
    <row r="478" spans="8:24" x14ac:dyDescent="0.45">
      <c r="H478" t="s">
        <v>2591</v>
      </c>
      <c r="I478" t="s">
        <v>632</v>
      </c>
      <c r="J478">
        <v>1.2857578322734182E-3</v>
      </c>
      <c r="K478" t="s">
        <v>14</v>
      </c>
      <c r="U478" t="s">
        <v>2475</v>
      </c>
      <c r="V478" t="s">
        <v>3152</v>
      </c>
      <c r="W478" t="s">
        <v>2557</v>
      </c>
      <c r="X478" t="s">
        <v>19</v>
      </c>
    </row>
    <row r="479" spans="8:24" x14ac:dyDescent="0.45">
      <c r="H479" t="s">
        <v>2595</v>
      </c>
      <c r="I479" t="s">
        <v>632</v>
      </c>
      <c r="J479">
        <v>3.6661024628800815E-10</v>
      </c>
      <c r="K479" t="s">
        <v>14</v>
      </c>
      <c r="U479" t="s">
        <v>2475</v>
      </c>
      <c r="V479" t="s">
        <v>3152</v>
      </c>
      <c r="W479" t="s">
        <v>2908</v>
      </c>
      <c r="X479" t="s">
        <v>19</v>
      </c>
    </row>
    <row r="480" spans="8:24" x14ac:dyDescent="0.45">
      <c r="H480" t="s">
        <v>2599</v>
      </c>
      <c r="I480" t="s">
        <v>632</v>
      </c>
      <c r="J480">
        <v>1.633953063430268E-3</v>
      </c>
      <c r="K480" t="s">
        <v>14</v>
      </c>
      <c r="U480" t="s">
        <v>2475</v>
      </c>
      <c r="V480" t="s">
        <v>3153</v>
      </c>
      <c r="W480" t="s">
        <v>2557</v>
      </c>
      <c r="X480" t="s">
        <v>19</v>
      </c>
    </row>
    <row r="481" spans="8:24" x14ac:dyDescent="0.45">
      <c r="H481" t="s">
        <v>2603</v>
      </c>
      <c r="I481" t="s">
        <v>632</v>
      </c>
      <c r="J481">
        <v>1.69055290344094E-3</v>
      </c>
      <c r="K481" t="s">
        <v>14</v>
      </c>
      <c r="U481" t="s">
        <v>2475</v>
      </c>
      <c r="V481" t="s">
        <v>3153</v>
      </c>
      <c r="W481" t="s">
        <v>2908</v>
      </c>
      <c r="X481" t="s">
        <v>19</v>
      </c>
    </row>
    <row r="482" spans="8:24" x14ac:dyDescent="0.45">
      <c r="H482" t="s">
        <v>2607</v>
      </c>
      <c r="I482" t="s">
        <v>632</v>
      </c>
      <c r="J482">
        <v>1.8480386400194292E-2</v>
      </c>
      <c r="K482" t="s">
        <v>14</v>
      </c>
      <c r="U482" t="s">
        <v>2475</v>
      </c>
      <c r="V482" t="s">
        <v>3154</v>
      </c>
      <c r="W482" t="s">
        <v>2908</v>
      </c>
      <c r="X482" t="s">
        <v>19</v>
      </c>
    </row>
    <row r="483" spans="8:24" x14ac:dyDescent="0.45">
      <c r="H483" t="s">
        <v>2611</v>
      </c>
      <c r="I483" t="s">
        <v>632</v>
      </c>
      <c r="J483">
        <v>1.8374048862141602E-2</v>
      </c>
      <c r="K483" t="s">
        <v>14</v>
      </c>
      <c r="U483" t="s">
        <v>2475</v>
      </c>
      <c r="V483" t="s">
        <v>3155</v>
      </c>
      <c r="W483" t="s">
        <v>2908</v>
      </c>
      <c r="X483" t="s">
        <v>19</v>
      </c>
    </row>
    <row r="484" spans="8:24" x14ac:dyDescent="0.45">
      <c r="H484" t="s">
        <v>2614</v>
      </c>
      <c r="I484" t="s">
        <v>632</v>
      </c>
      <c r="J484">
        <v>5.2198283321290298E-2</v>
      </c>
      <c r="K484" t="s">
        <v>14</v>
      </c>
      <c r="U484" t="s">
        <v>2475</v>
      </c>
      <c r="V484" t="s">
        <v>3156</v>
      </c>
      <c r="W484" t="s">
        <v>2908</v>
      </c>
      <c r="X484" t="s">
        <v>19</v>
      </c>
    </row>
    <row r="485" spans="8:24" x14ac:dyDescent="0.45">
      <c r="H485" t="s">
        <v>2618</v>
      </c>
      <c r="I485" t="s">
        <v>632</v>
      </c>
      <c r="J485">
        <v>5.9964282082049652E-3</v>
      </c>
      <c r="K485" t="s">
        <v>14</v>
      </c>
      <c r="U485" t="s">
        <v>2475</v>
      </c>
      <c r="V485" t="s">
        <v>3156</v>
      </c>
      <c r="W485" t="s">
        <v>2557</v>
      </c>
      <c r="X485" t="s">
        <v>17</v>
      </c>
    </row>
    <row r="486" spans="8:24" x14ac:dyDescent="0.45">
      <c r="H486" t="s">
        <v>2620</v>
      </c>
      <c r="I486" t="s">
        <v>632</v>
      </c>
      <c r="J486">
        <v>2.9982805882043474E-2</v>
      </c>
      <c r="K486" t="s">
        <v>14</v>
      </c>
      <c r="U486" t="s">
        <v>2475</v>
      </c>
      <c r="V486" t="s">
        <v>3157</v>
      </c>
      <c r="W486" t="s">
        <v>2908</v>
      </c>
      <c r="X486" t="s">
        <v>19</v>
      </c>
    </row>
    <row r="487" spans="8:24" x14ac:dyDescent="0.45">
      <c r="H487" t="s">
        <v>2623</v>
      </c>
      <c r="I487" t="s">
        <v>632</v>
      </c>
      <c r="J487">
        <v>1.0205607727976192E-2</v>
      </c>
      <c r="K487" t="s">
        <v>14</v>
      </c>
      <c r="U487" t="s">
        <v>2475</v>
      </c>
      <c r="V487" t="s">
        <v>3157</v>
      </c>
      <c r="W487" t="s">
        <v>2557</v>
      </c>
      <c r="X487" t="s">
        <v>17</v>
      </c>
    </row>
    <row r="488" spans="8:24" x14ac:dyDescent="0.45">
      <c r="H488" t="s">
        <v>2626</v>
      </c>
      <c r="I488" t="s">
        <v>632</v>
      </c>
      <c r="J488">
        <v>6.6588265417939158E-3</v>
      </c>
      <c r="K488" t="s">
        <v>14</v>
      </c>
      <c r="U488" t="s">
        <v>2475</v>
      </c>
      <c r="V488" t="s">
        <v>3158</v>
      </c>
      <c r="W488" t="s">
        <v>2560</v>
      </c>
      <c r="X488" t="s">
        <v>19</v>
      </c>
    </row>
    <row r="489" spans="8:24" x14ac:dyDescent="0.45">
      <c r="H489" t="s">
        <v>2629</v>
      </c>
      <c r="I489" t="s">
        <v>632</v>
      </c>
      <c r="J489">
        <v>0.17514684177799991</v>
      </c>
      <c r="K489" t="s">
        <v>14</v>
      </c>
      <c r="U489" t="s">
        <v>2475</v>
      </c>
      <c r="V489" t="s">
        <v>3159</v>
      </c>
      <c r="W489" t="s">
        <v>2560</v>
      </c>
      <c r="X489" t="s">
        <v>19</v>
      </c>
    </row>
    <row r="490" spans="8:24" x14ac:dyDescent="0.45">
      <c r="H490" t="s">
        <v>2631</v>
      </c>
      <c r="I490" t="s">
        <v>632</v>
      </c>
      <c r="J490">
        <v>1.9043924870147309E-2</v>
      </c>
      <c r="K490" t="s">
        <v>14</v>
      </c>
      <c r="U490" t="s">
        <v>2475</v>
      </c>
      <c r="V490" t="s">
        <v>3160</v>
      </c>
      <c r="W490" t="s">
        <v>2560</v>
      </c>
      <c r="X490" t="s">
        <v>19</v>
      </c>
    </row>
    <row r="491" spans="8:24" x14ac:dyDescent="0.45">
      <c r="H491" t="s">
        <v>2634</v>
      </c>
      <c r="I491" t="s">
        <v>632</v>
      </c>
      <c r="J491">
        <v>2.0292871369090443E-2</v>
      </c>
      <c r="K491" t="s">
        <v>14</v>
      </c>
      <c r="U491" t="s">
        <v>2475</v>
      </c>
      <c r="V491" t="s">
        <v>3161</v>
      </c>
      <c r="W491" t="s">
        <v>2560</v>
      </c>
      <c r="X491" t="s">
        <v>19</v>
      </c>
    </row>
    <row r="492" spans="8:24" x14ac:dyDescent="0.45">
      <c r="H492" t="s">
        <v>2636</v>
      </c>
      <c r="I492" t="s">
        <v>632</v>
      </c>
      <c r="J492">
        <v>4.0348298438389059E-2</v>
      </c>
      <c r="K492" t="s">
        <v>14</v>
      </c>
      <c r="U492" t="s">
        <v>2475</v>
      </c>
      <c r="V492" t="s">
        <v>3162</v>
      </c>
      <c r="W492" t="s">
        <v>2560</v>
      </c>
      <c r="X492" t="s">
        <v>19</v>
      </c>
    </row>
    <row r="493" spans="8:24" x14ac:dyDescent="0.45">
      <c r="H493" t="s">
        <v>2639</v>
      </c>
      <c r="I493" t="s">
        <v>632</v>
      </c>
      <c r="J493">
        <v>1.4395551583819281E-3</v>
      </c>
      <c r="K493" t="s">
        <v>14</v>
      </c>
      <c r="U493" t="s">
        <v>2475</v>
      </c>
      <c r="V493" t="s">
        <v>3163</v>
      </c>
      <c r="W493" t="s">
        <v>2560</v>
      </c>
      <c r="X493" t="s">
        <v>19</v>
      </c>
    </row>
    <row r="494" spans="8:24" x14ac:dyDescent="0.45">
      <c r="H494" t="s">
        <v>2642</v>
      </c>
      <c r="I494" t="s">
        <v>632</v>
      </c>
      <c r="J494">
        <v>3.589081554862017E-2</v>
      </c>
      <c r="K494" t="s">
        <v>14</v>
      </c>
      <c r="U494" t="s">
        <v>2475</v>
      </c>
      <c r="V494" t="s">
        <v>3164</v>
      </c>
      <c r="W494" t="s">
        <v>2560</v>
      </c>
      <c r="X494" t="s">
        <v>19</v>
      </c>
    </row>
    <row r="495" spans="8:24" x14ac:dyDescent="0.45">
      <c r="H495" t="s">
        <v>2645</v>
      </c>
      <c r="I495" t="s">
        <v>632</v>
      </c>
      <c r="J495">
        <v>6.6135013205513701E-3</v>
      </c>
      <c r="K495" t="s">
        <v>14</v>
      </c>
      <c r="U495" t="s">
        <v>2475</v>
      </c>
      <c r="V495" t="s">
        <v>3165</v>
      </c>
      <c r="W495" t="s">
        <v>2560</v>
      </c>
      <c r="X495" t="s">
        <v>19</v>
      </c>
    </row>
    <row r="496" spans="8:24" x14ac:dyDescent="0.45">
      <c r="H496" t="s">
        <v>2648</v>
      </c>
      <c r="I496" t="s">
        <v>632</v>
      </c>
      <c r="J496">
        <v>6.4705309866090602E-4</v>
      </c>
      <c r="K496" t="s">
        <v>14</v>
      </c>
      <c r="U496" t="s">
        <v>2475</v>
      </c>
      <c r="V496" t="s">
        <v>3166</v>
      </c>
      <c r="W496" t="s">
        <v>2560</v>
      </c>
      <c r="X496" t="s">
        <v>19</v>
      </c>
    </row>
    <row r="497" spans="8:24" x14ac:dyDescent="0.45">
      <c r="H497" t="s">
        <v>2651</v>
      </c>
      <c r="I497" t="s">
        <v>632</v>
      </c>
      <c r="J497">
        <v>2.6971517945730498E-2</v>
      </c>
      <c r="K497" t="s">
        <v>14</v>
      </c>
      <c r="U497" t="s">
        <v>2475</v>
      </c>
      <c r="V497" t="s">
        <v>3167</v>
      </c>
      <c r="W497" t="s">
        <v>2560</v>
      </c>
      <c r="X497" t="s">
        <v>19</v>
      </c>
    </row>
    <row r="498" spans="8:24" x14ac:dyDescent="0.45">
      <c r="H498" t="s">
        <v>2654</v>
      </c>
      <c r="I498" t="s">
        <v>632</v>
      </c>
      <c r="J498">
        <v>0.17754792754249285</v>
      </c>
      <c r="K498" t="s">
        <v>14</v>
      </c>
      <c r="U498" t="s">
        <v>2475</v>
      </c>
      <c r="V498" t="s">
        <v>3168</v>
      </c>
      <c r="W498" t="s">
        <v>2560</v>
      </c>
      <c r="X498" t="s">
        <v>19</v>
      </c>
    </row>
    <row r="499" spans="8:24" x14ac:dyDescent="0.45">
      <c r="H499" t="s">
        <v>2657</v>
      </c>
      <c r="I499" t="s">
        <v>632</v>
      </c>
      <c r="J499">
        <v>6.0660887742747596E-4</v>
      </c>
      <c r="K499" t="s">
        <v>14</v>
      </c>
      <c r="U499" t="s">
        <v>2475</v>
      </c>
      <c r="V499" t="s">
        <v>3168</v>
      </c>
      <c r="W499" t="s">
        <v>2875</v>
      </c>
      <c r="X499" t="s">
        <v>19</v>
      </c>
    </row>
    <row r="500" spans="8:24" x14ac:dyDescent="0.45">
      <c r="H500" t="s">
        <v>2660</v>
      </c>
      <c r="I500" t="s">
        <v>632</v>
      </c>
      <c r="J500">
        <v>0.11448535005126947</v>
      </c>
      <c r="K500" t="s">
        <v>14</v>
      </c>
      <c r="U500" t="s">
        <v>2475</v>
      </c>
      <c r="V500" t="s">
        <v>3169</v>
      </c>
      <c r="W500" t="s">
        <v>2560</v>
      </c>
      <c r="X500" t="s">
        <v>19</v>
      </c>
    </row>
    <row r="501" spans="8:24" x14ac:dyDescent="0.45">
      <c r="H501" t="s">
        <v>2663</v>
      </c>
      <c r="I501" t="s">
        <v>632</v>
      </c>
      <c r="J501">
        <v>2.7101098158022001E-4</v>
      </c>
      <c r="K501" t="s">
        <v>14</v>
      </c>
      <c r="U501" t="s">
        <v>2475</v>
      </c>
      <c r="V501" t="s">
        <v>3169</v>
      </c>
      <c r="W501" t="s">
        <v>2875</v>
      </c>
      <c r="X501" t="s">
        <v>19</v>
      </c>
    </row>
    <row r="502" spans="8:24" x14ac:dyDescent="0.45">
      <c r="H502" t="s">
        <v>2666</v>
      </c>
      <c r="I502" t="s">
        <v>632</v>
      </c>
      <c r="J502">
        <v>2.6908912723329324E-2</v>
      </c>
      <c r="K502" t="s">
        <v>14</v>
      </c>
      <c r="U502" t="s">
        <v>2475</v>
      </c>
      <c r="V502" t="s">
        <v>3170</v>
      </c>
      <c r="W502" t="s">
        <v>2560</v>
      </c>
      <c r="X502" t="s">
        <v>19</v>
      </c>
    </row>
    <row r="503" spans="8:24" x14ac:dyDescent="0.45">
      <c r="H503" t="s">
        <v>2669</v>
      </c>
      <c r="I503" t="s">
        <v>632</v>
      </c>
      <c r="J503">
        <v>6.5470142844085001E-4</v>
      </c>
      <c r="K503" t="s">
        <v>14</v>
      </c>
      <c r="U503" t="s">
        <v>2475</v>
      </c>
      <c r="V503" t="s">
        <v>3170</v>
      </c>
      <c r="W503" t="s">
        <v>2875</v>
      </c>
      <c r="X503" t="s">
        <v>19</v>
      </c>
    </row>
    <row r="504" spans="8:24" x14ac:dyDescent="0.45">
      <c r="H504" t="s">
        <v>2672</v>
      </c>
      <c r="I504" t="s">
        <v>632</v>
      </c>
      <c r="J504">
        <v>5.4991353639911102E-10</v>
      </c>
      <c r="K504" t="s">
        <v>14</v>
      </c>
      <c r="U504" t="s">
        <v>2475</v>
      </c>
      <c r="V504" t="s">
        <v>3171</v>
      </c>
      <c r="W504" t="s">
        <v>2875</v>
      </c>
      <c r="X504" t="s">
        <v>19</v>
      </c>
    </row>
    <row r="505" spans="8:24" x14ac:dyDescent="0.45">
      <c r="H505" t="s">
        <v>2675</v>
      </c>
      <c r="I505" t="s">
        <v>632</v>
      </c>
      <c r="J505">
        <v>3.6660658022220579E-15</v>
      </c>
      <c r="K505" t="s">
        <v>14</v>
      </c>
      <c r="U505" t="s">
        <v>2475</v>
      </c>
      <c r="V505" t="s">
        <v>3172</v>
      </c>
      <c r="W505" t="s">
        <v>2875</v>
      </c>
      <c r="X505" t="s">
        <v>19</v>
      </c>
    </row>
    <row r="506" spans="8:24" x14ac:dyDescent="0.45">
      <c r="H506" t="s">
        <v>2677</v>
      </c>
      <c r="I506" t="s">
        <v>632</v>
      </c>
      <c r="J506">
        <v>1.74530944559874E-4</v>
      </c>
      <c r="K506" t="s">
        <v>14</v>
      </c>
      <c r="U506" t="s">
        <v>2475</v>
      </c>
      <c r="V506" t="s">
        <v>3173</v>
      </c>
      <c r="W506" t="s">
        <v>2875</v>
      </c>
      <c r="X506" t="s">
        <v>19</v>
      </c>
    </row>
    <row r="507" spans="8:24" x14ac:dyDescent="0.45">
      <c r="H507" t="s">
        <v>2680</v>
      </c>
      <c r="I507" t="s">
        <v>632</v>
      </c>
      <c r="J507">
        <v>3.6083828047401886E-2</v>
      </c>
      <c r="K507" t="s">
        <v>14</v>
      </c>
      <c r="U507" t="s">
        <v>2475</v>
      </c>
      <c r="V507" t="s">
        <v>3173</v>
      </c>
      <c r="W507" t="s">
        <v>2560</v>
      </c>
      <c r="X507" t="s">
        <v>17</v>
      </c>
    </row>
    <row r="508" spans="8:24" x14ac:dyDescent="0.45">
      <c r="H508" t="s">
        <v>2682</v>
      </c>
      <c r="I508" t="s">
        <v>632</v>
      </c>
      <c r="J508">
        <v>5.0598105355852596E-4</v>
      </c>
      <c r="K508" t="s">
        <v>14</v>
      </c>
      <c r="U508" t="s">
        <v>2475</v>
      </c>
      <c r="V508" t="s">
        <v>3174</v>
      </c>
      <c r="W508" t="s">
        <v>2875</v>
      </c>
      <c r="X508" t="s">
        <v>19</v>
      </c>
    </row>
    <row r="509" spans="8:24" x14ac:dyDescent="0.45">
      <c r="H509" t="s">
        <v>2685</v>
      </c>
      <c r="I509" t="s">
        <v>632</v>
      </c>
      <c r="J509">
        <v>9.3800692832480124E-5</v>
      </c>
      <c r="K509" t="s">
        <v>14</v>
      </c>
      <c r="U509" t="s">
        <v>2475</v>
      </c>
      <c r="V509" t="s">
        <v>3174</v>
      </c>
      <c r="W509" t="s">
        <v>2560</v>
      </c>
      <c r="X509" t="s">
        <v>17</v>
      </c>
    </row>
    <row r="510" spans="8:24" x14ac:dyDescent="0.45">
      <c r="H510" t="s">
        <v>2688</v>
      </c>
      <c r="I510" t="s">
        <v>632</v>
      </c>
      <c r="J510">
        <v>5.6126147648367436E-3</v>
      </c>
      <c r="K510" t="s">
        <v>14</v>
      </c>
      <c r="U510" t="s">
        <v>2475</v>
      </c>
      <c r="V510" t="s">
        <v>3175</v>
      </c>
      <c r="W510" t="s">
        <v>2564</v>
      </c>
      <c r="X510" t="s">
        <v>19</v>
      </c>
    </row>
    <row r="511" spans="8:24" x14ac:dyDescent="0.45">
      <c r="H511" t="s">
        <v>2691</v>
      </c>
      <c r="I511" t="s">
        <v>632</v>
      </c>
      <c r="J511">
        <v>6.3875718768201278E-2</v>
      </c>
      <c r="K511" t="s">
        <v>14</v>
      </c>
      <c r="U511" t="s">
        <v>2475</v>
      </c>
      <c r="V511" t="s">
        <v>3176</v>
      </c>
      <c r="W511" t="s">
        <v>2564</v>
      </c>
      <c r="X511" t="s">
        <v>19</v>
      </c>
    </row>
    <row r="512" spans="8:24" x14ac:dyDescent="0.45">
      <c r="H512" t="s">
        <v>2692</v>
      </c>
      <c r="I512" t="s">
        <v>632</v>
      </c>
      <c r="J512">
        <v>7.9895032485693726E-2</v>
      </c>
      <c r="K512" t="s">
        <v>14</v>
      </c>
      <c r="U512" t="s">
        <v>2475</v>
      </c>
      <c r="V512" t="s">
        <v>3177</v>
      </c>
      <c r="W512" t="s">
        <v>2564</v>
      </c>
      <c r="X512" t="s">
        <v>19</v>
      </c>
    </row>
    <row r="513" spans="8:24" x14ac:dyDescent="0.45">
      <c r="H513" t="s">
        <v>2694</v>
      </c>
      <c r="I513" t="s">
        <v>632</v>
      </c>
      <c r="J513">
        <v>2.44601376754182E-4</v>
      </c>
      <c r="K513" t="s">
        <v>14</v>
      </c>
      <c r="U513" t="s">
        <v>2475</v>
      </c>
      <c r="V513" t="s">
        <v>3178</v>
      </c>
      <c r="W513" t="s">
        <v>2564</v>
      </c>
      <c r="X513" t="s">
        <v>19</v>
      </c>
    </row>
    <row r="514" spans="8:24" x14ac:dyDescent="0.45">
      <c r="H514" t="s">
        <v>2695</v>
      </c>
      <c r="I514" t="s">
        <v>632</v>
      </c>
      <c r="J514">
        <v>1.38349074731378E-4</v>
      </c>
      <c r="K514" t="s">
        <v>14</v>
      </c>
      <c r="U514" t="s">
        <v>2475</v>
      </c>
      <c r="V514" t="s">
        <v>3179</v>
      </c>
      <c r="W514" t="s">
        <v>2564</v>
      </c>
      <c r="X514" t="s">
        <v>19</v>
      </c>
    </row>
    <row r="515" spans="8:24" x14ac:dyDescent="0.45">
      <c r="H515" t="s">
        <v>2697</v>
      </c>
      <c r="I515" t="s">
        <v>632</v>
      </c>
      <c r="J515">
        <v>1.2857578322734182E-3</v>
      </c>
      <c r="K515" t="s">
        <v>14</v>
      </c>
      <c r="U515" t="s">
        <v>2475</v>
      </c>
      <c r="V515" t="s">
        <v>3180</v>
      </c>
      <c r="W515" t="s">
        <v>2564</v>
      </c>
      <c r="X515" t="s">
        <v>19</v>
      </c>
    </row>
    <row r="516" spans="8:24" x14ac:dyDescent="0.45">
      <c r="H516" t="s">
        <v>2699</v>
      </c>
      <c r="I516" t="s">
        <v>632</v>
      </c>
      <c r="J516">
        <v>3.6661024628800815E-10</v>
      </c>
      <c r="K516" t="s">
        <v>14</v>
      </c>
      <c r="U516" t="s">
        <v>2475</v>
      </c>
      <c r="V516" t="s">
        <v>3181</v>
      </c>
      <c r="W516" t="s">
        <v>2564</v>
      </c>
      <c r="X516" t="s">
        <v>19</v>
      </c>
    </row>
    <row r="517" spans="8:24" x14ac:dyDescent="0.45">
      <c r="H517" t="s">
        <v>2701</v>
      </c>
      <c r="I517" t="s">
        <v>632</v>
      </c>
      <c r="J517">
        <v>1.633953063430268E-3</v>
      </c>
      <c r="K517" t="s">
        <v>14</v>
      </c>
      <c r="U517" t="s">
        <v>2475</v>
      </c>
      <c r="V517" t="s">
        <v>3182</v>
      </c>
      <c r="W517" t="s">
        <v>2564</v>
      </c>
      <c r="X517" t="s">
        <v>19</v>
      </c>
    </row>
    <row r="518" spans="8:24" x14ac:dyDescent="0.45">
      <c r="H518" t="s">
        <v>2703</v>
      </c>
      <c r="I518" t="s">
        <v>632</v>
      </c>
      <c r="J518">
        <v>1.69055290344094E-3</v>
      </c>
      <c r="K518" t="s">
        <v>14</v>
      </c>
      <c r="U518" t="s">
        <v>2475</v>
      </c>
      <c r="V518" t="s">
        <v>3183</v>
      </c>
      <c r="W518" t="s">
        <v>2564</v>
      </c>
      <c r="X518" t="s">
        <v>19</v>
      </c>
    </row>
    <row r="519" spans="8:24" x14ac:dyDescent="0.45">
      <c r="H519" t="s">
        <v>2705</v>
      </c>
      <c r="I519" t="s">
        <v>632</v>
      </c>
      <c r="J519">
        <v>1.8480386400194292E-2</v>
      </c>
      <c r="K519" t="s">
        <v>14</v>
      </c>
      <c r="U519" t="s">
        <v>2475</v>
      </c>
      <c r="V519" t="s">
        <v>3184</v>
      </c>
      <c r="W519" t="s">
        <v>2564</v>
      </c>
      <c r="X519" t="s">
        <v>19</v>
      </c>
    </row>
    <row r="520" spans="8:24" x14ac:dyDescent="0.45">
      <c r="H520" t="s">
        <v>2707</v>
      </c>
      <c r="I520" t="s">
        <v>632</v>
      </c>
      <c r="J520">
        <v>1.8374048862141602E-2</v>
      </c>
      <c r="K520" t="s">
        <v>14</v>
      </c>
      <c r="U520" t="s">
        <v>2475</v>
      </c>
      <c r="V520" t="s">
        <v>3185</v>
      </c>
      <c r="W520" t="s">
        <v>2564</v>
      </c>
      <c r="X520" t="s">
        <v>19</v>
      </c>
    </row>
    <row r="521" spans="8:24" x14ac:dyDescent="0.45">
      <c r="H521" t="s">
        <v>2709</v>
      </c>
      <c r="I521" t="s">
        <v>632</v>
      </c>
      <c r="J521">
        <v>5.2198283321290298E-2</v>
      </c>
      <c r="K521" t="s">
        <v>14</v>
      </c>
      <c r="U521" t="s">
        <v>2475</v>
      </c>
      <c r="V521" t="s">
        <v>3185</v>
      </c>
      <c r="W521" t="s">
        <v>2916</v>
      </c>
      <c r="X521" t="s">
        <v>19</v>
      </c>
    </row>
    <row r="522" spans="8:24" x14ac:dyDescent="0.45">
      <c r="H522" t="s">
        <v>2711</v>
      </c>
      <c r="I522" t="s">
        <v>632</v>
      </c>
      <c r="J522">
        <v>5.9964282082049652E-3</v>
      </c>
      <c r="K522" t="s">
        <v>14</v>
      </c>
      <c r="U522" t="s">
        <v>2475</v>
      </c>
      <c r="V522" t="s">
        <v>3186</v>
      </c>
      <c r="W522" t="s">
        <v>2564</v>
      </c>
      <c r="X522" t="s">
        <v>19</v>
      </c>
    </row>
    <row r="523" spans="8:24" x14ac:dyDescent="0.45">
      <c r="H523" t="s">
        <v>2713</v>
      </c>
      <c r="I523" t="s">
        <v>632</v>
      </c>
      <c r="J523">
        <v>2.9982805882043474E-2</v>
      </c>
      <c r="K523" t="s">
        <v>14</v>
      </c>
      <c r="U523" t="s">
        <v>2475</v>
      </c>
      <c r="V523" t="s">
        <v>3186</v>
      </c>
      <c r="W523" t="s">
        <v>2916</v>
      </c>
      <c r="X523" t="s">
        <v>19</v>
      </c>
    </row>
    <row r="524" spans="8:24" x14ac:dyDescent="0.45">
      <c r="H524" t="s">
        <v>2715</v>
      </c>
      <c r="I524" t="s">
        <v>632</v>
      </c>
      <c r="J524">
        <v>1.0205607727976192E-2</v>
      </c>
      <c r="K524" t="s">
        <v>14</v>
      </c>
      <c r="U524" t="s">
        <v>2475</v>
      </c>
      <c r="V524" t="s">
        <v>3187</v>
      </c>
      <c r="W524" t="s">
        <v>2564</v>
      </c>
      <c r="X524" t="s">
        <v>19</v>
      </c>
    </row>
    <row r="525" spans="8:24" x14ac:dyDescent="0.45">
      <c r="H525" t="s">
        <v>2717</v>
      </c>
      <c r="I525" t="s">
        <v>632</v>
      </c>
      <c r="J525">
        <v>6.6588265417939158E-3</v>
      </c>
      <c r="K525" t="s">
        <v>14</v>
      </c>
      <c r="U525" t="s">
        <v>2475</v>
      </c>
      <c r="V525" t="s">
        <v>3187</v>
      </c>
      <c r="W525" t="s">
        <v>2916</v>
      </c>
      <c r="X525" t="s">
        <v>19</v>
      </c>
    </row>
    <row r="526" spans="8:24" x14ac:dyDescent="0.45">
      <c r="H526" t="s">
        <v>2719</v>
      </c>
      <c r="I526" t="s">
        <v>632</v>
      </c>
      <c r="J526">
        <v>0.17514684177799991</v>
      </c>
      <c r="K526" t="s">
        <v>14</v>
      </c>
      <c r="U526" t="s">
        <v>2475</v>
      </c>
      <c r="V526" t="s">
        <v>3188</v>
      </c>
      <c r="W526" t="s">
        <v>2916</v>
      </c>
      <c r="X526" t="s">
        <v>19</v>
      </c>
    </row>
    <row r="527" spans="8:24" x14ac:dyDescent="0.45">
      <c r="H527" t="s">
        <v>2721</v>
      </c>
      <c r="I527" t="s">
        <v>632</v>
      </c>
      <c r="J527">
        <v>1.9043924870147309E-2</v>
      </c>
      <c r="K527" t="s">
        <v>14</v>
      </c>
      <c r="U527" t="s">
        <v>2475</v>
      </c>
      <c r="V527" t="s">
        <v>3189</v>
      </c>
      <c r="W527" t="s">
        <v>2916</v>
      </c>
      <c r="X527" t="s">
        <v>19</v>
      </c>
    </row>
    <row r="528" spans="8:24" x14ac:dyDescent="0.45">
      <c r="H528" t="s">
        <v>2722</v>
      </c>
      <c r="I528" t="s">
        <v>632</v>
      </c>
      <c r="J528">
        <v>2.0292871369090443E-2</v>
      </c>
      <c r="K528" t="s">
        <v>14</v>
      </c>
      <c r="U528" t="s">
        <v>2475</v>
      </c>
      <c r="V528" t="s">
        <v>3190</v>
      </c>
      <c r="W528" t="s">
        <v>2916</v>
      </c>
      <c r="X528" t="s">
        <v>19</v>
      </c>
    </row>
    <row r="529" spans="8:24" x14ac:dyDescent="0.45">
      <c r="H529" t="s">
        <v>2724</v>
      </c>
      <c r="I529" t="s">
        <v>632</v>
      </c>
      <c r="J529">
        <v>4.0348298438389059E-2</v>
      </c>
      <c r="K529" t="s">
        <v>14</v>
      </c>
      <c r="U529" t="s">
        <v>2475</v>
      </c>
      <c r="V529" t="s">
        <v>3190</v>
      </c>
      <c r="W529" t="s">
        <v>2564</v>
      </c>
      <c r="X529" t="s">
        <v>17</v>
      </c>
    </row>
    <row r="530" spans="8:24" x14ac:dyDescent="0.45">
      <c r="H530" t="s">
        <v>2725</v>
      </c>
      <c r="I530" t="s">
        <v>632</v>
      </c>
      <c r="J530">
        <v>1.4395551583819281E-3</v>
      </c>
      <c r="K530" t="s">
        <v>14</v>
      </c>
      <c r="U530" t="s">
        <v>2475</v>
      </c>
      <c r="V530" t="s">
        <v>3191</v>
      </c>
      <c r="W530" t="s">
        <v>2916</v>
      </c>
      <c r="X530" t="s">
        <v>19</v>
      </c>
    </row>
    <row r="531" spans="8:24" x14ac:dyDescent="0.45">
      <c r="H531" t="s">
        <v>2727</v>
      </c>
      <c r="I531" t="s">
        <v>632</v>
      </c>
      <c r="J531">
        <v>3.589081554862017E-2</v>
      </c>
      <c r="K531" t="s">
        <v>14</v>
      </c>
      <c r="U531" t="s">
        <v>2475</v>
      </c>
      <c r="V531" t="s">
        <v>3191</v>
      </c>
      <c r="W531" t="s">
        <v>2564</v>
      </c>
      <c r="X531" t="s">
        <v>17</v>
      </c>
    </row>
    <row r="532" spans="8:24" x14ac:dyDescent="0.45">
      <c r="H532" t="s">
        <v>2729</v>
      </c>
      <c r="I532" t="s">
        <v>632</v>
      </c>
      <c r="J532">
        <v>6.6135013205513701E-3</v>
      </c>
      <c r="K532" t="s">
        <v>14</v>
      </c>
      <c r="U532" t="s">
        <v>2475</v>
      </c>
      <c r="V532" t="s">
        <v>3192</v>
      </c>
      <c r="W532" t="s">
        <v>2568</v>
      </c>
      <c r="X532" t="s">
        <v>19</v>
      </c>
    </row>
    <row r="533" spans="8:24" x14ac:dyDescent="0.45">
      <c r="H533" t="s">
        <v>2731</v>
      </c>
      <c r="I533" t="s">
        <v>632</v>
      </c>
      <c r="J533">
        <v>6.4705309866090602E-4</v>
      </c>
      <c r="K533" t="s">
        <v>14</v>
      </c>
      <c r="U533" t="s">
        <v>2475</v>
      </c>
      <c r="V533" t="s">
        <v>3193</v>
      </c>
      <c r="W533" t="s">
        <v>2568</v>
      </c>
      <c r="X533" t="s">
        <v>19</v>
      </c>
    </row>
    <row r="534" spans="8:24" x14ac:dyDescent="0.45">
      <c r="H534" t="s">
        <v>2732</v>
      </c>
      <c r="I534" t="s">
        <v>632</v>
      </c>
      <c r="J534">
        <v>2.6971517945730498E-2</v>
      </c>
      <c r="K534" t="s">
        <v>14</v>
      </c>
      <c r="U534" t="s">
        <v>2475</v>
      </c>
      <c r="V534" t="s">
        <v>3194</v>
      </c>
      <c r="W534" t="s">
        <v>2568</v>
      </c>
      <c r="X534" t="s">
        <v>19</v>
      </c>
    </row>
    <row r="535" spans="8:24" x14ac:dyDescent="0.45">
      <c r="H535" t="s">
        <v>2734</v>
      </c>
      <c r="I535" t="s">
        <v>632</v>
      </c>
      <c r="J535">
        <v>0.17754792754249285</v>
      </c>
      <c r="K535" t="s">
        <v>14</v>
      </c>
      <c r="U535" t="s">
        <v>2475</v>
      </c>
      <c r="V535" t="s">
        <v>3195</v>
      </c>
      <c r="W535" t="s">
        <v>2568</v>
      </c>
      <c r="X535" t="s">
        <v>19</v>
      </c>
    </row>
    <row r="536" spans="8:24" x14ac:dyDescent="0.45">
      <c r="H536" t="s">
        <v>2735</v>
      </c>
      <c r="I536" t="s">
        <v>632</v>
      </c>
      <c r="J536">
        <v>6.0660887742747596E-4</v>
      </c>
      <c r="K536" t="s">
        <v>14</v>
      </c>
      <c r="U536" t="s">
        <v>2475</v>
      </c>
      <c r="V536" t="s">
        <v>3196</v>
      </c>
      <c r="W536" t="s">
        <v>2568</v>
      </c>
      <c r="X536" t="s">
        <v>19</v>
      </c>
    </row>
    <row r="537" spans="8:24" x14ac:dyDescent="0.45">
      <c r="H537" t="s">
        <v>2737</v>
      </c>
      <c r="I537" t="s">
        <v>632</v>
      </c>
      <c r="J537">
        <v>0.11448535005126947</v>
      </c>
      <c r="K537" t="s">
        <v>14</v>
      </c>
      <c r="U537" t="s">
        <v>2475</v>
      </c>
      <c r="V537" t="s">
        <v>3197</v>
      </c>
      <c r="W537" t="s">
        <v>2568</v>
      </c>
      <c r="X537" t="s">
        <v>19</v>
      </c>
    </row>
    <row r="538" spans="8:24" x14ac:dyDescent="0.45">
      <c r="H538" t="s">
        <v>2739</v>
      </c>
      <c r="I538" t="s">
        <v>632</v>
      </c>
      <c r="J538">
        <v>2.7101098158022001E-4</v>
      </c>
      <c r="K538" t="s">
        <v>14</v>
      </c>
      <c r="U538" t="s">
        <v>2475</v>
      </c>
      <c r="V538" t="s">
        <v>3198</v>
      </c>
      <c r="W538" t="s">
        <v>2568</v>
      </c>
      <c r="X538" t="s">
        <v>19</v>
      </c>
    </row>
    <row r="539" spans="8:24" x14ac:dyDescent="0.45">
      <c r="H539" t="s">
        <v>2741</v>
      </c>
      <c r="I539" t="s">
        <v>632</v>
      </c>
      <c r="J539">
        <v>2.6908912723329324E-2</v>
      </c>
      <c r="K539" t="s">
        <v>14</v>
      </c>
      <c r="U539" t="s">
        <v>2475</v>
      </c>
      <c r="V539" t="s">
        <v>3199</v>
      </c>
      <c r="W539" t="s">
        <v>2568</v>
      </c>
      <c r="X539" t="s">
        <v>19</v>
      </c>
    </row>
    <row r="540" spans="8:24" x14ac:dyDescent="0.45">
      <c r="H540" t="s">
        <v>2743</v>
      </c>
      <c r="I540" t="s">
        <v>632</v>
      </c>
      <c r="J540">
        <v>6.5470142844085001E-4</v>
      </c>
      <c r="K540" t="s">
        <v>14</v>
      </c>
      <c r="U540" t="s">
        <v>2475</v>
      </c>
      <c r="V540" t="s">
        <v>3200</v>
      </c>
      <c r="W540" t="s">
        <v>2568</v>
      </c>
      <c r="X540" t="s">
        <v>19</v>
      </c>
    </row>
    <row r="541" spans="8:24" x14ac:dyDescent="0.45">
      <c r="H541" t="s">
        <v>2745</v>
      </c>
      <c r="I541" t="s">
        <v>632</v>
      </c>
      <c r="J541">
        <v>5.4991353639911102E-10</v>
      </c>
      <c r="K541" t="s">
        <v>14</v>
      </c>
      <c r="U541" t="s">
        <v>2475</v>
      </c>
      <c r="V541" t="s">
        <v>3201</v>
      </c>
      <c r="W541" t="s">
        <v>2568</v>
      </c>
      <c r="X541" t="s">
        <v>19</v>
      </c>
    </row>
    <row r="542" spans="8:24" x14ac:dyDescent="0.45">
      <c r="H542" t="s">
        <v>2747</v>
      </c>
      <c r="I542" t="s">
        <v>632</v>
      </c>
      <c r="J542">
        <v>3.6660658022220579E-15</v>
      </c>
      <c r="K542" t="s">
        <v>14</v>
      </c>
      <c r="U542" t="s">
        <v>2475</v>
      </c>
      <c r="V542" t="s">
        <v>3202</v>
      </c>
      <c r="W542" t="s">
        <v>2568</v>
      </c>
      <c r="X542" t="s">
        <v>19</v>
      </c>
    </row>
    <row r="543" spans="8:24" x14ac:dyDescent="0.45">
      <c r="H543" t="s">
        <v>2749</v>
      </c>
      <c r="I543" t="s">
        <v>632</v>
      </c>
      <c r="J543">
        <v>1.74530944559874E-4</v>
      </c>
      <c r="K543" t="s">
        <v>14</v>
      </c>
      <c r="U543" t="s">
        <v>2475</v>
      </c>
      <c r="V543" t="s">
        <v>3202</v>
      </c>
      <c r="W543" t="s">
        <v>3203</v>
      </c>
      <c r="X543" t="s">
        <v>19</v>
      </c>
    </row>
    <row r="544" spans="8:24" x14ac:dyDescent="0.45">
      <c r="H544" t="s">
        <v>2751</v>
      </c>
      <c r="I544" t="s">
        <v>632</v>
      </c>
      <c r="J544">
        <v>3.6083828047401886E-2</v>
      </c>
      <c r="K544" t="s">
        <v>14</v>
      </c>
      <c r="U544" t="s">
        <v>2475</v>
      </c>
      <c r="V544" t="s">
        <v>3204</v>
      </c>
      <c r="W544" t="s">
        <v>2568</v>
      </c>
      <c r="X544" t="s">
        <v>19</v>
      </c>
    </row>
    <row r="545" spans="8:24" x14ac:dyDescent="0.45">
      <c r="H545" t="s">
        <v>2753</v>
      </c>
      <c r="I545" t="s">
        <v>632</v>
      </c>
      <c r="J545">
        <v>5.0598105355852596E-4</v>
      </c>
      <c r="K545" t="s">
        <v>14</v>
      </c>
      <c r="U545" t="s">
        <v>2475</v>
      </c>
      <c r="V545" t="s">
        <v>3204</v>
      </c>
      <c r="W545" t="s">
        <v>3203</v>
      </c>
      <c r="X545" t="s">
        <v>19</v>
      </c>
    </row>
    <row r="546" spans="8:24" x14ac:dyDescent="0.45">
      <c r="H546" t="s">
        <v>2755</v>
      </c>
      <c r="I546" t="s">
        <v>632</v>
      </c>
      <c r="J546">
        <v>9.3800692832480124E-5</v>
      </c>
      <c r="K546" t="s">
        <v>14</v>
      </c>
      <c r="U546" t="s">
        <v>2475</v>
      </c>
      <c r="V546" t="s">
        <v>3205</v>
      </c>
      <c r="W546" t="s">
        <v>2568</v>
      </c>
      <c r="X546" t="s">
        <v>19</v>
      </c>
    </row>
    <row r="547" spans="8:24" x14ac:dyDescent="0.45">
      <c r="H547" t="s">
        <v>2757</v>
      </c>
      <c r="I547" t="s">
        <v>632</v>
      </c>
      <c r="J547">
        <v>5.6126147648367436E-3</v>
      </c>
      <c r="K547" t="s">
        <v>14</v>
      </c>
      <c r="U547" t="s">
        <v>2475</v>
      </c>
      <c r="V547" t="s">
        <v>3205</v>
      </c>
      <c r="W547" t="s">
        <v>3203</v>
      </c>
      <c r="X547" t="s">
        <v>19</v>
      </c>
    </row>
    <row r="548" spans="8:24" x14ac:dyDescent="0.45">
      <c r="H548" t="s">
        <v>2759</v>
      </c>
      <c r="I548" t="s">
        <v>632</v>
      </c>
      <c r="J548">
        <v>6.3875718768201278E-2</v>
      </c>
      <c r="K548" t="s">
        <v>14</v>
      </c>
      <c r="U548" t="s">
        <v>2475</v>
      </c>
      <c r="V548" t="s">
        <v>3206</v>
      </c>
      <c r="W548" t="s">
        <v>3203</v>
      </c>
      <c r="X548" t="s">
        <v>19</v>
      </c>
    </row>
    <row r="549" spans="8:24" x14ac:dyDescent="0.45">
      <c r="H549" t="s">
        <v>2761</v>
      </c>
      <c r="I549" t="s">
        <v>632</v>
      </c>
      <c r="J549">
        <v>7.9895032485693726E-2</v>
      </c>
      <c r="K549" t="s">
        <v>14</v>
      </c>
      <c r="U549" t="s">
        <v>2475</v>
      </c>
      <c r="V549" t="s">
        <v>3207</v>
      </c>
      <c r="W549" t="s">
        <v>3203</v>
      </c>
      <c r="X549" t="s">
        <v>19</v>
      </c>
    </row>
    <row r="550" spans="8:24" x14ac:dyDescent="0.45">
      <c r="H550" t="s">
        <v>2762</v>
      </c>
      <c r="I550" t="s">
        <v>632</v>
      </c>
      <c r="J550">
        <v>2.44601376754182E-4</v>
      </c>
      <c r="K550" t="s">
        <v>14</v>
      </c>
      <c r="U550" t="s">
        <v>2475</v>
      </c>
      <c r="V550" t="s">
        <v>3208</v>
      </c>
      <c r="W550" t="s">
        <v>3203</v>
      </c>
      <c r="X550" t="s">
        <v>19</v>
      </c>
    </row>
    <row r="551" spans="8:24" x14ac:dyDescent="0.45">
      <c r="H551" t="s">
        <v>2764</v>
      </c>
      <c r="I551" t="s">
        <v>632</v>
      </c>
      <c r="J551">
        <v>1.38349074731378E-4</v>
      </c>
      <c r="K551" t="s">
        <v>14</v>
      </c>
      <c r="U551" t="s">
        <v>2475</v>
      </c>
      <c r="V551" t="s">
        <v>3208</v>
      </c>
      <c r="W551" t="s">
        <v>2568</v>
      </c>
      <c r="X551" t="s">
        <v>17</v>
      </c>
    </row>
    <row r="552" spans="8:24" x14ac:dyDescent="0.45">
      <c r="H552" t="s">
        <v>2765</v>
      </c>
      <c r="I552" t="s">
        <v>632</v>
      </c>
      <c r="J552">
        <v>1.2857578322734182E-3</v>
      </c>
      <c r="K552" t="s">
        <v>14</v>
      </c>
      <c r="U552" t="s">
        <v>2475</v>
      </c>
      <c r="V552" t="s">
        <v>3209</v>
      </c>
      <c r="W552" t="s">
        <v>3203</v>
      </c>
      <c r="X552" t="s">
        <v>19</v>
      </c>
    </row>
    <row r="553" spans="8:24" x14ac:dyDescent="0.45">
      <c r="H553" t="s">
        <v>2767</v>
      </c>
      <c r="I553" t="s">
        <v>632</v>
      </c>
      <c r="J553">
        <v>3.6661024628800815E-10</v>
      </c>
      <c r="K553" t="s">
        <v>14</v>
      </c>
      <c r="U553" t="s">
        <v>2475</v>
      </c>
      <c r="V553" t="s">
        <v>3209</v>
      </c>
      <c r="W553" t="s">
        <v>2568</v>
      </c>
      <c r="X553" t="s">
        <v>17</v>
      </c>
    </row>
    <row r="554" spans="8:24" x14ac:dyDescent="0.45">
      <c r="H554" t="s">
        <v>2769</v>
      </c>
      <c r="I554" t="s">
        <v>632</v>
      </c>
      <c r="J554">
        <v>1.633953063430268E-3</v>
      </c>
      <c r="K554" t="s">
        <v>14</v>
      </c>
      <c r="U554" t="s">
        <v>2475</v>
      </c>
      <c r="V554" t="s">
        <v>3210</v>
      </c>
      <c r="W554" t="s">
        <v>2572</v>
      </c>
      <c r="X554" t="s">
        <v>19</v>
      </c>
    </row>
    <row r="555" spans="8:24" x14ac:dyDescent="0.45">
      <c r="H555" t="s">
        <v>2771</v>
      </c>
      <c r="I555" t="s">
        <v>632</v>
      </c>
      <c r="J555">
        <v>1.69055290344094E-3</v>
      </c>
      <c r="K555" t="s">
        <v>14</v>
      </c>
      <c r="U555" t="s">
        <v>2475</v>
      </c>
      <c r="V555" t="s">
        <v>3211</v>
      </c>
      <c r="W555" t="s">
        <v>2572</v>
      </c>
      <c r="X555" t="s">
        <v>19</v>
      </c>
    </row>
    <row r="556" spans="8:24" x14ac:dyDescent="0.45">
      <c r="H556" t="s">
        <v>2772</v>
      </c>
      <c r="I556" t="s">
        <v>632</v>
      </c>
      <c r="J556">
        <v>1.8480386400194292E-2</v>
      </c>
      <c r="K556" t="s">
        <v>14</v>
      </c>
      <c r="U556" t="s">
        <v>2475</v>
      </c>
      <c r="V556" t="s">
        <v>3212</v>
      </c>
      <c r="W556" t="s">
        <v>2572</v>
      </c>
      <c r="X556" t="s">
        <v>19</v>
      </c>
    </row>
    <row r="557" spans="8:24" x14ac:dyDescent="0.45">
      <c r="H557" t="s">
        <v>2774</v>
      </c>
      <c r="I557" t="s">
        <v>632</v>
      </c>
      <c r="J557">
        <v>1.8374048862141602E-2</v>
      </c>
      <c r="K557" t="s">
        <v>14</v>
      </c>
      <c r="U557" t="s">
        <v>2475</v>
      </c>
      <c r="V557" t="s">
        <v>3213</v>
      </c>
      <c r="W557" t="s">
        <v>2572</v>
      </c>
      <c r="X557" t="s">
        <v>19</v>
      </c>
    </row>
    <row r="558" spans="8:24" x14ac:dyDescent="0.45">
      <c r="H558" t="s">
        <v>2775</v>
      </c>
      <c r="I558" t="s">
        <v>632</v>
      </c>
      <c r="J558">
        <v>5.2198283321290298E-2</v>
      </c>
      <c r="K558" t="s">
        <v>14</v>
      </c>
      <c r="U558" t="s">
        <v>2475</v>
      </c>
      <c r="V558" t="s">
        <v>3214</v>
      </c>
      <c r="W558" t="s">
        <v>2572</v>
      </c>
      <c r="X558" t="s">
        <v>19</v>
      </c>
    </row>
    <row r="559" spans="8:24" x14ac:dyDescent="0.45">
      <c r="H559" t="s">
        <v>2777</v>
      </c>
      <c r="I559" t="s">
        <v>632</v>
      </c>
      <c r="J559">
        <v>5.9964282082049652E-3</v>
      </c>
      <c r="K559" t="s">
        <v>14</v>
      </c>
      <c r="U559" t="s">
        <v>2475</v>
      </c>
      <c r="V559" t="s">
        <v>3215</v>
      </c>
      <c r="W559" t="s">
        <v>2572</v>
      </c>
      <c r="X559" t="s">
        <v>19</v>
      </c>
    </row>
    <row r="560" spans="8:24" x14ac:dyDescent="0.45">
      <c r="H560" t="s">
        <v>2779</v>
      </c>
      <c r="I560" t="s">
        <v>632</v>
      </c>
      <c r="J560">
        <v>2.9982805882043474E-2</v>
      </c>
      <c r="K560" t="s">
        <v>14</v>
      </c>
      <c r="U560" t="s">
        <v>2475</v>
      </c>
      <c r="V560" t="s">
        <v>3216</v>
      </c>
      <c r="W560" t="s">
        <v>2572</v>
      </c>
      <c r="X560" t="s">
        <v>19</v>
      </c>
    </row>
    <row r="561" spans="8:24" x14ac:dyDescent="0.45">
      <c r="H561" t="s">
        <v>2781</v>
      </c>
      <c r="I561" t="s">
        <v>632</v>
      </c>
      <c r="J561">
        <v>1.0205607727976192E-2</v>
      </c>
      <c r="K561" t="s">
        <v>14</v>
      </c>
      <c r="U561" t="s">
        <v>2475</v>
      </c>
      <c r="V561" t="s">
        <v>3217</v>
      </c>
      <c r="W561" t="s">
        <v>2572</v>
      </c>
      <c r="X561" t="s">
        <v>19</v>
      </c>
    </row>
    <row r="562" spans="8:24" x14ac:dyDescent="0.45">
      <c r="H562" t="s">
        <v>2783</v>
      </c>
      <c r="I562" t="s">
        <v>632</v>
      </c>
      <c r="J562">
        <v>6.6588265417939158E-3</v>
      </c>
      <c r="K562" t="s">
        <v>14</v>
      </c>
      <c r="U562" t="s">
        <v>2475</v>
      </c>
      <c r="V562" t="s">
        <v>3218</v>
      </c>
      <c r="W562" t="s">
        <v>2572</v>
      </c>
      <c r="X562" t="s">
        <v>19</v>
      </c>
    </row>
    <row r="563" spans="8:24" x14ac:dyDescent="0.45">
      <c r="H563" t="s">
        <v>2785</v>
      </c>
      <c r="I563" t="s">
        <v>632</v>
      </c>
      <c r="J563">
        <v>0.17514684177799991</v>
      </c>
      <c r="K563" t="s">
        <v>14</v>
      </c>
      <c r="U563" t="s">
        <v>2475</v>
      </c>
      <c r="V563" t="s">
        <v>3219</v>
      </c>
      <c r="W563" t="s">
        <v>2572</v>
      </c>
      <c r="X563" t="s">
        <v>19</v>
      </c>
    </row>
    <row r="564" spans="8:24" x14ac:dyDescent="0.45">
      <c r="H564" t="s">
        <v>2787</v>
      </c>
      <c r="I564" t="s">
        <v>632</v>
      </c>
      <c r="J564">
        <v>1.9043924870147309E-2</v>
      </c>
      <c r="K564" t="s">
        <v>14</v>
      </c>
      <c r="U564" t="s">
        <v>2475</v>
      </c>
      <c r="V564" t="s">
        <v>3220</v>
      </c>
      <c r="W564" t="s">
        <v>2572</v>
      </c>
      <c r="X564" t="s">
        <v>19</v>
      </c>
    </row>
    <row r="565" spans="8:24" x14ac:dyDescent="0.45">
      <c r="H565" t="s">
        <v>2789</v>
      </c>
      <c r="I565" t="s">
        <v>632</v>
      </c>
      <c r="J565">
        <v>2.0292871369090443E-2</v>
      </c>
      <c r="K565" t="s">
        <v>14</v>
      </c>
      <c r="U565" t="s">
        <v>2475</v>
      </c>
      <c r="V565" t="s">
        <v>3220</v>
      </c>
      <c r="W565" t="s">
        <v>2886</v>
      </c>
      <c r="X565" t="s">
        <v>19</v>
      </c>
    </row>
    <row r="566" spans="8:24" x14ac:dyDescent="0.45">
      <c r="H566" t="s">
        <v>2791</v>
      </c>
      <c r="I566" t="s">
        <v>632</v>
      </c>
      <c r="J566">
        <v>4.0348298438389059E-2</v>
      </c>
      <c r="K566" t="s">
        <v>14</v>
      </c>
      <c r="U566" t="s">
        <v>2475</v>
      </c>
      <c r="V566" t="s">
        <v>3221</v>
      </c>
      <c r="W566" t="s">
        <v>2572</v>
      </c>
      <c r="X566" t="s">
        <v>19</v>
      </c>
    </row>
    <row r="567" spans="8:24" x14ac:dyDescent="0.45">
      <c r="H567" t="s">
        <v>2793</v>
      </c>
      <c r="I567" t="s">
        <v>632</v>
      </c>
      <c r="J567">
        <v>1.4395551583819281E-3</v>
      </c>
      <c r="K567" t="s">
        <v>14</v>
      </c>
      <c r="U567" t="s">
        <v>2475</v>
      </c>
      <c r="V567" t="s">
        <v>3221</v>
      </c>
      <c r="W567" t="s">
        <v>2886</v>
      </c>
      <c r="X567" t="s">
        <v>19</v>
      </c>
    </row>
    <row r="568" spans="8:24" x14ac:dyDescent="0.45">
      <c r="H568" t="s">
        <v>2795</v>
      </c>
      <c r="I568" t="s">
        <v>632</v>
      </c>
      <c r="J568">
        <v>3.589081554862017E-2</v>
      </c>
      <c r="K568" t="s">
        <v>14</v>
      </c>
      <c r="U568" t="s">
        <v>2475</v>
      </c>
      <c r="V568" t="s">
        <v>3222</v>
      </c>
      <c r="W568" t="s">
        <v>2572</v>
      </c>
      <c r="X568" t="s">
        <v>19</v>
      </c>
    </row>
    <row r="569" spans="8:24" x14ac:dyDescent="0.45">
      <c r="H569" t="s">
        <v>2797</v>
      </c>
      <c r="I569" t="s">
        <v>632</v>
      </c>
      <c r="J569">
        <v>6.6135013205513701E-3</v>
      </c>
      <c r="K569" t="s">
        <v>14</v>
      </c>
      <c r="U569" t="s">
        <v>2475</v>
      </c>
      <c r="V569" t="s">
        <v>3222</v>
      </c>
      <c r="W569" t="s">
        <v>2886</v>
      </c>
      <c r="X569" t="s">
        <v>19</v>
      </c>
    </row>
    <row r="570" spans="8:24" x14ac:dyDescent="0.45">
      <c r="H570" t="s">
        <v>2799</v>
      </c>
      <c r="I570" t="s">
        <v>632</v>
      </c>
      <c r="J570">
        <v>6.4705309866090602E-4</v>
      </c>
      <c r="K570" t="s">
        <v>14</v>
      </c>
      <c r="U570" t="s">
        <v>2475</v>
      </c>
      <c r="V570" t="s">
        <v>3223</v>
      </c>
      <c r="W570" t="s">
        <v>2886</v>
      </c>
      <c r="X570" t="s">
        <v>19</v>
      </c>
    </row>
    <row r="571" spans="8:24" x14ac:dyDescent="0.45">
      <c r="H571" t="s">
        <v>2801</v>
      </c>
      <c r="I571" t="s">
        <v>632</v>
      </c>
      <c r="J571">
        <v>2.6971517945730498E-2</v>
      </c>
      <c r="K571" t="s">
        <v>14</v>
      </c>
      <c r="U571" t="s">
        <v>2475</v>
      </c>
      <c r="V571" t="s">
        <v>3224</v>
      </c>
      <c r="W571" t="s">
        <v>2886</v>
      </c>
      <c r="X571" t="s">
        <v>19</v>
      </c>
    </row>
    <row r="572" spans="8:24" x14ac:dyDescent="0.45">
      <c r="H572" t="s">
        <v>2802</v>
      </c>
      <c r="I572" t="s">
        <v>632</v>
      </c>
      <c r="J572">
        <v>0.17754792754249285</v>
      </c>
      <c r="K572" t="s">
        <v>14</v>
      </c>
      <c r="U572" t="s">
        <v>2475</v>
      </c>
      <c r="V572" t="s">
        <v>3225</v>
      </c>
      <c r="W572" t="s">
        <v>2886</v>
      </c>
      <c r="X572" t="s">
        <v>19</v>
      </c>
    </row>
    <row r="573" spans="8:24" x14ac:dyDescent="0.45">
      <c r="H573" t="s">
        <v>2804</v>
      </c>
      <c r="I573" t="s">
        <v>632</v>
      </c>
      <c r="J573">
        <v>6.0660887742747596E-4</v>
      </c>
      <c r="K573" t="s">
        <v>14</v>
      </c>
      <c r="U573" t="s">
        <v>2475</v>
      </c>
      <c r="V573" t="s">
        <v>3225</v>
      </c>
      <c r="W573" t="s">
        <v>2572</v>
      </c>
      <c r="X573" t="s">
        <v>17</v>
      </c>
    </row>
    <row r="574" spans="8:24" x14ac:dyDescent="0.45">
      <c r="H574" t="s">
        <v>2805</v>
      </c>
      <c r="I574" t="s">
        <v>632</v>
      </c>
      <c r="J574">
        <v>0.11448535005126947</v>
      </c>
      <c r="K574" t="s">
        <v>14</v>
      </c>
      <c r="U574" t="s">
        <v>2475</v>
      </c>
      <c r="V574" t="s">
        <v>3226</v>
      </c>
      <c r="W574" t="s">
        <v>2886</v>
      </c>
      <c r="X574" t="s">
        <v>19</v>
      </c>
    </row>
    <row r="575" spans="8:24" x14ac:dyDescent="0.45">
      <c r="H575" t="s">
        <v>2807</v>
      </c>
      <c r="I575" t="s">
        <v>632</v>
      </c>
      <c r="J575">
        <v>2.7101098158022001E-4</v>
      </c>
      <c r="K575" t="s">
        <v>14</v>
      </c>
      <c r="U575" t="s">
        <v>2475</v>
      </c>
      <c r="V575" t="s">
        <v>3226</v>
      </c>
      <c r="W575" t="s">
        <v>2572</v>
      </c>
      <c r="X575" t="s">
        <v>17</v>
      </c>
    </row>
    <row r="576" spans="8:24" x14ac:dyDescent="0.45">
      <c r="H576" t="s">
        <v>2809</v>
      </c>
      <c r="I576" t="s">
        <v>632</v>
      </c>
      <c r="J576">
        <v>2.6908912723329324E-2</v>
      </c>
      <c r="K576" t="s">
        <v>14</v>
      </c>
      <c r="U576" t="s">
        <v>2475</v>
      </c>
      <c r="V576" t="s">
        <v>3227</v>
      </c>
      <c r="W576" t="s">
        <v>2576</v>
      </c>
      <c r="X576" t="s">
        <v>19</v>
      </c>
    </row>
    <row r="577" spans="8:24" x14ac:dyDescent="0.45">
      <c r="H577" t="s">
        <v>2811</v>
      </c>
      <c r="I577" t="s">
        <v>632</v>
      </c>
      <c r="J577">
        <v>6.5470142844085001E-4</v>
      </c>
      <c r="K577" t="s">
        <v>14</v>
      </c>
      <c r="U577" t="s">
        <v>2475</v>
      </c>
      <c r="V577" t="s">
        <v>3228</v>
      </c>
      <c r="W577" t="s">
        <v>2576</v>
      </c>
      <c r="X577" t="s">
        <v>19</v>
      </c>
    </row>
    <row r="578" spans="8:24" x14ac:dyDescent="0.45">
      <c r="H578" t="s">
        <v>2812</v>
      </c>
      <c r="I578" t="s">
        <v>632</v>
      </c>
      <c r="J578">
        <v>5.4991353639911102E-10</v>
      </c>
      <c r="K578" t="s">
        <v>14</v>
      </c>
      <c r="U578" t="s">
        <v>2475</v>
      </c>
      <c r="V578" t="s">
        <v>3229</v>
      </c>
      <c r="W578" t="s">
        <v>2576</v>
      </c>
      <c r="X578" t="s">
        <v>19</v>
      </c>
    </row>
    <row r="579" spans="8:24" x14ac:dyDescent="0.45">
      <c r="H579" t="s">
        <v>2814</v>
      </c>
      <c r="I579" t="s">
        <v>632</v>
      </c>
      <c r="J579">
        <v>3.6660658022220579E-15</v>
      </c>
      <c r="K579" t="s">
        <v>14</v>
      </c>
      <c r="U579" t="s">
        <v>2475</v>
      </c>
      <c r="V579" t="s">
        <v>3230</v>
      </c>
      <c r="W579" t="s">
        <v>2576</v>
      </c>
      <c r="X579" t="s">
        <v>19</v>
      </c>
    </row>
    <row r="580" spans="8:24" x14ac:dyDescent="0.45">
      <c r="H580" t="s">
        <v>2815</v>
      </c>
      <c r="I580" t="s">
        <v>632</v>
      </c>
      <c r="J580">
        <v>1.74530944559874E-4</v>
      </c>
      <c r="K580" t="s">
        <v>14</v>
      </c>
      <c r="U580" t="s">
        <v>2475</v>
      </c>
      <c r="V580" t="s">
        <v>3231</v>
      </c>
      <c r="W580" t="s">
        <v>2576</v>
      </c>
      <c r="X580" t="s">
        <v>19</v>
      </c>
    </row>
    <row r="581" spans="8:24" x14ac:dyDescent="0.45">
      <c r="H581" t="s">
        <v>2817</v>
      </c>
      <c r="I581" t="s">
        <v>632</v>
      </c>
      <c r="J581">
        <v>3.6083828047401886E-2</v>
      </c>
      <c r="K581" t="s">
        <v>14</v>
      </c>
      <c r="U581" t="s">
        <v>2475</v>
      </c>
      <c r="V581" t="s">
        <v>3232</v>
      </c>
      <c r="W581" t="s">
        <v>2576</v>
      </c>
      <c r="X581" t="s">
        <v>19</v>
      </c>
    </row>
    <row r="582" spans="8:24" x14ac:dyDescent="0.45">
      <c r="H582" t="s">
        <v>2819</v>
      </c>
      <c r="I582" t="s">
        <v>632</v>
      </c>
      <c r="J582">
        <v>5.0598105355852596E-4</v>
      </c>
      <c r="K582" t="s">
        <v>14</v>
      </c>
      <c r="U582" t="s">
        <v>2475</v>
      </c>
      <c r="V582" t="s">
        <v>3233</v>
      </c>
      <c r="W582" t="s">
        <v>2576</v>
      </c>
      <c r="X582" t="s">
        <v>19</v>
      </c>
    </row>
    <row r="583" spans="8:24" x14ac:dyDescent="0.45">
      <c r="H583" t="s">
        <v>2821</v>
      </c>
      <c r="I583" t="s">
        <v>632</v>
      </c>
      <c r="J583">
        <v>9.3800692832480124E-5</v>
      </c>
      <c r="K583" t="s">
        <v>14</v>
      </c>
      <c r="U583" t="s">
        <v>2475</v>
      </c>
      <c r="V583" t="s">
        <v>3234</v>
      </c>
      <c r="W583" t="s">
        <v>2576</v>
      </c>
      <c r="X583" t="s">
        <v>19</v>
      </c>
    </row>
    <row r="584" spans="8:24" x14ac:dyDescent="0.45">
      <c r="H584" t="s">
        <v>2823</v>
      </c>
      <c r="I584" t="s">
        <v>632</v>
      </c>
      <c r="J584">
        <v>5.6126147648367436E-3</v>
      </c>
      <c r="K584" t="s">
        <v>14</v>
      </c>
      <c r="U584" t="s">
        <v>2475</v>
      </c>
      <c r="V584" t="s">
        <v>3235</v>
      </c>
      <c r="W584" t="s">
        <v>2576</v>
      </c>
      <c r="X584" t="s">
        <v>19</v>
      </c>
    </row>
    <row r="585" spans="8:24" x14ac:dyDescent="0.45">
      <c r="H585" t="s">
        <v>2825</v>
      </c>
      <c r="I585" t="s">
        <v>632</v>
      </c>
      <c r="J585">
        <v>6.3875718768201278E-2</v>
      </c>
      <c r="K585" t="s">
        <v>14</v>
      </c>
      <c r="U585" t="s">
        <v>2475</v>
      </c>
      <c r="V585" t="s">
        <v>3236</v>
      </c>
      <c r="W585" t="s">
        <v>2576</v>
      </c>
      <c r="X585" t="s">
        <v>19</v>
      </c>
    </row>
    <row r="586" spans="8:24" x14ac:dyDescent="0.45">
      <c r="H586" t="s">
        <v>2827</v>
      </c>
      <c r="I586" t="s">
        <v>632</v>
      </c>
      <c r="J586">
        <v>7.9895032485693726E-2</v>
      </c>
      <c r="K586" t="s">
        <v>14</v>
      </c>
      <c r="U586" t="s">
        <v>2475</v>
      </c>
      <c r="V586" t="s">
        <v>3237</v>
      </c>
      <c r="W586" t="s">
        <v>2576</v>
      </c>
      <c r="X586" t="s">
        <v>19</v>
      </c>
    </row>
    <row r="587" spans="8:24" x14ac:dyDescent="0.45">
      <c r="H587" t="s">
        <v>2829</v>
      </c>
      <c r="I587" t="s">
        <v>632</v>
      </c>
      <c r="J587">
        <v>2.44601376754182E-4</v>
      </c>
      <c r="K587" t="s">
        <v>14</v>
      </c>
      <c r="U587" t="s">
        <v>2475</v>
      </c>
      <c r="V587" t="s">
        <v>3237</v>
      </c>
      <c r="W587" t="s">
        <v>2855</v>
      </c>
      <c r="X587" t="s">
        <v>19</v>
      </c>
    </row>
    <row r="588" spans="8:24" x14ac:dyDescent="0.45">
      <c r="H588" t="s">
        <v>2831</v>
      </c>
      <c r="I588" t="s">
        <v>632</v>
      </c>
      <c r="J588">
        <v>1.38349074731378E-4</v>
      </c>
      <c r="K588" t="s">
        <v>14</v>
      </c>
      <c r="U588" t="s">
        <v>2475</v>
      </c>
      <c r="V588" t="s">
        <v>3238</v>
      </c>
      <c r="W588" t="s">
        <v>2576</v>
      </c>
      <c r="X588" t="s">
        <v>19</v>
      </c>
    </row>
    <row r="589" spans="8:24" x14ac:dyDescent="0.45">
      <c r="H589" t="s">
        <v>2833</v>
      </c>
      <c r="I589" t="s">
        <v>632</v>
      </c>
      <c r="J589">
        <v>1.2857578322734182E-3</v>
      </c>
      <c r="K589" t="s">
        <v>14</v>
      </c>
      <c r="U589" t="s">
        <v>2475</v>
      </c>
      <c r="V589" t="s">
        <v>3238</v>
      </c>
      <c r="W589" t="s">
        <v>2855</v>
      </c>
      <c r="X589" t="s">
        <v>19</v>
      </c>
    </row>
    <row r="590" spans="8:24" x14ac:dyDescent="0.45">
      <c r="H590" t="s">
        <v>2835</v>
      </c>
      <c r="I590" t="s">
        <v>632</v>
      </c>
      <c r="J590">
        <v>3.6661024628800815E-10</v>
      </c>
      <c r="K590" t="s">
        <v>14</v>
      </c>
      <c r="U590" t="s">
        <v>2475</v>
      </c>
      <c r="V590" t="s">
        <v>3239</v>
      </c>
      <c r="W590" t="s">
        <v>2576</v>
      </c>
      <c r="X590" t="s">
        <v>19</v>
      </c>
    </row>
    <row r="591" spans="8:24" x14ac:dyDescent="0.45">
      <c r="H591" t="s">
        <v>2837</v>
      </c>
      <c r="I591" t="s">
        <v>632</v>
      </c>
      <c r="J591">
        <v>1.633953063430268E-3</v>
      </c>
      <c r="K591" t="s">
        <v>14</v>
      </c>
      <c r="U591" t="s">
        <v>2475</v>
      </c>
      <c r="V591" t="s">
        <v>3239</v>
      </c>
      <c r="W591" t="s">
        <v>2855</v>
      </c>
      <c r="X591" t="s">
        <v>19</v>
      </c>
    </row>
    <row r="592" spans="8:24" x14ac:dyDescent="0.45">
      <c r="H592" t="s">
        <v>2839</v>
      </c>
      <c r="I592" t="s">
        <v>632</v>
      </c>
      <c r="J592">
        <v>1.69055290344094E-3</v>
      </c>
      <c r="K592" t="s">
        <v>14</v>
      </c>
      <c r="U592" t="s">
        <v>2475</v>
      </c>
      <c r="V592" t="s">
        <v>3240</v>
      </c>
      <c r="W592" t="s">
        <v>2855</v>
      </c>
      <c r="X592" t="s">
        <v>19</v>
      </c>
    </row>
    <row r="593" spans="8:24" x14ac:dyDescent="0.45">
      <c r="H593" t="s">
        <v>2841</v>
      </c>
      <c r="I593" t="s">
        <v>632</v>
      </c>
      <c r="J593">
        <v>1.8480386400194292E-2</v>
      </c>
      <c r="K593" t="s">
        <v>14</v>
      </c>
      <c r="U593" t="s">
        <v>2475</v>
      </c>
      <c r="V593" t="s">
        <v>3241</v>
      </c>
      <c r="W593" t="s">
        <v>2855</v>
      </c>
      <c r="X593" t="s">
        <v>19</v>
      </c>
    </row>
    <row r="594" spans="8:24" x14ac:dyDescent="0.45">
      <c r="H594" t="s">
        <v>2842</v>
      </c>
      <c r="I594" t="s">
        <v>632</v>
      </c>
      <c r="J594">
        <v>1.8374048862141602E-2</v>
      </c>
      <c r="K594" t="s">
        <v>14</v>
      </c>
      <c r="U594" t="s">
        <v>2475</v>
      </c>
      <c r="V594" t="s">
        <v>3242</v>
      </c>
      <c r="W594" t="s">
        <v>2855</v>
      </c>
      <c r="X594" t="s">
        <v>19</v>
      </c>
    </row>
    <row r="595" spans="8:24" x14ac:dyDescent="0.45">
      <c r="H595" t="s">
        <v>2844</v>
      </c>
      <c r="I595" t="s">
        <v>632</v>
      </c>
      <c r="J595">
        <v>5.2198283321290298E-2</v>
      </c>
      <c r="K595" t="s">
        <v>14</v>
      </c>
      <c r="U595" t="s">
        <v>2475</v>
      </c>
      <c r="V595" t="s">
        <v>3242</v>
      </c>
      <c r="W595" t="s">
        <v>2576</v>
      </c>
      <c r="X595" t="s">
        <v>17</v>
      </c>
    </row>
    <row r="596" spans="8:24" x14ac:dyDescent="0.45">
      <c r="H596" t="s">
        <v>2845</v>
      </c>
      <c r="I596" t="s">
        <v>738</v>
      </c>
      <c r="J596">
        <v>3.8732354875084E-3</v>
      </c>
      <c r="K596" t="s">
        <v>14</v>
      </c>
      <c r="U596" t="s">
        <v>2475</v>
      </c>
      <c r="V596" t="s">
        <v>3243</v>
      </c>
      <c r="W596" t="s">
        <v>2855</v>
      </c>
      <c r="X596" t="s">
        <v>19</v>
      </c>
    </row>
    <row r="597" spans="8:24" x14ac:dyDescent="0.45">
      <c r="H597" t="s">
        <v>2845</v>
      </c>
      <c r="I597" t="s">
        <v>740</v>
      </c>
      <c r="J597">
        <v>4.4254272188293002E-3</v>
      </c>
      <c r="K597" t="s">
        <v>14</v>
      </c>
      <c r="U597" t="s">
        <v>2475</v>
      </c>
      <c r="V597" t="s">
        <v>3243</v>
      </c>
      <c r="W597" t="s">
        <v>2576</v>
      </c>
      <c r="X597" t="s">
        <v>17</v>
      </c>
    </row>
    <row r="598" spans="8:24" x14ac:dyDescent="0.45">
      <c r="H598" t="s">
        <v>2848</v>
      </c>
      <c r="I598" t="s">
        <v>738</v>
      </c>
      <c r="J598">
        <v>0.365050892889209</v>
      </c>
      <c r="K598" t="s">
        <v>14</v>
      </c>
      <c r="U598" t="s">
        <v>2475</v>
      </c>
      <c r="V598" t="s">
        <v>3244</v>
      </c>
      <c r="W598" t="s">
        <v>2580</v>
      </c>
      <c r="X598" t="s">
        <v>19</v>
      </c>
    </row>
    <row r="599" spans="8:24" x14ac:dyDescent="0.45">
      <c r="H599" t="s">
        <v>2848</v>
      </c>
      <c r="I599" t="s">
        <v>740</v>
      </c>
      <c r="J599">
        <v>0.40130172269333197</v>
      </c>
      <c r="K599" t="s">
        <v>14</v>
      </c>
      <c r="U599" t="s">
        <v>2475</v>
      </c>
      <c r="V599" t="s">
        <v>3245</v>
      </c>
      <c r="W599" t="s">
        <v>2580</v>
      </c>
      <c r="X599" t="s">
        <v>19</v>
      </c>
    </row>
    <row r="600" spans="8:24" x14ac:dyDescent="0.45">
      <c r="H600" t="s">
        <v>2851</v>
      </c>
      <c r="I600" t="s">
        <v>738</v>
      </c>
      <c r="J600">
        <v>7.5906276077439998E-4</v>
      </c>
      <c r="K600" t="s">
        <v>14</v>
      </c>
      <c r="U600" t="s">
        <v>2475</v>
      </c>
      <c r="V600" t="s">
        <v>3246</v>
      </c>
      <c r="W600" t="s">
        <v>2580</v>
      </c>
      <c r="X600" t="s">
        <v>19</v>
      </c>
    </row>
    <row r="601" spans="8:24" x14ac:dyDescent="0.45">
      <c r="H601" t="s">
        <v>2851</v>
      </c>
      <c r="I601" t="s">
        <v>740</v>
      </c>
      <c r="J601">
        <v>1.0174063911410001E-4</v>
      </c>
      <c r="K601" t="s">
        <v>14</v>
      </c>
      <c r="U601" t="s">
        <v>2475</v>
      </c>
      <c r="V601" t="s">
        <v>3247</v>
      </c>
      <c r="W601" t="s">
        <v>2580</v>
      </c>
      <c r="X601" t="s">
        <v>19</v>
      </c>
    </row>
    <row r="602" spans="8:24" x14ac:dyDescent="0.45">
      <c r="H602" t="s">
        <v>2854</v>
      </c>
      <c r="I602" t="s">
        <v>738</v>
      </c>
      <c r="J602">
        <v>0.12739527847897081</v>
      </c>
      <c r="K602" t="s">
        <v>14</v>
      </c>
      <c r="U602" t="s">
        <v>2475</v>
      </c>
      <c r="V602" t="s">
        <v>3248</v>
      </c>
      <c r="W602" t="s">
        <v>2580</v>
      </c>
      <c r="X602" t="s">
        <v>19</v>
      </c>
    </row>
    <row r="603" spans="8:24" x14ac:dyDescent="0.45">
      <c r="H603" t="s">
        <v>2854</v>
      </c>
      <c r="I603" t="s">
        <v>740</v>
      </c>
      <c r="J603">
        <v>0.12799309066973219</v>
      </c>
      <c r="K603" t="s">
        <v>14</v>
      </c>
      <c r="U603" t="s">
        <v>2475</v>
      </c>
      <c r="V603" t="s">
        <v>3249</v>
      </c>
      <c r="W603" t="s">
        <v>2580</v>
      </c>
      <c r="X603" t="s">
        <v>19</v>
      </c>
    </row>
    <row r="604" spans="8:24" x14ac:dyDescent="0.45">
      <c r="H604" t="s">
        <v>2856</v>
      </c>
      <c r="I604" t="s">
        <v>738</v>
      </c>
      <c r="J604">
        <v>3.2081382336905898E-2</v>
      </c>
      <c r="K604" t="s">
        <v>14</v>
      </c>
      <c r="U604" t="s">
        <v>2475</v>
      </c>
      <c r="V604" t="s">
        <v>3250</v>
      </c>
      <c r="W604" t="s">
        <v>2580</v>
      </c>
      <c r="X604" t="s">
        <v>19</v>
      </c>
    </row>
    <row r="605" spans="8:24" x14ac:dyDescent="0.45">
      <c r="H605" t="s">
        <v>2856</v>
      </c>
      <c r="I605" t="s">
        <v>740</v>
      </c>
      <c r="J605">
        <v>1.5320711444142701E-2</v>
      </c>
      <c r="K605" t="s">
        <v>14</v>
      </c>
      <c r="U605" t="s">
        <v>2475</v>
      </c>
      <c r="V605" t="s">
        <v>3251</v>
      </c>
      <c r="W605" t="s">
        <v>2580</v>
      </c>
      <c r="X605" t="s">
        <v>19</v>
      </c>
    </row>
    <row r="606" spans="8:24" x14ac:dyDescent="0.45">
      <c r="H606" t="s">
        <v>2858</v>
      </c>
      <c r="I606" t="s">
        <v>738</v>
      </c>
      <c r="J606">
        <v>3.76662384610396E-2</v>
      </c>
      <c r="K606" t="s">
        <v>14</v>
      </c>
      <c r="U606" t="s">
        <v>2475</v>
      </c>
      <c r="V606" t="s">
        <v>3252</v>
      </c>
      <c r="W606" t="s">
        <v>2580</v>
      </c>
      <c r="X606" t="s">
        <v>19</v>
      </c>
    </row>
    <row r="607" spans="8:24" x14ac:dyDescent="0.45">
      <c r="H607" t="s">
        <v>2858</v>
      </c>
      <c r="I607" t="s">
        <v>740</v>
      </c>
      <c r="J607">
        <v>1.75861949937954E-2</v>
      </c>
      <c r="K607" t="s">
        <v>14</v>
      </c>
      <c r="U607" t="s">
        <v>2475</v>
      </c>
      <c r="V607" t="s">
        <v>3253</v>
      </c>
      <c r="W607" t="s">
        <v>2580</v>
      </c>
      <c r="X607" t="s">
        <v>19</v>
      </c>
    </row>
    <row r="608" spans="8:24" x14ac:dyDescent="0.45">
      <c r="H608" t="s">
        <v>2860</v>
      </c>
      <c r="I608" t="s">
        <v>738</v>
      </c>
      <c r="J608">
        <v>1.07655954816346E-2</v>
      </c>
      <c r="K608" t="s">
        <v>14</v>
      </c>
      <c r="U608" t="s">
        <v>2475</v>
      </c>
      <c r="V608" t="s">
        <v>3254</v>
      </c>
      <c r="W608" t="s">
        <v>2580</v>
      </c>
      <c r="X608" t="s">
        <v>19</v>
      </c>
    </row>
    <row r="609" spans="8:24" x14ac:dyDescent="0.45">
      <c r="H609" t="s">
        <v>2860</v>
      </c>
      <c r="I609" t="s">
        <v>740</v>
      </c>
      <c r="J609">
        <v>1.37581141836003E-2</v>
      </c>
      <c r="K609" t="s">
        <v>14</v>
      </c>
      <c r="U609" t="s">
        <v>2475</v>
      </c>
      <c r="V609" t="s">
        <v>3254</v>
      </c>
      <c r="W609" t="s">
        <v>2892</v>
      </c>
      <c r="X609" t="s">
        <v>19</v>
      </c>
    </row>
    <row r="610" spans="8:24" x14ac:dyDescent="0.45">
      <c r="H610" t="s">
        <v>2863</v>
      </c>
      <c r="I610" t="s">
        <v>738</v>
      </c>
      <c r="J610">
        <v>4.61575453262211E-2</v>
      </c>
      <c r="K610" t="s">
        <v>14</v>
      </c>
      <c r="U610" t="s">
        <v>2475</v>
      </c>
      <c r="V610" t="s">
        <v>3255</v>
      </c>
      <c r="W610" t="s">
        <v>2580</v>
      </c>
      <c r="X610" t="s">
        <v>19</v>
      </c>
    </row>
    <row r="611" spans="8:24" x14ac:dyDescent="0.45">
      <c r="H611" t="s">
        <v>2863</v>
      </c>
      <c r="I611" t="s">
        <v>740</v>
      </c>
      <c r="J611">
        <v>0.1098457282808054</v>
      </c>
      <c r="K611" t="s">
        <v>14</v>
      </c>
      <c r="U611" t="s">
        <v>2475</v>
      </c>
      <c r="V611" t="s">
        <v>3255</v>
      </c>
      <c r="W611" t="s">
        <v>2892</v>
      </c>
      <c r="X611" t="s">
        <v>19</v>
      </c>
    </row>
    <row r="612" spans="8:24" x14ac:dyDescent="0.45">
      <c r="H612" t="s">
        <v>2865</v>
      </c>
      <c r="I612" t="s">
        <v>738</v>
      </c>
      <c r="J612">
        <v>2.8618911910800199E-2</v>
      </c>
      <c r="K612" t="s">
        <v>14</v>
      </c>
      <c r="U612" t="s">
        <v>2475</v>
      </c>
      <c r="V612" t="s">
        <v>3256</v>
      </c>
      <c r="W612" t="s">
        <v>2580</v>
      </c>
      <c r="X612" t="s">
        <v>19</v>
      </c>
    </row>
    <row r="613" spans="8:24" x14ac:dyDescent="0.45">
      <c r="H613" t="s">
        <v>2865</v>
      </c>
      <c r="I613" t="s">
        <v>740</v>
      </c>
      <c r="J613">
        <v>7.2536144022533194E-2</v>
      </c>
      <c r="K613" t="s">
        <v>14</v>
      </c>
      <c r="U613" t="s">
        <v>2475</v>
      </c>
      <c r="V613" t="s">
        <v>3256</v>
      </c>
      <c r="W613" t="s">
        <v>2892</v>
      </c>
      <c r="X613" t="s">
        <v>19</v>
      </c>
    </row>
    <row r="614" spans="8:24" x14ac:dyDescent="0.45">
      <c r="H614" t="s">
        <v>2868</v>
      </c>
      <c r="I614" t="s">
        <v>738</v>
      </c>
      <c r="J614">
        <v>6.4063738996061895E-2</v>
      </c>
      <c r="K614" t="s">
        <v>14</v>
      </c>
      <c r="U614" t="s">
        <v>2475</v>
      </c>
      <c r="V614" t="s">
        <v>3257</v>
      </c>
      <c r="W614" t="s">
        <v>2892</v>
      </c>
      <c r="X614" t="s">
        <v>19</v>
      </c>
    </row>
    <row r="615" spans="8:24" x14ac:dyDescent="0.45">
      <c r="H615" t="s">
        <v>2868</v>
      </c>
      <c r="I615" t="s">
        <v>740</v>
      </c>
      <c r="J615">
        <v>2.5984271334045302E-2</v>
      </c>
      <c r="K615" t="s">
        <v>14</v>
      </c>
      <c r="U615" t="s">
        <v>2475</v>
      </c>
      <c r="V615" t="s">
        <v>3258</v>
      </c>
      <c r="W615" t="s">
        <v>2892</v>
      </c>
      <c r="X615" t="s">
        <v>19</v>
      </c>
    </row>
    <row r="616" spans="8:24" x14ac:dyDescent="0.45">
      <c r="H616" t="s">
        <v>2871</v>
      </c>
      <c r="I616" t="s">
        <v>738</v>
      </c>
      <c r="J616">
        <v>1.41593021780059E-2</v>
      </c>
      <c r="K616" t="s">
        <v>14</v>
      </c>
      <c r="U616" t="s">
        <v>2475</v>
      </c>
      <c r="V616" t="s">
        <v>3259</v>
      </c>
      <c r="W616" t="s">
        <v>2892</v>
      </c>
      <c r="X616" t="s">
        <v>19</v>
      </c>
    </row>
    <row r="617" spans="8:24" x14ac:dyDescent="0.45">
      <c r="H617" t="s">
        <v>2871</v>
      </c>
      <c r="I617" t="s">
        <v>740</v>
      </c>
      <c r="J617">
        <v>2.0115514113462699E-2</v>
      </c>
      <c r="K617" t="s">
        <v>14</v>
      </c>
      <c r="U617" t="s">
        <v>2475</v>
      </c>
      <c r="V617" t="s">
        <v>3259</v>
      </c>
      <c r="W617" t="s">
        <v>2580</v>
      </c>
      <c r="X617" t="s">
        <v>17</v>
      </c>
    </row>
    <row r="618" spans="8:24" x14ac:dyDescent="0.45">
      <c r="H618" t="s">
        <v>2874</v>
      </c>
      <c r="I618" t="s">
        <v>738</v>
      </c>
      <c r="J618">
        <v>4.9332437884740997E-3</v>
      </c>
      <c r="K618" t="s">
        <v>14</v>
      </c>
      <c r="U618" t="s">
        <v>2475</v>
      </c>
      <c r="V618" t="s">
        <v>3260</v>
      </c>
      <c r="W618" t="s">
        <v>2892</v>
      </c>
      <c r="X618" t="s">
        <v>19</v>
      </c>
    </row>
    <row r="619" spans="8:24" x14ac:dyDescent="0.45">
      <c r="H619" t="s">
        <v>2874</v>
      </c>
      <c r="I619" t="s">
        <v>740</v>
      </c>
      <c r="J619">
        <v>8.6143853612630997E-3</v>
      </c>
      <c r="K619" t="s">
        <v>14</v>
      </c>
      <c r="U619" t="s">
        <v>2475</v>
      </c>
      <c r="V619" t="s">
        <v>3260</v>
      </c>
      <c r="W619" t="s">
        <v>2580</v>
      </c>
      <c r="X619" t="s">
        <v>17</v>
      </c>
    </row>
    <row r="620" spans="8:24" x14ac:dyDescent="0.45">
      <c r="H620" t="s">
        <v>2877</v>
      </c>
      <c r="I620" t="s">
        <v>738</v>
      </c>
      <c r="J620">
        <v>1.81311410580559E-2</v>
      </c>
      <c r="K620" t="s">
        <v>14</v>
      </c>
      <c r="U620" t="s">
        <v>2475</v>
      </c>
      <c r="V620" t="s">
        <v>3261</v>
      </c>
      <c r="W620" t="s">
        <v>2584</v>
      </c>
      <c r="X620" t="s">
        <v>19</v>
      </c>
    </row>
    <row r="621" spans="8:24" x14ac:dyDescent="0.45">
      <c r="H621" t="s">
        <v>2877</v>
      </c>
      <c r="I621" t="s">
        <v>740</v>
      </c>
      <c r="J621">
        <v>7.9396857706435994E-3</v>
      </c>
      <c r="K621" t="s">
        <v>14</v>
      </c>
      <c r="U621" t="s">
        <v>2475</v>
      </c>
      <c r="V621" t="s">
        <v>3262</v>
      </c>
      <c r="W621" t="s">
        <v>2584</v>
      </c>
      <c r="X621" t="s">
        <v>19</v>
      </c>
    </row>
    <row r="622" spans="8:24" x14ac:dyDescent="0.45">
      <c r="H622" t="s">
        <v>2879</v>
      </c>
      <c r="I622" t="s">
        <v>738</v>
      </c>
      <c r="J622">
        <v>8.5465811795270002E-3</v>
      </c>
      <c r="K622" t="s">
        <v>14</v>
      </c>
      <c r="U622" t="s">
        <v>2475</v>
      </c>
      <c r="V622" t="s">
        <v>3263</v>
      </c>
      <c r="W622" t="s">
        <v>2584</v>
      </c>
      <c r="X622" t="s">
        <v>19</v>
      </c>
    </row>
    <row r="623" spans="8:24" x14ac:dyDescent="0.45">
      <c r="H623" t="s">
        <v>2879</v>
      </c>
      <c r="I623" t="s">
        <v>740</v>
      </c>
      <c r="J623">
        <v>9.9964852128589998E-4</v>
      </c>
      <c r="K623" t="s">
        <v>14</v>
      </c>
      <c r="U623" t="s">
        <v>2475</v>
      </c>
      <c r="V623" t="s">
        <v>3264</v>
      </c>
      <c r="W623" t="s">
        <v>2584</v>
      </c>
      <c r="X623" t="s">
        <v>19</v>
      </c>
    </row>
    <row r="624" spans="8:24" x14ac:dyDescent="0.45">
      <c r="H624" t="s">
        <v>2882</v>
      </c>
      <c r="I624" t="s">
        <v>738</v>
      </c>
      <c r="J624">
        <v>2.1169419260287001E-3</v>
      </c>
      <c r="K624" t="s">
        <v>14</v>
      </c>
      <c r="U624" t="s">
        <v>2475</v>
      </c>
      <c r="V624" t="s">
        <v>3265</v>
      </c>
      <c r="W624" t="s">
        <v>2584</v>
      </c>
      <c r="X624" t="s">
        <v>19</v>
      </c>
    </row>
    <row r="625" spans="8:24" x14ac:dyDescent="0.45">
      <c r="H625" t="s">
        <v>2882</v>
      </c>
      <c r="I625" t="s">
        <v>740</v>
      </c>
      <c r="J625">
        <v>3.8172700288229998E-4</v>
      </c>
      <c r="K625" t="s">
        <v>14</v>
      </c>
      <c r="U625" t="s">
        <v>2475</v>
      </c>
      <c r="V625" t="s">
        <v>3266</v>
      </c>
      <c r="W625" t="s">
        <v>2584</v>
      </c>
      <c r="X625" t="s">
        <v>19</v>
      </c>
    </row>
    <row r="626" spans="8:24" x14ac:dyDescent="0.45">
      <c r="H626" t="s">
        <v>2885</v>
      </c>
      <c r="I626" t="s">
        <v>738</v>
      </c>
      <c r="J626">
        <v>3.4319958982281101E-2</v>
      </c>
      <c r="K626" t="s">
        <v>14</v>
      </c>
      <c r="U626" t="s">
        <v>2475</v>
      </c>
      <c r="V626" t="s">
        <v>3267</v>
      </c>
      <c r="W626" t="s">
        <v>2584</v>
      </c>
      <c r="X626" t="s">
        <v>19</v>
      </c>
    </row>
    <row r="627" spans="8:24" x14ac:dyDescent="0.45">
      <c r="H627" t="s">
        <v>2885</v>
      </c>
      <c r="I627" t="s">
        <v>740</v>
      </c>
      <c r="J627">
        <v>3.1353902266964E-3</v>
      </c>
      <c r="K627" t="s">
        <v>14</v>
      </c>
      <c r="U627" t="s">
        <v>2475</v>
      </c>
      <c r="V627" t="s">
        <v>3268</v>
      </c>
      <c r="W627" t="s">
        <v>2584</v>
      </c>
      <c r="X627" t="s">
        <v>19</v>
      </c>
    </row>
    <row r="628" spans="8:24" x14ac:dyDescent="0.45">
      <c r="H628" t="s">
        <v>2888</v>
      </c>
      <c r="I628" t="s">
        <v>738</v>
      </c>
      <c r="J628">
        <v>1.4720059527702999E-3</v>
      </c>
      <c r="K628" t="s">
        <v>14</v>
      </c>
      <c r="U628" t="s">
        <v>2475</v>
      </c>
      <c r="V628" t="s">
        <v>3269</v>
      </c>
      <c r="W628" t="s">
        <v>2584</v>
      </c>
      <c r="X628" t="s">
        <v>19</v>
      </c>
    </row>
    <row r="629" spans="8:24" x14ac:dyDescent="0.45">
      <c r="H629" t="s">
        <v>2888</v>
      </c>
      <c r="I629" t="s">
        <v>740</v>
      </c>
      <c r="J629">
        <v>1.9643172563319968E-5</v>
      </c>
      <c r="K629" t="s">
        <v>14</v>
      </c>
      <c r="U629" t="s">
        <v>2475</v>
      </c>
      <c r="V629" t="s">
        <v>3270</v>
      </c>
      <c r="W629" t="s">
        <v>2584</v>
      </c>
      <c r="X629" t="s">
        <v>19</v>
      </c>
    </row>
    <row r="630" spans="8:24" x14ac:dyDescent="0.45">
      <c r="H630" t="s">
        <v>2891</v>
      </c>
      <c r="I630" t="s">
        <v>738</v>
      </c>
      <c r="J630">
        <v>7.6049418678988999E-3</v>
      </c>
      <c r="K630" t="s">
        <v>14</v>
      </c>
      <c r="U630" t="s">
        <v>2475</v>
      </c>
      <c r="V630" t="s">
        <v>3271</v>
      </c>
      <c r="W630" t="s">
        <v>2584</v>
      </c>
      <c r="X630" t="s">
        <v>19</v>
      </c>
    </row>
    <row r="631" spans="8:24" x14ac:dyDescent="0.45">
      <c r="H631" t="s">
        <v>2891</v>
      </c>
      <c r="I631" t="s">
        <v>740</v>
      </c>
      <c r="J631">
        <v>4.0638579508522898E-2</v>
      </c>
      <c r="K631" t="s">
        <v>14</v>
      </c>
      <c r="U631" t="s">
        <v>2475</v>
      </c>
      <c r="V631" t="s">
        <v>3271</v>
      </c>
      <c r="W631" t="s">
        <v>3272</v>
      </c>
      <c r="X631" t="s">
        <v>19</v>
      </c>
    </row>
    <row r="632" spans="8:24" x14ac:dyDescent="0.45">
      <c r="H632" t="s">
        <v>2893</v>
      </c>
      <c r="I632" t="s">
        <v>738</v>
      </c>
      <c r="J632">
        <v>9.1198625691743196E-2</v>
      </c>
      <c r="K632" t="s">
        <v>14</v>
      </c>
      <c r="U632" t="s">
        <v>2475</v>
      </c>
      <c r="V632" t="s">
        <v>3273</v>
      </c>
      <c r="W632" t="s">
        <v>2584</v>
      </c>
      <c r="X632" t="s">
        <v>19</v>
      </c>
    </row>
    <row r="633" spans="8:24" x14ac:dyDescent="0.45">
      <c r="H633" t="s">
        <v>2893</v>
      </c>
      <c r="I633" t="s">
        <v>740</v>
      </c>
      <c r="J633">
        <v>8.5707542040300205E-2</v>
      </c>
      <c r="K633" t="s">
        <v>14</v>
      </c>
      <c r="U633" t="s">
        <v>2475</v>
      </c>
      <c r="V633" t="s">
        <v>3273</v>
      </c>
      <c r="W633" t="s">
        <v>3272</v>
      </c>
      <c r="X633" t="s">
        <v>19</v>
      </c>
    </row>
    <row r="634" spans="8:24" x14ac:dyDescent="0.45">
      <c r="H634" t="s">
        <v>2896</v>
      </c>
      <c r="I634" t="s">
        <v>738</v>
      </c>
      <c r="J634">
        <v>5.5081849817130001E-3</v>
      </c>
      <c r="K634" t="s">
        <v>14</v>
      </c>
      <c r="U634" t="s">
        <v>2475</v>
      </c>
      <c r="V634" t="s">
        <v>3274</v>
      </c>
      <c r="W634" t="s">
        <v>2584</v>
      </c>
      <c r="X634" t="s">
        <v>19</v>
      </c>
    </row>
    <row r="635" spans="8:24" x14ac:dyDescent="0.45">
      <c r="H635" t="s">
        <v>2896</v>
      </c>
      <c r="I635" t="s">
        <v>740</v>
      </c>
      <c r="J635">
        <v>3.1932537592625999E-3</v>
      </c>
      <c r="K635" t="s">
        <v>14</v>
      </c>
      <c r="U635" t="s">
        <v>2475</v>
      </c>
      <c r="V635" t="s">
        <v>3274</v>
      </c>
      <c r="W635" t="s">
        <v>3272</v>
      </c>
      <c r="X635" t="s">
        <v>19</v>
      </c>
    </row>
    <row r="636" spans="8:24" x14ac:dyDescent="0.45">
      <c r="H636" t="s">
        <v>2897</v>
      </c>
      <c r="I636" t="s">
        <v>738</v>
      </c>
      <c r="J636">
        <v>4.2395883301571798E-2</v>
      </c>
      <c r="K636" t="s">
        <v>14</v>
      </c>
      <c r="U636" t="s">
        <v>2475</v>
      </c>
      <c r="V636" t="s">
        <v>3275</v>
      </c>
      <c r="W636" t="s">
        <v>3272</v>
      </c>
      <c r="X636" t="s">
        <v>19</v>
      </c>
    </row>
    <row r="637" spans="8:24" x14ac:dyDescent="0.45">
      <c r="H637" t="s">
        <v>2897</v>
      </c>
      <c r="I637" t="s">
        <v>740</v>
      </c>
      <c r="J637">
        <v>6.7483416927960002E-4</v>
      </c>
      <c r="K637" t="s">
        <v>14</v>
      </c>
      <c r="U637" t="s">
        <v>2475</v>
      </c>
      <c r="V637" t="s">
        <v>3276</v>
      </c>
      <c r="W637" t="s">
        <v>3272</v>
      </c>
      <c r="X637" t="s">
        <v>19</v>
      </c>
    </row>
    <row r="638" spans="8:24" x14ac:dyDescent="0.45">
      <c r="H638" t="s">
        <v>2900</v>
      </c>
      <c r="I638" t="s">
        <v>738</v>
      </c>
      <c r="J638">
        <v>2.7666872055876101E-2</v>
      </c>
      <c r="K638" t="s">
        <v>14</v>
      </c>
      <c r="U638" t="s">
        <v>2475</v>
      </c>
      <c r="V638" t="s">
        <v>3277</v>
      </c>
      <c r="W638" t="s">
        <v>3272</v>
      </c>
      <c r="X638" t="s">
        <v>19</v>
      </c>
    </row>
    <row r="639" spans="8:24" x14ac:dyDescent="0.45">
      <c r="H639" t="s">
        <v>2900</v>
      </c>
      <c r="I639" t="s">
        <v>740</v>
      </c>
      <c r="J639">
        <v>1.7799296432096798E-2</v>
      </c>
      <c r="K639" t="s">
        <v>14</v>
      </c>
      <c r="U639" t="s">
        <v>2475</v>
      </c>
      <c r="V639" t="s">
        <v>3277</v>
      </c>
      <c r="W639" t="s">
        <v>2584</v>
      </c>
      <c r="X639" t="s">
        <v>17</v>
      </c>
    </row>
    <row r="640" spans="8:24" x14ac:dyDescent="0.45">
      <c r="H640" t="s">
        <v>2902</v>
      </c>
      <c r="I640" t="s">
        <v>738</v>
      </c>
      <c r="J640">
        <v>1.0955746609902001E-3</v>
      </c>
      <c r="K640" t="s">
        <v>14</v>
      </c>
      <c r="U640" t="s">
        <v>2475</v>
      </c>
      <c r="V640" t="s">
        <v>3278</v>
      </c>
      <c r="W640" t="s">
        <v>3272</v>
      </c>
      <c r="X640" t="s">
        <v>19</v>
      </c>
    </row>
    <row r="641" spans="8:24" x14ac:dyDescent="0.45">
      <c r="H641" t="s">
        <v>2902</v>
      </c>
      <c r="I641" t="s">
        <v>740</v>
      </c>
      <c r="J641">
        <v>7.2605515473639999E-4</v>
      </c>
      <c r="K641" t="s">
        <v>14</v>
      </c>
      <c r="U641" t="s">
        <v>2475</v>
      </c>
      <c r="V641" t="s">
        <v>3278</v>
      </c>
      <c r="W641" t="s">
        <v>2584</v>
      </c>
      <c r="X641" t="s">
        <v>17</v>
      </c>
    </row>
    <row r="642" spans="8:24" x14ac:dyDescent="0.45">
      <c r="H642" t="s">
        <v>2904</v>
      </c>
      <c r="I642" t="s">
        <v>738</v>
      </c>
      <c r="J642">
        <v>3.3306753283041E-3</v>
      </c>
      <c r="K642" t="s">
        <v>14</v>
      </c>
      <c r="U642" t="s">
        <v>2475</v>
      </c>
      <c r="V642" t="s">
        <v>3279</v>
      </c>
      <c r="W642" t="s">
        <v>2588</v>
      </c>
      <c r="X642" t="s">
        <v>19</v>
      </c>
    </row>
    <row r="643" spans="8:24" x14ac:dyDescent="0.45">
      <c r="H643" t="s">
        <v>2904</v>
      </c>
      <c r="I643" t="s">
        <v>740</v>
      </c>
      <c r="J643">
        <v>1.1517535179942999E-3</v>
      </c>
      <c r="K643" t="s">
        <v>14</v>
      </c>
      <c r="U643" t="s">
        <v>2475</v>
      </c>
      <c r="V643" t="s">
        <v>3280</v>
      </c>
      <c r="W643" t="s">
        <v>2588</v>
      </c>
      <c r="X643" t="s">
        <v>19</v>
      </c>
    </row>
    <row r="644" spans="8:24" x14ac:dyDescent="0.45">
      <c r="H644" t="s">
        <v>2907</v>
      </c>
      <c r="I644" t="s">
        <v>738</v>
      </c>
      <c r="J644">
        <v>3.2558037748830001E-4</v>
      </c>
      <c r="K644" t="s">
        <v>14</v>
      </c>
      <c r="U644" t="s">
        <v>2475</v>
      </c>
      <c r="V644" t="s">
        <v>3281</v>
      </c>
      <c r="W644" t="s">
        <v>2588</v>
      </c>
      <c r="X644" t="s">
        <v>19</v>
      </c>
    </row>
    <row r="645" spans="8:24" x14ac:dyDescent="0.45">
      <c r="H645" t="s">
        <v>2907</v>
      </c>
      <c r="I645" t="s">
        <v>740</v>
      </c>
      <c r="J645">
        <v>1.1039722164871467E-5</v>
      </c>
      <c r="K645" t="s">
        <v>14</v>
      </c>
      <c r="U645" t="s">
        <v>2475</v>
      </c>
      <c r="V645" t="s">
        <v>3282</v>
      </c>
      <c r="W645" t="s">
        <v>2588</v>
      </c>
      <c r="X645" t="s">
        <v>19</v>
      </c>
    </row>
    <row r="646" spans="8:24" x14ac:dyDescent="0.45">
      <c r="H646" t="s">
        <v>2910</v>
      </c>
      <c r="I646" t="s">
        <v>738</v>
      </c>
      <c r="J646">
        <v>8.0835125783476972E-5</v>
      </c>
      <c r="K646" t="s">
        <v>14</v>
      </c>
      <c r="U646" t="s">
        <v>2475</v>
      </c>
      <c r="V646" t="s">
        <v>3283</v>
      </c>
      <c r="W646" t="s">
        <v>2588</v>
      </c>
      <c r="X646" t="s">
        <v>19</v>
      </c>
    </row>
    <row r="647" spans="8:24" x14ac:dyDescent="0.45">
      <c r="H647" t="s">
        <v>2910</v>
      </c>
      <c r="I647" t="s">
        <v>740</v>
      </c>
      <c r="J647">
        <v>2.2023891864979404E-6</v>
      </c>
      <c r="K647" t="s">
        <v>14</v>
      </c>
      <c r="U647" t="s">
        <v>2475</v>
      </c>
      <c r="V647" t="s">
        <v>3284</v>
      </c>
      <c r="W647" t="s">
        <v>2588</v>
      </c>
      <c r="X647" t="s">
        <v>19</v>
      </c>
    </row>
    <row r="648" spans="8:24" x14ac:dyDescent="0.45">
      <c r="H648" t="s">
        <v>2912</v>
      </c>
      <c r="I648" t="s">
        <v>738</v>
      </c>
      <c r="J648">
        <v>1.2430207175677036E-5</v>
      </c>
      <c r="K648" t="s">
        <v>14</v>
      </c>
      <c r="U648" t="s">
        <v>2475</v>
      </c>
      <c r="V648" t="s">
        <v>3285</v>
      </c>
      <c r="W648" t="s">
        <v>2588</v>
      </c>
      <c r="X648" t="s">
        <v>19</v>
      </c>
    </row>
    <row r="649" spans="8:24" x14ac:dyDescent="0.45">
      <c r="H649" t="s">
        <v>2912</v>
      </c>
      <c r="I649" t="s">
        <v>740</v>
      </c>
      <c r="J649">
        <v>7.064202647774621E-6</v>
      </c>
      <c r="K649" t="s">
        <v>14</v>
      </c>
      <c r="U649" t="s">
        <v>2475</v>
      </c>
      <c r="V649" t="s">
        <v>3286</v>
      </c>
      <c r="W649" t="s">
        <v>2588</v>
      </c>
      <c r="X649" t="s">
        <v>19</v>
      </c>
    </row>
    <row r="650" spans="8:24" x14ac:dyDescent="0.45">
      <c r="H650" t="s">
        <v>2915</v>
      </c>
      <c r="I650" t="s">
        <v>738</v>
      </c>
      <c r="J650">
        <v>6.6933920718529997E-4</v>
      </c>
      <c r="K650" t="s">
        <v>14</v>
      </c>
      <c r="U650" t="s">
        <v>2475</v>
      </c>
      <c r="V650" t="s">
        <v>3287</v>
      </c>
      <c r="W650" t="s">
        <v>2588</v>
      </c>
      <c r="X650" t="s">
        <v>19</v>
      </c>
    </row>
    <row r="651" spans="8:24" x14ac:dyDescent="0.45">
      <c r="H651" t="s">
        <v>2915</v>
      </c>
      <c r="I651" t="s">
        <v>740</v>
      </c>
      <c r="J651">
        <v>2.923945507982035E-5</v>
      </c>
      <c r="K651" t="s">
        <v>14</v>
      </c>
      <c r="U651" t="s">
        <v>2475</v>
      </c>
      <c r="V651" t="s">
        <v>3288</v>
      </c>
      <c r="W651" t="s">
        <v>2588</v>
      </c>
      <c r="X651" t="s">
        <v>19</v>
      </c>
    </row>
    <row r="652" spans="8:24" x14ac:dyDescent="0.45">
      <c r="U652" t="s">
        <v>2475</v>
      </c>
      <c r="V652" t="s">
        <v>3289</v>
      </c>
      <c r="W652" t="s">
        <v>2588</v>
      </c>
      <c r="X652" t="s">
        <v>19</v>
      </c>
    </row>
    <row r="653" spans="8:24" x14ac:dyDescent="0.45">
      <c r="U653" t="s">
        <v>2475</v>
      </c>
      <c r="V653" t="s">
        <v>3289</v>
      </c>
      <c r="W653" t="s">
        <v>2911</v>
      </c>
      <c r="X653" t="s">
        <v>19</v>
      </c>
    </row>
    <row r="654" spans="8:24" x14ac:dyDescent="0.45">
      <c r="U654" t="s">
        <v>2475</v>
      </c>
      <c r="V654" t="s">
        <v>3290</v>
      </c>
      <c r="W654" t="s">
        <v>2588</v>
      </c>
      <c r="X654" t="s">
        <v>19</v>
      </c>
    </row>
    <row r="655" spans="8:24" x14ac:dyDescent="0.45">
      <c r="U655" t="s">
        <v>2475</v>
      </c>
      <c r="V655" t="s">
        <v>3290</v>
      </c>
      <c r="W655" t="s">
        <v>2911</v>
      </c>
      <c r="X655" t="s">
        <v>19</v>
      </c>
    </row>
    <row r="656" spans="8:24" x14ac:dyDescent="0.45">
      <c r="U656" t="s">
        <v>2475</v>
      </c>
      <c r="V656" t="s">
        <v>3291</v>
      </c>
      <c r="W656" t="s">
        <v>2588</v>
      </c>
      <c r="X656" t="s">
        <v>19</v>
      </c>
    </row>
    <row r="657" spans="21:24" x14ac:dyDescent="0.45">
      <c r="U657" t="s">
        <v>2475</v>
      </c>
      <c r="V657" t="s">
        <v>3291</v>
      </c>
      <c r="W657" t="s">
        <v>2911</v>
      </c>
      <c r="X657" t="s">
        <v>19</v>
      </c>
    </row>
    <row r="658" spans="21:24" x14ac:dyDescent="0.45">
      <c r="U658" t="s">
        <v>2475</v>
      </c>
      <c r="V658" t="s">
        <v>3292</v>
      </c>
      <c r="W658" t="s">
        <v>2911</v>
      </c>
      <c r="X658" t="s">
        <v>19</v>
      </c>
    </row>
    <row r="659" spans="21:24" x14ac:dyDescent="0.45">
      <c r="U659" t="s">
        <v>2475</v>
      </c>
      <c r="V659" t="s">
        <v>3293</v>
      </c>
      <c r="W659" t="s">
        <v>2911</v>
      </c>
      <c r="X659" t="s">
        <v>19</v>
      </c>
    </row>
    <row r="660" spans="21:24" x14ac:dyDescent="0.45">
      <c r="U660" t="s">
        <v>2475</v>
      </c>
      <c r="V660" t="s">
        <v>3294</v>
      </c>
      <c r="W660" t="s">
        <v>2911</v>
      </c>
      <c r="X660" t="s">
        <v>19</v>
      </c>
    </row>
    <row r="661" spans="21:24" x14ac:dyDescent="0.45">
      <c r="U661" t="s">
        <v>2475</v>
      </c>
      <c r="V661" t="s">
        <v>3294</v>
      </c>
      <c r="W661" t="s">
        <v>2588</v>
      </c>
      <c r="X661" t="s">
        <v>17</v>
      </c>
    </row>
    <row r="662" spans="21:24" x14ac:dyDescent="0.45">
      <c r="U662" t="s">
        <v>2475</v>
      </c>
      <c r="V662" t="s">
        <v>3295</v>
      </c>
      <c r="W662" t="s">
        <v>2911</v>
      </c>
      <c r="X662" t="s">
        <v>19</v>
      </c>
    </row>
    <row r="663" spans="21:24" x14ac:dyDescent="0.45">
      <c r="U663" t="s">
        <v>2475</v>
      </c>
      <c r="V663" t="s">
        <v>3295</v>
      </c>
      <c r="W663" t="s">
        <v>2588</v>
      </c>
      <c r="X663" t="s">
        <v>17</v>
      </c>
    </row>
    <row r="664" spans="21:24" x14ac:dyDescent="0.45">
      <c r="U664" t="s">
        <v>2475</v>
      </c>
      <c r="V664" t="s">
        <v>3296</v>
      </c>
      <c r="W664" t="s">
        <v>2592</v>
      </c>
      <c r="X664" t="s">
        <v>19</v>
      </c>
    </row>
    <row r="665" spans="21:24" x14ac:dyDescent="0.45">
      <c r="U665" t="s">
        <v>2475</v>
      </c>
      <c r="V665" t="s">
        <v>3297</v>
      </c>
      <c r="W665" t="s">
        <v>2592</v>
      </c>
      <c r="X665" t="s">
        <v>19</v>
      </c>
    </row>
    <row r="666" spans="21:24" x14ac:dyDescent="0.45">
      <c r="U666" t="s">
        <v>2475</v>
      </c>
      <c r="V666" t="s">
        <v>3298</v>
      </c>
      <c r="W666" t="s">
        <v>2592</v>
      </c>
      <c r="X666" t="s">
        <v>19</v>
      </c>
    </row>
    <row r="667" spans="21:24" x14ac:dyDescent="0.45">
      <c r="U667" t="s">
        <v>2475</v>
      </c>
      <c r="V667" t="s">
        <v>3299</v>
      </c>
      <c r="W667" t="s">
        <v>2592</v>
      </c>
      <c r="X667" t="s">
        <v>19</v>
      </c>
    </row>
    <row r="668" spans="21:24" x14ac:dyDescent="0.45">
      <c r="U668" t="s">
        <v>2475</v>
      </c>
      <c r="V668" t="s">
        <v>3300</v>
      </c>
      <c r="W668" t="s">
        <v>2592</v>
      </c>
      <c r="X668" t="s">
        <v>19</v>
      </c>
    </row>
    <row r="669" spans="21:24" x14ac:dyDescent="0.45">
      <c r="U669" t="s">
        <v>2475</v>
      </c>
      <c r="V669" t="s">
        <v>3301</v>
      </c>
      <c r="W669" t="s">
        <v>2592</v>
      </c>
      <c r="X669" t="s">
        <v>19</v>
      </c>
    </row>
    <row r="670" spans="21:24" x14ac:dyDescent="0.45">
      <c r="U670" t="s">
        <v>2475</v>
      </c>
      <c r="V670" t="s">
        <v>3302</v>
      </c>
      <c r="W670" t="s">
        <v>2592</v>
      </c>
      <c r="X670" t="s">
        <v>19</v>
      </c>
    </row>
    <row r="671" spans="21:24" x14ac:dyDescent="0.45">
      <c r="U671" t="s">
        <v>2475</v>
      </c>
      <c r="V671" t="s">
        <v>3303</v>
      </c>
      <c r="W671" t="s">
        <v>2592</v>
      </c>
      <c r="X671" t="s">
        <v>19</v>
      </c>
    </row>
    <row r="672" spans="21:24" x14ac:dyDescent="0.45">
      <c r="U672" t="s">
        <v>2475</v>
      </c>
      <c r="V672" t="s">
        <v>3304</v>
      </c>
      <c r="W672" t="s">
        <v>2592</v>
      </c>
      <c r="X672" t="s">
        <v>19</v>
      </c>
    </row>
    <row r="673" spans="21:24" x14ac:dyDescent="0.45">
      <c r="U673" t="s">
        <v>2475</v>
      </c>
      <c r="V673" t="s">
        <v>3305</v>
      </c>
      <c r="W673" t="s">
        <v>2592</v>
      </c>
      <c r="X673" t="s">
        <v>19</v>
      </c>
    </row>
    <row r="674" spans="21:24" x14ac:dyDescent="0.45">
      <c r="U674" t="s">
        <v>2475</v>
      </c>
      <c r="V674" t="s">
        <v>3306</v>
      </c>
      <c r="W674" t="s">
        <v>2592</v>
      </c>
      <c r="X674" t="s">
        <v>19</v>
      </c>
    </row>
    <row r="675" spans="21:24" x14ac:dyDescent="0.45">
      <c r="U675" t="s">
        <v>2475</v>
      </c>
      <c r="V675" t="s">
        <v>3306</v>
      </c>
      <c r="W675" t="s">
        <v>2913</v>
      </c>
      <c r="X675" t="s">
        <v>19</v>
      </c>
    </row>
    <row r="676" spans="21:24" x14ac:dyDescent="0.45">
      <c r="U676" t="s">
        <v>2475</v>
      </c>
      <c r="V676" t="s">
        <v>3307</v>
      </c>
      <c r="W676" t="s">
        <v>2592</v>
      </c>
      <c r="X676" t="s">
        <v>19</v>
      </c>
    </row>
    <row r="677" spans="21:24" x14ac:dyDescent="0.45">
      <c r="U677" t="s">
        <v>2475</v>
      </c>
      <c r="V677" t="s">
        <v>3307</v>
      </c>
      <c r="W677" t="s">
        <v>2913</v>
      </c>
      <c r="X677" t="s">
        <v>19</v>
      </c>
    </row>
    <row r="678" spans="21:24" x14ac:dyDescent="0.45">
      <c r="U678" t="s">
        <v>2475</v>
      </c>
      <c r="V678" t="s">
        <v>3308</v>
      </c>
      <c r="W678" t="s">
        <v>2592</v>
      </c>
      <c r="X678" t="s">
        <v>19</v>
      </c>
    </row>
    <row r="679" spans="21:24" x14ac:dyDescent="0.45">
      <c r="U679" t="s">
        <v>2475</v>
      </c>
      <c r="V679" t="s">
        <v>3308</v>
      </c>
      <c r="W679" t="s">
        <v>2913</v>
      </c>
      <c r="X679" t="s">
        <v>19</v>
      </c>
    </row>
    <row r="680" spans="21:24" x14ac:dyDescent="0.45">
      <c r="U680" t="s">
        <v>2475</v>
      </c>
      <c r="V680" t="s">
        <v>3309</v>
      </c>
      <c r="W680" t="s">
        <v>2913</v>
      </c>
      <c r="X680" t="s">
        <v>19</v>
      </c>
    </row>
    <row r="681" spans="21:24" x14ac:dyDescent="0.45">
      <c r="U681" t="s">
        <v>2475</v>
      </c>
      <c r="V681" t="s">
        <v>3310</v>
      </c>
      <c r="W681" t="s">
        <v>2913</v>
      </c>
      <c r="X681" t="s">
        <v>19</v>
      </c>
    </row>
    <row r="682" spans="21:24" x14ac:dyDescent="0.45">
      <c r="U682" t="s">
        <v>2475</v>
      </c>
      <c r="V682" t="s">
        <v>3311</v>
      </c>
      <c r="W682" t="s">
        <v>2913</v>
      </c>
      <c r="X682" t="s">
        <v>19</v>
      </c>
    </row>
    <row r="683" spans="21:24" x14ac:dyDescent="0.45">
      <c r="U683" t="s">
        <v>2475</v>
      </c>
      <c r="V683" t="s">
        <v>3311</v>
      </c>
      <c r="W683" t="s">
        <v>2592</v>
      </c>
      <c r="X683" t="s">
        <v>17</v>
      </c>
    </row>
    <row r="684" spans="21:24" x14ac:dyDescent="0.45">
      <c r="U684" t="s">
        <v>2475</v>
      </c>
      <c r="V684" t="s">
        <v>3312</v>
      </c>
      <c r="W684" t="s">
        <v>2913</v>
      </c>
      <c r="X684" t="s">
        <v>19</v>
      </c>
    </row>
    <row r="685" spans="21:24" x14ac:dyDescent="0.45">
      <c r="U685" t="s">
        <v>2475</v>
      </c>
      <c r="V685" t="s">
        <v>3312</v>
      </c>
      <c r="W685" t="s">
        <v>2592</v>
      </c>
      <c r="X685" t="s">
        <v>17</v>
      </c>
    </row>
    <row r="686" spans="21:24" x14ac:dyDescent="0.45">
      <c r="U686" t="s">
        <v>2475</v>
      </c>
      <c r="V686" t="s">
        <v>3313</v>
      </c>
      <c r="W686" t="s">
        <v>2596</v>
      </c>
      <c r="X686" t="s">
        <v>19</v>
      </c>
    </row>
    <row r="687" spans="21:24" x14ac:dyDescent="0.45">
      <c r="U687" t="s">
        <v>2475</v>
      </c>
      <c r="V687" t="s">
        <v>3314</v>
      </c>
      <c r="W687" t="s">
        <v>2596</v>
      </c>
      <c r="X687" t="s">
        <v>19</v>
      </c>
    </row>
    <row r="688" spans="21:24" x14ac:dyDescent="0.45">
      <c r="U688" t="s">
        <v>2475</v>
      </c>
      <c r="V688" t="s">
        <v>3315</v>
      </c>
      <c r="W688" t="s">
        <v>2596</v>
      </c>
      <c r="X688" t="s">
        <v>19</v>
      </c>
    </row>
    <row r="689" spans="21:24" x14ac:dyDescent="0.45">
      <c r="U689" t="s">
        <v>2475</v>
      </c>
      <c r="V689" t="s">
        <v>3316</v>
      </c>
      <c r="W689" t="s">
        <v>2596</v>
      </c>
      <c r="X689" t="s">
        <v>19</v>
      </c>
    </row>
    <row r="690" spans="21:24" x14ac:dyDescent="0.45">
      <c r="U690" t="s">
        <v>2475</v>
      </c>
      <c r="V690" t="s">
        <v>3317</v>
      </c>
      <c r="W690" t="s">
        <v>2596</v>
      </c>
      <c r="X690" t="s">
        <v>19</v>
      </c>
    </row>
    <row r="691" spans="21:24" x14ac:dyDescent="0.45">
      <c r="U691" t="s">
        <v>2475</v>
      </c>
      <c r="V691" t="s">
        <v>3318</v>
      </c>
      <c r="W691" t="s">
        <v>2596</v>
      </c>
      <c r="X691" t="s">
        <v>19</v>
      </c>
    </row>
    <row r="692" spans="21:24" x14ac:dyDescent="0.45">
      <c r="U692" t="s">
        <v>2475</v>
      </c>
      <c r="V692" t="s">
        <v>3319</v>
      </c>
      <c r="W692" t="s">
        <v>2596</v>
      </c>
      <c r="X692" t="s">
        <v>19</v>
      </c>
    </row>
    <row r="693" spans="21:24" x14ac:dyDescent="0.45">
      <c r="U693" t="s">
        <v>2475</v>
      </c>
      <c r="V693" t="s">
        <v>3320</v>
      </c>
      <c r="W693" t="s">
        <v>2596</v>
      </c>
      <c r="X693" t="s">
        <v>19</v>
      </c>
    </row>
    <row r="694" spans="21:24" x14ac:dyDescent="0.45">
      <c r="U694" t="s">
        <v>2475</v>
      </c>
      <c r="V694" t="s">
        <v>3321</v>
      </c>
      <c r="W694" t="s">
        <v>2596</v>
      </c>
      <c r="X694" t="s">
        <v>19</v>
      </c>
    </row>
    <row r="695" spans="21:24" x14ac:dyDescent="0.45">
      <c r="U695" t="s">
        <v>2475</v>
      </c>
      <c r="V695" t="s">
        <v>3322</v>
      </c>
      <c r="W695" t="s">
        <v>2596</v>
      </c>
      <c r="X695" t="s">
        <v>19</v>
      </c>
    </row>
    <row r="696" spans="21:24" x14ac:dyDescent="0.45">
      <c r="U696" t="s">
        <v>2475</v>
      </c>
      <c r="V696" t="s">
        <v>3323</v>
      </c>
      <c r="W696" t="s">
        <v>2596</v>
      </c>
      <c r="X696" t="s">
        <v>19</v>
      </c>
    </row>
    <row r="697" spans="21:24" x14ac:dyDescent="0.45">
      <c r="U697" t="s">
        <v>2475</v>
      </c>
      <c r="V697" t="s">
        <v>3323</v>
      </c>
      <c r="W697" t="s">
        <v>3324</v>
      </c>
      <c r="X697" t="s">
        <v>19</v>
      </c>
    </row>
    <row r="698" spans="21:24" x14ac:dyDescent="0.45">
      <c r="U698" t="s">
        <v>2475</v>
      </c>
      <c r="V698" t="s">
        <v>3325</v>
      </c>
      <c r="W698" t="s">
        <v>2596</v>
      </c>
      <c r="X698" t="s">
        <v>19</v>
      </c>
    </row>
    <row r="699" spans="21:24" x14ac:dyDescent="0.45">
      <c r="U699" t="s">
        <v>2475</v>
      </c>
      <c r="V699" t="s">
        <v>3325</v>
      </c>
      <c r="W699" t="s">
        <v>3324</v>
      </c>
      <c r="X699" t="s">
        <v>19</v>
      </c>
    </row>
    <row r="700" spans="21:24" x14ac:dyDescent="0.45">
      <c r="U700" t="s">
        <v>2475</v>
      </c>
      <c r="V700" t="s">
        <v>3326</v>
      </c>
      <c r="W700" t="s">
        <v>2596</v>
      </c>
      <c r="X700" t="s">
        <v>19</v>
      </c>
    </row>
    <row r="701" spans="21:24" x14ac:dyDescent="0.45">
      <c r="U701" t="s">
        <v>2475</v>
      </c>
      <c r="V701" t="s">
        <v>3326</v>
      </c>
      <c r="W701" t="s">
        <v>3324</v>
      </c>
      <c r="X701" t="s">
        <v>19</v>
      </c>
    </row>
    <row r="702" spans="21:24" x14ac:dyDescent="0.45">
      <c r="U702" t="s">
        <v>2475</v>
      </c>
      <c r="V702" t="s">
        <v>3327</v>
      </c>
      <c r="W702" t="s">
        <v>3324</v>
      </c>
      <c r="X702" t="s">
        <v>19</v>
      </c>
    </row>
    <row r="703" spans="21:24" x14ac:dyDescent="0.45">
      <c r="U703" t="s">
        <v>2475</v>
      </c>
      <c r="V703" t="s">
        <v>3328</v>
      </c>
      <c r="W703" t="s">
        <v>3324</v>
      </c>
      <c r="X703" t="s">
        <v>19</v>
      </c>
    </row>
    <row r="704" spans="21:24" x14ac:dyDescent="0.45">
      <c r="U704" t="s">
        <v>2475</v>
      </c>
      <c r="V704" t="s">
        <v>3329</v>
      </c>
      <c r="W704" t="s">
        <v>3324</v>
      </c>
      <c r="X704" t="s">
        <v>19</v>
      </c>
    </row>
    <row r="705" spans="21:24" x14ac:dyDescent="0.45">
      <c r="U705" t="s">
        <v>2475</v>
      </c>
      <c r="V705" t="s">
        <v>3329</v>
      </c>
      <c r="W705" t="s">
        <v>2596</v>
      </c>
      <c r="X705" t="s">
        <v>17</v>
      </c>
    </row>
    <row r="706" spans="21:24" x14ac:dyDescent="0.45">
      <c r="U706" t="s">
        <v>2475</v>
      </c>
      <c r="V706" t="s">
        <v>3330</v>
      </c>
      <c r="W706" t="s">
        <v>3324</v>
      </c>
      <c r="X706" t="s">
        <v>19</v>
      </c>
    </row>
    <row r="707" spans="21:24" x14ac:dyDescent="0.45">
      <c r="U707" t="s">
        <v>2475</v>
      </c>
      <c r="V707" t="s">
        <v>3330</v>
      </c>
      <c r="W707" t="s">
        <v>2596</v>
      </c>
      <c r="X707" t="s">
        <v>17</v>
      </c>
    </row>
    <row r="708" spans="21:24" x14ac:dyDescent="0.45">
      <c r="U708" t="s">
        <v>2475</v>
      </c>
      <c r="V708" t="s">
        <v>3331</v>
      </c>
      <c r="W708" t="s">
        <v>2600</v>
      </c>
      <c r="X708" t="s">
        <v>19</v>
      </c>
    </row>
    <row r="709" spans="21:24" x14ac:dyDescent="0.45">
      <c r="U709" t="s">
        <v>2475</v>
      </c>
      <c r="V709" t="s">
        <v>3332</v>
      </c>
      <c r="W709" t="s">
        <v>2600</v>
      </c>
      <c r="X709" t="s">
        <v>19</v>
      </c>
    </row>
    <row r="710" spans="21:24" x14ac:dyDescent="0.45">
      <c r="U710" t="s">
        <v>2475</v>
      </c>
      <c r="V710" t="s">
        <v>3333</v>
      </c>
      <c r="W710" t="s">
        <v>2600</v>
      </c>
      <c r="X710" t="s">
        <v>19</v>
      </c>
    </row>
    <row r="711" spans="21:24" x14ac:dyDescent="0.45">
      <c r="U711" t="s">
        <v>2475</v>
      </c>
      <c r="V711" t="s">
        <v>3334</v>
      </c>
      <c r="W711" t="s">
        <v>2600</v>
      </c>
      <c r="X711" t="s">
        <v>19</v>
      </c>
    </row>
    <row r="712" spans="21:24" x14ac:dyDescent="0.45">
      <c r="U712" t="s">
        <v>2475</v>
      </c>
      <c r="V712" t="s">
        <v>3335</v>
      </c>
      <c r="W712" t="s">
        <v>2600</v>
      </c>
      <c r="X712" t="s">
        <v>19</v>
      </c>
    </row>
    <row r="713" spans="21:24" x14ac:dyDescent="0.45">
      <c r="U713" t="s">
        <v>2475</v>
      </c>
      <c r="V713" t="s">
        <v>3336</v>
      </c>
      <c r="W713" t="s">
        <v>2600</v>
      </c>
      <c r="X713" t="s">
        <v>19</v>
      </c>
    </row>
    <row r="714" spans="21:24" x14ac:dyDescent="0.45">
      <c r="U714" t="s">
        <v>2475</v>
      </c>
      <c r="V714" t="s">
        <v>3337</v>
      </c>
      <c r="W714" t="s">
        <v>2600</v>
      </c>
      <c r="X714" t="s">
        <v>19</v>
      </c>
    </row>
    <row r="715" spans="21:24" x14ac:dyDescent="0.45">
      <c r="U715" t="s">
        <v>2475</v>
      </c>
      <c r="V715" t="s">
        <v>3338</v>
      </c>
      <c r="W715" t="s">
        <v>2600</v>
      </c>
      <c r="X715" t="s">
        <v>19</v>
      </c>
    </row>
    <row r="716" spans="21:24" x14ac:dyDescent="0.45">
      <c r="U716" t="s">
        <v>2475</v>
      </c>
      <c r="V716" t="s">
        <v>3339</v>
      </c>
      <c r="W716" t="s">
        <v>2600</v>
      </c>
      <c r="X716" t="s">
        <v>19</v>
      </c>
    </row>
    <row r="717" spans="21:24" x14ac:dyDescent="0.45">
      <c r="U717" t="s">
        <v>2475</v>
      </c>
      <c r="V717" t="s">
        <v>3340</v>
      </c>
      <c r="W717" t="s">
        <v>2600</v>
      </c>
      <c r="X717" t="s">
        <v>19</v>
      </c>
    </row>
    <row r="718" spans="21:24" x14ac:dyDescent="0.45">
      <c r="U718" t="s">
        <v>2475</v>
      </c>
      <c r="V718" t="s">
        <v>3341</v>
      </c>
      <c r="W718" t="s">
        <v>2600</v>
      </c>
      <c r="X718" t="s">
        <v>19</v>
      </c>
    </row>
    <row r="719" spans="21:24" x14ac:dyDescent="0.45">
      <c r="U719" t="s">
        <v>2475</v>
      </c>
      <c r="V719" t="s">
        <v>3341</v>
      </c>
      <c r="W719" t="s">
        <v>3342</v>
      </c>
      <c r="X719" t="s">
        <v>19</v>
      </c>
    </row>
    <row r="720" spans="21:24" x14ac:dyDescent="0.45">
      <c r="U720" t="s">
        <v>2475</v>
      </c>
      <c r="V720" t="s">
        <v>3343</v>
      </c>
      <c r="W720" t="s">
        <v>2600</v>
      </c>
      <c r="X720" t="s">
        <v>19</v>
      </c>
    </row>
    <row r="721" spans="21:24" x14ac:dyDescent="0.45">
      <c r="U721" t="s">
        <v>2475</v>
      </c>
      <c r="V721" t="s">
        <v>3343</v>
      </c>
      <c r="W721" t="s">
        <v>3342</v>
      </c>
      <c r="X721" t="s">
        <v>19</v>
      </c>
    </row>
    <row r="722" spans="21:24" x14ac:dyDescent="0.45">
      <c r="U722" t="s">
        <v>2475</v>
      </c>
      <c r="V722" t="s">
        <v>3344</v>
      </c>
      <c r="W722" t="s">
        <v>2600</v>
      </c>
      <c r="X722" t="s">
        <v>19</v>
      </c>
    </row>
    <row r="723" spans="21:24" x14ac:dyDescent="0.45">
      <c r="U723" t="s">
        <v>2475</v>
      </c>
      <c r="V723" t="s">
        <v>3344</v>
      </c>
      <c r="W723" t="s">
        <v>3342</v>
      </c>
      <c r="X723" t="s">
        <v>19</v>
      </c>
    </row>
    <row r="724" spans="21:24" x14ac:dyDescent="0.45">
      <c r="U724" t="s">
        <v>2475</v>
      </c>
      <c r="V724" t="s">
        <v>3345</v>
      </c>
      <c r="W724" t="s">
        <v>3342</v>
      </c>
      <c r="X724" t="s">
        <v>19</v>
      </c>
    </row>
    <row r="725" spans="21:24" x14ac:dyDescent="0.45">
      <c r="U725" t="s">
        <v>2475</v>
      </c>
      <c r="V725" t="s">
        <v>3346</v>
      </c>
      <c r="W725" t="s">
        <v>3342</v>
      </c>
      <c r="X725" t="s">
        <v>19</v>
      </c>
    </row>
    <row r="726" spans="21:24" x14ac:dyDescent="0.45">
      <c r="U726" t="s">
        <v>2475</v>
      </c>
      <c r="V726" t="s">
        <v>3347</v>
      </c>
      <c r="W726" t="s">
        <v>3342</v>
      </c>
      <c r="X726" t="s">
        <v>19</v>
      </c>
    </row>
    <row r="727" spans="21:24" x14ac:dyDescent="0.45">
      <c r="U727" t="s">
        <v>2475</v>
      </c>
      <c r="V727" t="s">
        <v>3347</v>
      </c>
      <c r="W727" t="s">
        <v>2600</v>
      </c>
      <c r="X727" t="s">
        <v>17</v>
      </c>
    </row>
    <row r="728" spans="21:24" x14ac:dyDescent="0.45">
      <c r="U728" t="s">
        <v>2475</v>
      </c>
      <c r="V728" t="s">
        <v>3348</v>
      </c>
      <c r="W728" t="s">
        <v>3342</v>
      </c>
      <c r="X728" t="s">
        <v>19</v>
      </c>
    </row>
    <row r="729" spans="21:24" x14ac:dyDescent="0.45">
      <c r="U729" t="s">
        <v>2475</v>
      </c>
      <c r="V729" t="s">
        <v>3348</v>
      </c>
      <c r="W729" t="s">
        <v>2600</v>
      </c>
      <c r="X729" t="s">
        <v>17</v>
      </c>
    </row>
    <row r="730" spans="21:24" x14ac:dyDescent="0.45">
      <c r="U730" t="s">
        <v>2475</v>
      </c>
      <c r="V730" t="s">
        <v>3349</v>
      </c>
      <c r="W730" t="s">
        <v>2604</v>
      </c>
      <c r="X730" t="s">
        <v>19</v>
      </c>
    </row>
    <row r="731" spans="21:24" x14ac:dyDescent="0.45">
      <c r="U731" t="s">
        <v>2475</v>
      </c>
      <c r="V731" t="s">
        <v>3350</v>
      </c>
      <c r="W731" t="s">
        <v>2604</v>
      </c>
      <c r="X731" t="s">
        <v>19</v>
      </c>
    </row>
    <row r="732" spans="21:24" x14ac:dyDescent="0.45">
      <c r="U732" t="s">
        <v>2475</v>
      </c>
      <c r="V732" t="s">
        <v>3351</v>
      </c>
      <c r="W732" t="s">
        <v>2604</v>
      </c>
      <c r="X732" t="s">
        <v>19</v>
      </c>
    </row>
    <row r="733" spans="21:24" x14ac:dyDescent="0.45">
      <c r="U733" t="s">
        <v>2475</v>
      </c>
      <c r="V733" t="s">
        <v>3352</v>
      </c>
      <c r="W733" t="s">
        <v>2604</v>
      </c>
      <c r="X733" t="s">
        <v>19</v>
      </c>
    </row>
    <row r="734" spans="21:24" x14ac:dyDescent="0.45">
      <c r="U734" t="s">
        <v>2475</v>
      </c>
      <c r="V734" t="s">
        <v>3353</v>
      </c>
      <c r="W734" t="s">
        <v>2604</v>
      </c>
      <c r="X734" t="s">
        <v>19</v>
      </c>
    </row>
    <row r="735" spans="21:24" x14ac:dyDescent="0.45">
      <c r="U735" t="s">
        <v>2475</v>
      </c>
      <c r="V735" t="s">
        <v>3354</v>
      </c>
      <c r="W735" t="s">
        <v>2604</v>
      </c>
      <c r="X735" t="s">
        <v>19</v>
      </c>
    </row>
    <row r="736" spans="21:24" x14ac:dyDescent="0.45">
      <c r="U736" t="s">
        <v>2475</v>
      </c>
      <c r="V736" t="s">
        <v>3355</v>
      </c>
      <c r="W736" t="s">
        <v>2604</v>
      </c>
      <c r="X736" t="s">
        <v>19</v>
      </c>
    </row>
    <row r="737" spans="21:24" x14ac:dyDescent="0.45">
      <c r="U737" t="s">
        <v>2475</v>
      </c>
      <c r="V737" t="s">
        <v>3356</v>
      </c>
      <c r="W737" t="s">
        <v>2604</v>
      </c>
      <c r="X737" t="s">
        <v>19</v>
      </c>
    </row>
    <row r="738" spans="21:24" x14ac:dyDescent="0.45">
      <c r="U738" t="s">
        <v>2475</v>
      </c>
      <c r="V738" t="s">
        <v>3357</v>
      </c>
      <c r="W738" t="s">
        <v>2604</v>
      </c>
      <c r="X738" t="s">
        <v>19</v>
      </c>
    </row>
    <row r="739" spans="21:24" x14ac:dyDescent="0.45">
      <c r="U739" t="s">
        <v>2475</v>
      </c>
      <c r="V739" t="s">
        <v>3358</v>
      </c>
      <c r="W739" t="s">
        <v>2604</v>
      </c>
      <c r="X739" t="s">
        <v>19</v>
      </c>
    </row>
    <row r="740" spans="21:24" x14ac:dyDescent="0.45">
      <c r="U740" t="s">
        <v>2475</v>
      </c>
      <c r="V740" t="s">
        <v>3359</v>
      </c>
      <c r="W740" t="s">
        <v>2604</v>
      </c>
      <c r="X740" t="s">
        <v>19</v>
      </c>
    </row>
    <row r="741" spans="21:24" x14ac:dyDescent="0.45">
      <c r="U741" t="s">
        <v>2475</v>
      </c>
      <c r="V741" t="s">
        <v>3359</v>
      </c>
      <c r="W741" t="s">
        <v>2883</v>
      </c>
      <c r="X741" t="s">
        <v>19</v>
      </c>
    </row>
    <row r="742" spans="21:24" x14ac:dyDescent="0.45">
      <c r="U742" t="s">
        <v>2475</v>
      </c>
      <c r="V742" t="s">
        <v>3360</v>
      </c>
      <c r="W742" t="s">
        <v>2604</v>
      </c>
      <c r="X742" t="s">
        <v>19</v>
      </c>
    </row>
    <row r="743" spans="21:24" x14ac:dyDescent="0.45">
      <c r="U743" t="s">
        <v>2475</v>
      </c>
      <c r="V743" t="s">
        <v>3360</v>
      </c>
      <c r="W743" t="s">
        <v>2883</v>
      </c>
      <c r="X743" t="s">
        <v>19</v>
      </c>
    </row>
    <row r="744" spans="21:24" x14ac:dyDescent="0.45">
      <c r="U744" t="s">
        <v>2475</v>
      </c>
      <c r="V744" t="s">
        <v>3361</v>
      </c>
      <c r="W744" t="s">
        <v>2604</v>
      </c>
      <c r="X744" t="s">
        <v>19</v>
      </c>
    </row>
    <row r="745" spans="21:24" x14ac:dyDescent="0.45">
      <c r="U745" t="s">
        <v>2475</v>
      </c>
      <c r="V745" t="s">
        <v>3361</v>
      </c>
      <c r="W745" t="s">
        <v>2883</v>
      </c>
      <c r="X745" t="s">
        <v>19</v>
      </c>
    </row>
    <row r="746" spans="21:24" x14ac:dyDescent="0.45">
      <c r="U746" t="s">
        <v>2475</v>
      </c>
      <c r="V746" t="s">
        <v>3362</v>
      </c>
      <c r="W746" t="s">
        <v>2883</v>
      </c>
      <c r="X746" t="s">
        <v>19</v>
      </c>
    </row>
    <row r="747" spans="21:24" x14ac:dyDescent="0.45">
      <c r="U747" t="s">
        <v>2475</v>
      </c>
      <c r="V747" t="s">
        <v>3363</v>
      </c>
      <c r="W747" t="s">
        <v>2883</v>
      </c>
      <c r="X747" t="s">
        <v>19</v>
      </c>
    </row>
    <row r="748" spans="21:24" x14ac:dyDescent="0.45">
      <c r="U748" t="s">
        <v>2475</v>
      </c>
      <c r="V748" t="s">
        <v>3364</v>
      </c>
      <c r="W748" t="s">
        <v>2883</v>
      </c>
      <c r="X748" t="s">
        <v>19</v>
      </c>
    </row>
    <row r="749" spans="21:24" x14ac:dyDescent="0.45">
      <c r="U749" t="s">
        <v>2475</v>
      </c>
      <c r="V749" t="s">
        <v>3364</v>
      </c>
      <c r="W749" t="s">
        <v>2604</v>
      </c>
      <c r="X749" t="s">
        <v>17</v>
      </c>
    </row>
    <row r="750" spans="21:24" x14ac:dyDescent="0.45">
      <c r="U750" t="s">
        <v>2475</v>
      </c>
      <c r="V750" t="s">
        <v>3365</v>
      </c>
      <c r="W750" t="s">
        <v>2883</v>
      </c>
      <c r="X750" t="s">
        <v>19</v>
      </c>
    </row>
    <row r="751" spans="21:24" x14ac:dyDescent="0.45">
      <c r="U751" t="s">
        <v>2475</v>
      </c>
      <c r="V751" t="s">
        <v>3365</v>
      </c>
      <c r="W751" t="s">
        <v>2604</v>
      </c>
      <c r="X751" t="s">
        <v>17</v>
      </c>
    </row>
    <row r="752" spans="21:24" x14ac:dyDescent="0.45">
      <c r="U752" t="s">
        <v>2475</v>
      </c>
      <c r="V752" t="s">
        <v>3366</v>
      </c>
      <c r="W752" t="s">
        <v>2608</v>
      </c>
      <c r="X752" t="s">
        <v>19</v>
      </c>
    </row>
    <row r="753" spans="21:24" x14ac:dyDescent="0.45">
      <c r="U753" t="s">
        <v>2475</v>
      </c>
      <c r="V753" t="s">
        <v>3367</v>
      </c>
      <c r="W753" t="s">
        <v>2608</v>
      </c>
      <c r="X753" t="s">
        <v>19</v>
      </c>
    </row>
    <row r="754" spans="21:24" x14ac:dyDescent="0.45">
      <c r="U754" t="s">
        <v>2475</v>
      </c>
      <c r="V754" t="s">
        <v>3368</v>
      </c>
      <c r="W754" t="s">
        <v>2608</v>
      </c>
      <c r="X754" t="s">
        <v>19</v>
      </c>
    </row>
    <row r="755" spans="21:24" x14ac:dyDescent="0.45">
      <c r="U755" t="s">
        <v>2475</v>
      </c>
      <c r="V755" t="s">
        <v>3369</v>
      </c>
      <c r="W755" t="s">
        <v>2608</v>
      </c>
      <c r="X755" t="s">
        <v>19</v>
      </c>
    </row>
    <row r="756" spans="21:24" x14ac:dyDescent="0.45">
      <c r="U756" t="s">
        <v>2475</v>
      </c>
      <c r="V756" t="s">
        <v>3370</v>
      </c>
      <c r="W756" t="s">
        <v>2608</v>
      </c>
      <c r="X756" t="s">
        <v>19</v>
      </c>
    </row>
    <row r="757" spans="21:24" x14ac:dyDescent="0.45">
      <c r="U757" t="s">
        <v>2475</v>
      </c>
      <c r="V757" t="s">
        <v>3371</v>
      </c>
      <c r="W757" t="s">
        <v>2608</v>
      </c>
      <c r="X757" t="s">
        <v>19</v>
      </c>
    </row>
    <row r="758" spans="21:24" x14ac:dyDescent="0.45">
      <c r="U758" t="s">
        <v>2475</v>
      </c>
      <c r="V758" t="s">
        <v>3372</v>
      </c>
      <c r="W758" t="s">
        <v>2608</v>
      </c>
      <c r="X758" t="s">
        <v>19</v>
      </c>
    </row>
    <row r="759" spans="21:24" x14ac:dyDescent="0.45">
      <c r="U759" t="s">
        <v>2475</v>
      </c>
      <c r="V759" t="s">
        <v>3373</v>
      </c>
      <c r="W759" t="s">
        <v>2608</v>
      </c>
      <c r="X759" t="s">
        <v>19</v>
      </c>
    </row>
    <row r="760" spans="21:24" x14ac:dyDescent="0.45">
      <c r="U760" t="s">
        <v>2475</v>
      </c>
      <c r="V760" t="s">
        <v>3374</v>
      </c>
      <c r="W760" t="s">
        <v>2608</v>
      </c>
      <c r="X760" t="s">
        <v>19</v>
      </c>
    </row>
    <row r="761" spans="21:24" x14ac:dyDescent="0.45">
      <c r="U761" t="s">
        <v>2475</v>
      </c>
      <c r="V761" t="s">
        <v>3375</v>
      </c>
      <c r="W761" t="s">
        <v>2608</v>
      </c>
      <c r="X761" t="s">
        <v>19</v>
      </c>
    </row>
    <row r="762" spans="21:24" x14ac:dyDescent="0.45">
      <c r="U762" t="s">
        <v>2475</v>
      </c>
      <c r="V762" t="s">
        <v>3376</v>
      </c>
      <c r="W762" t="s">
        <v>2608</v>
      </c>
      <c r="X762" t="s">
        <v>19</v>
      </c>
    </row>
    <row r="763" spans="21:24" x14ac:dyDescent="0.45">
      <c r="U763" t="s">
        <v>2475</v>
      </c>
      <c r="V763" t="s">
        <v>3376</v>
      </c>
      <c r="W763" t="s">
        <v>2869</v>
      </c>
      <c r="X763" t="s">
        <v>19</v>
      </c>
    </row>
    <row r="764" spans="21:24" x14ac:dyDescent="0.45">
      <c r="U764" t="s">
        <v>2475</v>
      </c>
      <c r="V764" t="s">
        <v>3377</v>
      </c>
      <c r="W764" t="s">
        <v>2608</v>
      </c>
      <c r="X764" t="s">
        <v>19</v>
      </c>
    </row>
    <row r="765" spans="21:24" x14ac:dyDescent="0.45">
      <c r="U765" t="s">
        <v>2475</v>
      </c>
      <c r="V765" t="s">
        <v>3377</v>
      </c>
      <c r="W765" t="s">
        <v>2869</v>
      </c>
      <c r="X765" t="s">
        <v>19</v>
      </c>
    </row>
    <row r="766" spans="21:24" x14ac:dyDescent="0.45">
      <c r="U766" t="s">
        <v>2475</v>
      </c>
      <c r="V766" t="s">
        <v>3378</v>
      </c>
      <c r="W766" t="s">
        <v>2608</v>
      </c>
      <c r="X766" t="s">
        <v>19</v>
      </c>
    </row>
    <row r="767" spans="21:24" x14ac:dyDescent="0.45">
      <c r="U767" t="s">
        <v>2475</v>
      </c>
      <c r="V767" t="s">
        <v>3378</v>
      </c>
      <c r="W767" t="s">
        <v>2869</v>
      </c>
      <c r="X767" t="s">
        <v>19</v>
      </c>
    </row>
    <row r="768" spans="21:24" x14ac:dyDescent="0.45">
      <c r="U768" t="s">
        <v>2475</v>
      </c>
      <c r="V768" t="s">
        <v>3379</v>
      </c>
      <c r="W768" t="s">
        <v>2869</v>
      </c>
      <c r="X768" t="s">
        <v>19</v>
      </c>
    </row>
    <row r="769" spans="21:24" x14ac:dyDescent="0.45">
      <c r="U769" t="s">
        <v>2475</v>
      </c>
      <c r="V769" t="s">
        <v>3380</v>
      </c>
      <c r="W769" t="s">
        <v>2869</v>
      </c>
      <c r="X769" t="s">
        <v>19</v>
      </c>
    </row>
    <row r="770" spans="21:24" x14ac:dyDescent="0.45">
      <c r="U770" t="s">
        <v>2475</v>
      </c>
      <c r="V770" t="s">
        <v>3381</v>
      </c>
      <c r="W770" t="s">
        <v>2869</v>
      </c>
      <c r="X770" t="s">
        <v>19</v>
      </c>
    </row>
    <row r="771" spans="21:24" x14ac:dyDescent="0.45">
      <c r="U771" t="s">
        <v>2475</v>
      </c>
      <c r="V771" t="s">
        <v>3381</v>
      </c>
      <c r="W771" t="s">
        <v>2608</v>
      </c>
      <c r="X771" t="s">
        <v>17</v>
      </c>
    </row>
    <row r="772" spans="21:24" x14ac:dyDescent="0.45">
      <c r="U772" t="s">
        <v>2475</v>
      </c>
      <c r="V772" t="s">
        <v>3382</v>
      </c>
      <c r="W772" t="s">
        <v>2869</v>
      </c>
      <c r="X772" t="s">
        <v>19</v>
      </c>
    </row>
    <row r="773" spans="21:24" x14ac:dyDescent="0.45">
      <c r="U773" t="s">
        <v>2475</v>
      </c>
      <c r="V773" t="s">
        <v>3382</v>
      </c>
      <c r="W773" t="s">
        <v>2608</v>
      </c>
      <c r="X773" t="s">
        <v>17</v>
      </c>
    </row>
    <row r="774" spans="21:24" x14ac:dyDescent="0.45">
      <c r="U774" t="s">
        <v>2475</v>
      </c>
      <c r="V774" t="s">
        <v>3383</v>
      </c>
      <c r="W774" t="s">
        <v>2612</v>
      </c>
      <c r="X774" t="s">
        <v>19</v>
      </c>
    </row>
    <row r="775" spans="21:24" x14ac:dyDescent="0.45">
      <c r="U775" t="s">
        <v>2475</v>
      </c>
      <c r="V775" t="s">
        <v>3384</v>
      </c>
      <c r="W775" t="s">
        <v>2612</v>
      </c>
      <c r="X775" t="s">
        <v>19</v>
      </c>
    </row>
    <row r="776" spans="21:24" x14ac:dyDescent="0.45">
      <c r="U776" t="s">
        <v>2475</v>
      </c>
      <c r="V776" t="s">
        <v>3385</v>
      </c>
      <c r="W776" t="s">
        <v>2612</v>
      </c>
      <c r="X776" t="s">
        <v>19</v>
      </c>
    </row>
    <row r="777" spans="21:24" x14ac:dyDescent="0.45">
      <c r="U777" t="s">
        <v>2475</v>
      </c>
      <c r="V777" t="s">
        <v>3386</v>
      </c>
      <c r="W777" t="s">
        <v>2612</v>
      </c>
      <c r="X777" t="s">
        <v>19</v>
      </c>
    </row>
    <row r="778" spans="21:24" x14ac:dyDescent="0.45">
      <c r="U778" t="s">
        <v>2475</v>
      </c>
      <c r="V778" t="s">
        <v>3387</v>
      </c>
      <c r="W778" t="s">
        <v>2612</v>
      </c>
      <c r="X778" t="s">
        <v>19</v>
      </c>
    </row>
    <row r="779" spans="21:24" x14ac:dyDescent="0.45">
      <c r="U779" t="s">
        <v>2475</v>
      </c>
      <c r="V779" t="s">
        <v>3388</v>
      </c>
      <c r="W779" t="s">
        <v>2612</v>
      </c>
      <c r="X779" t="s">
        <v>19</v>
      </c>
    </row>
    <row r="780" spans="21:24" x14ac:dyDescent="0.45">
      <c r="U780" t="s">
        <v>2475</v>
      </c>
      <c r="V780" t="s">
        <v>3389</v>
      </c>
      <c r="W780" t="s">
        <v>2612</v>
      </c>
      <c r="X780" t="s">
        <v>19</v>
      </c>
    </row>
    <row r="781" spans="21:24" x14ac:dyDescent="0.45">
      <c r="U781" t="s">
        <v>2475</v>
      </c>
      <c r="V781" t="s">
        <v>3390</v>
      </c>
      <c r="W781" t="s">
        <v>2612</v>
      </c>
      <c r="X781" t="s">
        <v>19</v>
      </c>
    </row>
    <row r="782" spans="21:24" x14ac:dyDescent="0.45">
      <c r="U782" t="s">
        <v>2475</v>
      </c>
      <c r="V782" t="s">
        <v>3391</v>
      </c>
      <c r="W782" t="s">
        <v>2612</v>
      </c>
      <c r="X782" t="s">
        <v>19</v>
      </c>
    </row>
    <row r="783" spans="21:24" x14ac:dyDescent="0.45">
      <c r="U783" t="s">
        <v>2475</v>
      </c>
      <c r="V783" t="s">
        <v>3392</v>
      </c>
      <c r="W783" t="s">
        <v>2612</v>
      </c>
      <c r="X783" t="s">
        <v>19</v>
      </c>
    </row>
    <row r="784" spans="21:24" x14ac:dyDescent="0.45">
      <c r="U784" t="s">
        <v>2475</v>
      </c>
      <c r="V784" t="s">
        <v>3393</v>
      </c>
      <c r="W784" t="s">
        <v>2612</v>
      </c>
      <c r="X784" t="s">
        <v>19</v>
      </c>
    </row>
    <row r="785" spans="21:24" x14ac:dyDescent="0.45">
      <c r="U785" t="s">
        <v>2475</v>
      </c>
      <c r="V785" t="s">
        <v>3393</v>
      </c>
      <c r="W785" t="s">
        <v>2901</v>
      </c>
      <c r="X785" t="s">
        <v>19</v>
      </c>
    </row>
    <row r="786" spans="21:24" x14ac:dyDescent="0.45">
      <c r="U786" t="s">
        <v>2475</v>
      </c>
      <c r="V786" t="s">
        <v>3394</v>
      </c>
      <c r="W786" t="s">
        <v>2612</v>
      </c>
      <c r="X786" t="s">
        <v>19</v>
      </c>
    </row>
    <row r="787" spans="21:24" x14ac:dyDescent="0.45">
      <c r="U787" t="s">
        <v>2475</v>
      </c>
      <c r="V787" t="s">
        <v>3394</v>
      </c>
      <c r="W787" t="s">
        <v>2901</v>
      </c>
      <c r="X787" t="s">
        <v>19</v>
      </c>
    </row>
    <row r="788" spans="21:24" x14ac:dyDescent="0.45">
      <c r="U788" t="s">
        <v>2475</v>
      </c>
      <c r="V788" t="s">
        <v>3395</v>
      </c>
      <c r="W788" t="s">
        <v>2612</v>
      </c>
      <c r="X788" t="s">
        <v>19</v>
      </c>
    </row>
    <row r="789" spans="21:24" x14ac:dyDescent="0.45">
      <c r="U789" t="s">
        <v>2475</v>
      </c>
      <c r="V789" t="s">
        <v>3395</v>
      </c>
      <c r="W789" t="s">
        <v>2901</v>
      </c>
      <c r="X789" t="s">
        <v>19</v>
      </c>
    </row>
    <row r="790" spans="21:24" x14ac:dyDescent="0.45">
      <c r="U790" t="s">
        <v>2475</v>
      </c>
      <c r="V790" t="s">
        <v>3396</v>
      </c>
      <c r="W790" t="s">
        <v>2901</v>
      </c>
      <c r="X790" t="s">
        <v>19</v>
      </c>
    </row>
    <row r="791" spans="21:24" x14ac:dyDescent="0.45">
      <c r="U791" t="s">
        <v>2475</v>
      </c>
      <c r="V791" t="s">
        <v>3397</v>
      </c>
      <c r="W791" t="s">
        <v>2901</v>
      </c>
      <c r="X791" t="s">
        <v>19</v>
      </c>
    </row>
    <row r="792" spans="21:24" x14ac:dyDescent="0.45">
      <c r="U792" t="s">
        <v>2475</v>
      </c>
      <c r="V792" t="s">
        <v>3398</v>
      </c>
      <c r="W792" t="s">
        <v>2901</v>
      </c>
      <c r="X792" t="s">
        <v>19</v>
      </c>
    </row>
    <row r="793" spans="21:24" x14ac:dyDescent="0.45">
      <c r="U793" t="s">
        <v>2475</v>
      </c>
      <c r="V793" t="s">
        <v>3398</v>
      </c>
      <c r="W793" t="s">
        <v>2612</v>
      </c>
      <c r="X793" t="s">
        <v>17</v>
      </c>
    </row>
    <row r="794" spans="21:24" x14ac:dyDescent="0.45">
      <c r="U794" t="s">
        <v>2475</v>
      </c>
      <c r="V794" t="s">
        <v>3399</v>
      </c>
      <c r="W794" t="s">
        <v>2901</v>
      </c>
      <c r="X794" t="s">
        <v>19</v>
      </c>
    </row>
    <row r="795" spans="21:24" x14ac:dyDescent="0.45">
      <c r="U795" t="s">
        <v>2475</v>
      </c>
      <c r="V795" t="s">
        <v>3399</v>
      </c>
      <c r="W795" t="s">
        <v>2612</v>
      </c>
      <c r="X795" t="s">
        <v>17</v>
      </c>
    </row>
    <row r="796" spans="21:24" x14ac:dyDescent="0.45">
      <c r="U796" t="s">
        <v>2475</v>
      </c>
      <c r="V796" t="s">
        <v>3400</v>
      </c>
      <c r="W796" t="s">
        <v>2615</v>
      </c>
      <c r="X796" t="s">
        <v>19</v>
      </c>
    </row>
    <row r="797" spans="21:24" x14ac:dyDescent="0.45">
      <c r="U797" t="s">
        <v>2475</v>
      </c>
      <c r="V797" t="s">
        <v>3401</v>
      </c>
      <c r="W797" t="s">
        <v>2615</v>
      </c>
      <c r="X797" t="s">
        <v>19</v>
      </c>
    </row>
    <row r="798" spans="21:24" x14ac:dyDescent="0.45">
      <c r="U798" t="s">
        <v>2475</v>
      </c>
      <c r="V798" t="s">
        <v>3402</v>
      </c>
      <c r="W798" t="s">
        <v>2615</v>
      </c>
      <c r="X798" t="s">
        <v>19</v>
      </c>
    </row>
    <row r="799" spans="21:24" x14ac:dyDescent="0.45">
      <c r="U799" t="s">
        <v>2475</v>
      </c>
      <c r="V799" t="s">
        <v>3403</v>
      </c>
      <c r="W799" t="s">
        <v>2615</v>
      </c>
      <c r="X799" t="s">
        <v>19</v>
      </c>
    </row>
    <row r="800" spans="21:24" x14ac:dyDescent="0.45">
      <c r="U800" t="s">
        <v>2475</v>
      </c>
      <c r="V800" t="s">
        <v>3404</v>
      </c>
      <c r="W800" t="s">
        <v>2615</v>
      </c>
      <c r="X800" t="s">
        <v>19</v>
      </c>
    </row>
    <row r="801" spans="21:24" x14ac:dyDescent="0.45">
      <c r="U801" t="s">
        <v>2475</v>
      </c>
      <c r="V801" t="s">
        <v>3405</v>
      </c>
      <c r="W801" t="s">
        <v>2615</v>
      </c>
      <c r="X801" t="s">
        <v>19</v>
      </c>
    </row>
    <row r="802" spans="21:24" x14ac:dyDescent="0.45">
      <c r="U802" t="s">
        <v>2475</v>
      </c>
      <c r="V802" t="s">
        <v>3406</v>
      </c>
      <c r="W802" t="s">
        <v>2615</v>
      </c>
      <c r="X802" t="s">
        <v>19</v>
      </c>
    </row>
    <row r="803" spans="21:24" x14ac:dyDescent="0.45">
      <c r="U803" t="s">
        <v>2475</v>
      </c>
      <c r="V803" t="s">
        <v>3407</v>
      </c>
      <c r="W803" t="s">
        <v>2615</v>
      </c>
      <c r="X803" t="s">
        <v>19</v>
      </c>
    </row>
    <row r="804" spans="21:24" x14ac:dyDescent="0.45">
      <c r="U804" t="s">
        <v>2475</v>
      </c>
      <c r="V804" t="s">
        <v>3408</v>
      </c>
      <c r="W804" t="s">
        <v>2615</v>
      </c>
      <c r="X804" t="s">
        <v>19</v>
      </c>
    </row>
    <row r="805" spans="21:24" x14ac:dyDescent="0.45">
      <c r="U805" t="s">
        <v>2475</v>
      </c>
      <c r="V805" t="s">
        <v>3409</v>
      </c>
      <c r="W805" t="s">
        <v>2615</v>
      </c>
      <c r="X805" t="s">
        <v>19</v>
      </c>
    </row>
    <row r="806" spans="21:24" x14ac:dyDescent="0.45">
      <c r="U806" t="s">
        <v>2475</v>
      </c>
      <c r="V806" t="s">
        <v>3410</v>
      </c>
      <c r="W806" t="s">
        <v>2615</v>
      </c>
      <c r="X806" t="s">
        <v>19</v>
      </c>
    </row>
    <row r="807" spans="21:24" x14ac:dyDescent="0.45">
      <c r="U807" t="s">
        <v>2475</v>
      </c>
      <c r="V807" t="s">
        <v>3410</v>
      </c>
      <c r="W807" t="s">
        <v>2894</v>
      </c>
      <c r="X807" t="s">
        <v>19</v>
      </c>
    </row>
    <row r="808" spans="21:24" x14ac:dyDescent="0.45">
      <c r="U808" t="s">
        <v>2475</v>
      </c>
      <c r="V808" t="s">
        <v>3411</v>
      </c>
      <c r="W808" t="s">
        <v>2615</v>
      </c>
      <c r="X808" t="s">
        <v>19</v>
      </c>
    </row>
    <row r="809" spans="21:24" x14ac:dyDescent="0.45">
      <c r="U809" t="s">
        <v>2475</v>
      </c>
      <c r="V809" t="s">
        <v>3411</v>
      </c>
      <c r="W809" t="s">
        <v>2894</v>
      </c>
      <c r="X809" t="s">
        <v>19</v>
      </c>
    </row>
    <row r="810" spans="21:24" x14ac:dyDescent="0.45">
      <c r="U810" t="s">
        <v>2475</v>
      </c>
      <c r="V810" t="s">
        <v>3412</v>
      </c>
      <c r="W810" t="s">
        <v>2615</v>
      </c>
      <c r="X810" t="s">
        <v>19</v>
      </c>
    </row>
    <row r="811" spans="21:24" x14ac:dyDescent="0.45">
      <c r="U811" t="s">
        <v>2475</v>
      </c>
      <c r="V811" t="s">
        <v>3412</v>
      </c>
      <c r="W811" t="s">
        <v>2894</v>
      </c>
      <c r="X811" t="s">
        <v>19</v>
      </c>
    </row>
    <row r="812" spans="21:24" x14ac:dyDescent="0.45">
      <c r="U812" t="s">
        <v>2475</v>
      </c>
      <c r="V812" t="s">
        <v>3413</v>
      </c>
      <c r="W812" t="s">
        <v>2894</v>
      </c>
      <c r="X812" t="s">
        <v>19</v>
      </c>
    </row>
    <row r="813" spans="21:24" x14ac:dyDescent="0.45">
      <c r="U813" t="s">
        <v>2475</v>
      </c>
      <c r="V813" t="s">
        <v>3414</v>
      </c>
      <c r="W813" t="s">
        <v>2894</v>
      </c>
      <c r="X813" t="s">
        <v>19</v>
      </c>
    </row>
    <row r="814" spans="21:24" x14ac:dyDescent="0.45">
      <c r="U814" t="s">
        <v>2475</v>
      </c>
      <c r="V814" t="s">
        <v>3415</v>
      </c>
      <c r="W814" t="s">
        <v>2894</v>
      </c>
      <c r="X814" t="s">
        <v>19</v>
      </c>
    </row>
    <row r="815" spans="21:24" x14ac:dyDescent="0.45">
      <c r="U815" t="s">
        <v>2475</v>
      </c>
      <c r="V815" t="s">
        <v>3415</v>
      </c>
      <c r="W815" t="s">
        <v>2615</v>
      </c>
      <c r="X815" t="s">
        <v>17</v>
      </c>
    </row>
    <row r="816" spans="21:24" x14ac:dyDescent="0.45">
      <c r="U816" t="s">
        <v>2475</v>
      </c>
      <c r="V816" t="s">
        <v>3416</v>
      </c>
      <c r="W816" t="s">
        <v>2894</v>
      </c>
      <c r="X816" t="s">
        <v>19</v>
      </c>
    </row>
    <row r="817" spans="21:24" x14ac:dyDescent="0.45">
      <c r="U817" t="s">
        <v>2475</v>
      </c>
      <c r="V817" t="s">
        <v>3416</v>
      </c>
      <c r="W817" t="s">
        <v>2615</v>
      </c>
      <c r="X817" t="s">
        <v>17</v>
      </c>
    </row>
    <row r="818" spans="21:24" x14ac:dyDescent="0.45">
      <c r="U818" t="s">
        <v>2475</v>
      </c>
      <c r="V818" t="s">
        <v>3417</v>
      </c>
      <c r="W818" t="s">
        <v>2476</v>
      </c>
      <c r="X818" t="s">
        <v>19</v>
      </c>
    </row>
    <row r="819" spans="21:24" x14ac:dyDescent="0.45">
      <c r="U819" t="s">
        <v>2475</v>
      </c>
      <c r="V819" t="s">
        <v>3417</v>
      </c>
      <c r="W819" t="s">
        <v>2476</v>
      </c>
      <c r="X819" t="s">
        <v>17</v>
      </c>
    </row>
    <row r="820" spans="21:24" x14ac:dyDescent="0.45">
      <c r="U820" t="s">
        <v>2475</v>
      </c>
      <c r="V820" t="s">
        <v>3418</v>
      </c>
      <c r="W820" t="s">
        <v>2476</v>
      </c>
      <c r="X820" t="s">
        <v>19</v>
      </c>
    </row>
    <row r="821" spans="21:24" x14ac:dyDescent="0.45">
      <c r="U821" t="s">
        <v>2475</v>
      </c>
      <c r="V821" t="s">
        <v>3418</v>
      </c>
      <c r="W821" t="s">
        <v>2476</v>
      </c>
      <c r="X821" t="s">
        <v>17</v>
      </c>
    </row>
    <row r="822" spans="21:24" x14ac:dyDescent="0.45">
      <c r="U822" t="s">
        <v>2475</v>
      </c>
      <c r="V822" t="s">
        <v>3419</v>
      </c>
      <c r="W822" t="s">
        <v>2480</v>
      </c>
      <c r="X822" t="s">
        <v>19</v>
      </c>
    </row>
    <row r="823" spans="21:24" x14ac:dyDescent="0.45">
      <c r="U823" t="s">
        <v>2475</v>
      </c>
      <c r="V823" t="s">
        <v>3419</v>
      </c>
      <c r="W823" t="s">
        <v>2480</v>
      </c>
      <c r="X823" t="s">
        <v>17</v>
      </c>
    </row>
    <row r="824" spans="21:24" x14ac:dyDescent="0.45">
      <c r="U824" t="s">
        <v>2475</v>
      </c>
      <c r="V824" t="s">
        <v>3420</v>
      </c>
      <c r="W824" t="s">
        <v>2480</v>
      </c>
      <c r="X824" t="s">
        <v>19</v>
      </c>
    </row>
    <row r="825" spans="21:24" x14ac:dyDescent="0.45">
      <c r="U825" t="s">
        <v>2475</v>
      </c>
      <c r="V825" t="s">
        <v>3420</v>
      </c>
      <c r="W825" t="s">
        <v>2480</v>
      </c>
      <c r="X825" t="s">
        <v>17</v>
      </c>
    </row>
    <row r="826" spans="21:24" x14ac:dyDescent="0.45">
      <c r="U826" t="s">
        <v>2475</v>
      </c>
      <c r="V826" t="s">
        <v>3421</v>
      </c>
      <c r="W826" t="s">
        <v>2484</v>
      </c>
      <c r="X826" t="s">
        <v>19</v>
      </c>
    </row>
    <row r="827" spans="21:24" x14ac:dyDescent="0.45">
      <c r="U827" t="s">
        <v>2475</v>
      </c>
      <c r="V827" t="s">
        <v>3421</v>
      </c>
      <c r="W827" t="s">
        <v>2484</v>
      </c>
      <c r="X827" t="s">
        <v>17</v>
      </c>
    </row>
    <row r="828" spans="21:24" x14ac:dyDescent="0.45">
      <c r="U828" t="s">
        <v>2475</v>
      </c>
      <c r="V828" t="s">
        <v>3422</v>
      </c>
      <c r="W828" t="s">
        <v>2484</v>
      </c>
      <c r="X828" t="s">
        <v>19</v>
      </c>
    </row>
    <row r="829" spans="21:24" x14ac:dyDescent="0.45">
      <c r="U829" t="s">
        <v>2475</v>
      </c>
      <c r="V829" t="s">
        <v>3422</v>
      </c>
      <c r="W829" t="s">
        <v>2484</v>
      </c>
      <c r="X829" t="s">
        <v>17</v>
      </c>
    </row>
    <row r="830" spans="21:24" x14ac:dyDescent="0.45">
      <c r="U830" t="s">
        <v>2475</v>
      </c>
      <c r="V830" t="s">
        <v>3423</v>
      </c>
      <c r="W830" t="s">
        <v>2488</v>
      </c>
      <c r="X830" t="s">
        <v>19</v>
      </c>
    </row>
    <row r="831" spans="21:24" x14ac:dyDescent="0.45">
      <c r="U831" t="s">
        <v>2475</v>
      </c>
      <c r="V831" t="s">
        <v>3423</v>
      </c>
      <c r="W831" t="s">
        <v>2488</v>
      </c>
      <c r="X831" t="s">
        <v>17</v>
      </c>
    </row>
    <row r="832" spans="21:24" x14ac:dyDescent="0.45">
      <c r="U832" t="s">
        <v>2475</v>
      </c>
      <c r="V832" t="s">
        <v>3424</v>
      </c>
      <c r="W832" t="s">
        <v>2488</v>
      </c>
      <c r="X832" t="s">
        <v>19</v>
      </c>
    </row>
    <row r="833" spans="21:24" x14ac:dyDescent="0.45">
      <c r="U833" t="s">
        <v>2475</v>
      </c>
      <c r="V833" t="s">
        <v>3424</v>
      </c>
      <c r="W833" t="s">
        <v>2488</v>
      </c>
      <c r="X833" t="s">
        <v>17</v>
      </c>
    </row>
    <row r="834" spans="21:24" x14ac:dyDescent="0.45">
      <c r="U834" t="s">
        <v>2475</v>
      </c>
      <c r="V834" t="s">
        <v>3425</v>
      </c>
      <c r="W834" t="s">
        <v>2492</v>
      </c>
      <c r="X834" t="s">
        <v>19</v>
      </c>
    </row>
    <row r="835" spans="21:24" x14ac:dyDescent="0.45">
      <c r="U835" t="s">
        <v>2475</v>
      </c>
      <c r="V835" t="s">
        <v>3425</v>
      </c>
      <c r="W835" t="s">
        <v>2492</v>
      </c>
      <c r="X835" t="s">
        <v>17</v>
      </c>
    </row>
    <row r="836" spans="21:24" x14ac:dyDescent="0.45">
      <c r="U836" t="s">
        <v>2475</v>
      </c>
      <c r="V836" t="s">
        <v>3426</v>
      </c>
      <c r="W836" t="s">
        <v>2492</v>
      </c>
      <c r="X836" t="s">
        <v>19</v>
      </c>
    </row>
    <row r="837" spans="21:24" x14ac:dyDescent="0.45">
      <c r="U837" t="s">
        <v>2475</v>
      </c>
      <c r="V837" t="s">
        <v>3426</v>
      </c>
      <c r="W837" t="s">
        <v>2492</v>
      </c>
      <c r="X837" t="s">
        <v>17</v>
      </c>
    </row>
    <row r="838" spans="21:24" x14ac:dyDescent="0.45">
      <c r="U838" t="s">
        <v>2475</v>
      </c>
      <c r="V838" t="s">
        <v>3427</v>
      </c>
      <c r="W838" t="s">
        <v>2496</v>
      </c>
      <c r="X838" t="s">
        <v>19</v>
      </c>
    </row>
    <row r="839" spans="21:24" x14ac:dyDescent="0.45">
      <c r="U839" t="s">
        <v>2475</v>
      </c>
      <c r="V839" t="s">
        <v>3427</v>
      </c>
      <c r="W839" t="s">
        <v>2496</v>
      </c>
      <c r="X839" t="s">
        <v>17</v>
      </c>
    </row>
    <row r="840" spans="21:24" x14ac:dyDescent="0.45">
      <c r="U840" t="s">
        <v>2475</v>
      </c>
      <c r="V840" t="s">
        <v>3428</v>
      </c>
      <c r="W840" t="s">
        <v>2496</v>
      </c>
      <c r="X840" t="s">
        <v>19</v>
      </c>
    </row>
    <row r="841" spans="21:24" x14ac:dyDescent="0.45">
      <c r="U841" t="s">
        <v>2475</v>
      </c>
      <c r="V841" t="s">
        <v>3428</v>
      </c>
      <c r="W841" t="s">
        <v>2496</v>
      </c>
      <c r="X841" t="s">
        <v>17</v>
      </c>
    </row>
    <row r="842" spans="21:24" x14ac:dyDescent="0.45">
      <c r="U842" t="s">
        <v>2475</v>
      </c>
      <c r="V842" t="s">
        <v>3429</v>
      </c>
      <c r="W842" t="s">
        <v>2500</v>
      </c>
      <c r="X842" t="s">
        <v>19</v>
      </c>
    </row>
    <row r="843" spans="21:24" x14ac:dyDescent="0.45">
      <c r="U843" t="s">
        <v>2475</v>
      </c>
      <c r="V843" t="s">
        <v>3429</v>
      </c>
      <c r="W843" t="s">
        <v>2500</v>
      </c>
      <c r="X843" t="s">
        <v>17</v>
      </c>
    </row>
    <row r="844" spans="21:24" x14ac:dyDescent="0.45">
      <c r="U844" t="s">
        <v>2475</v>
      </c>
      <c r="V844" t="s">
        <v>3430</v>
      </c>
      <c r="W844" t="s">
        <v>2500</v>
      </c>
      <c r="X844" t="s">
        <v>19</v>
      </c>
    </row>
    <row r="845" spans="21:24" x14ac:dyDescent="0.45">
      <c r="U845" t="s">
        <v>2475</v>
      </c>
      <c r="V845" t="s">
        <v>3430</v>
      </c>
      <c r="W845" t="s">
        <v>2500</v>
      </c>
      <c r="X845" t="s">
        <v>17</v>
      </c>
    </row>
    <row r="846" spans="21:24" x14ac:dyDescent="0.45">
      <c r="U846" t="s">
        <v>2475</v>
      </c>
      <c r="V846" t="s">
        <v>3431</v>
      </c>
      <c r="W846" t="s">
        <v>2504</v>
      </c>
      <c r="X846" t="s">
        <v>19</v>
      </c>
    </row>
    <row r="847" spans="21:24" x14ac:dyDescent="0.45">
      <c r="U847" t="s">
        <v>2475</v>
      </c>
      <c r="V847" t="s">
        <v>3431</v>
      </c>
      <c r="W847" t="s">
        <v>2504</v>
      </c>
      <c r="X847" t="s">
        <v>17</v>
      </c>
    </row>
    <row r="848" spans="21:24" x14ac:dyDescent="0.45">
      <c r="U848" t="s">
        <v>2475</v>
      </c>
      <c r="V848" t="s">
        <v>3432</v>
      </c>
      <c r="W848" t="s">
        <v>2504</v>
      </c>
      <c r="X848" t="s">
        <v>19</v>
      </c>
    </row>
    <row r="849" spans="21:24" x14ac:dyDescent="0.45">
      <c r="U849" t="s">
        <v>2475</v>
      </c>
      <c r="V849" t="s">
        <v>3432</v>
      </c>
      <c r="W849" t="s">
        <v>2504</v>
      </c>
      <c r="X849" t="s">
        <v>17</v>
      </c>
    </row>
    <row r="850" spans="21:24" x14ac:dyDescent="0.45">
      <c r="U850" t="s">
        <v>2475</v>
      </c>
      <c r="V850" t="s">
        <v>3433</v>
      </c>
      <c r="W850" t="s">
        <v>2508</v>
      </c>
      <c r="X850" t="s">
        <v>19</v>
      </c>
    </row>
    <row r="851" spans="21:24" x14ac:dyDescent="0.45">
      <c r="U851" t="s">
        <v>2475</v>
      </c>
      <c r="V851" t="s">
        <v>3433</v>
      </c>
      <c r="W851" t="s">
        <v>2508</v>
      </c>
      <c r="X851" t="s">
        <v>17</v>
      </c>
    </row>
    <row r="852" spans="21:24" x14ac:dyDescent="0.45">
      <c r="U852" t="s">
        <v>2475</v>
      </c>
      <c r="V852" t="s">
        <v>3434</v>
      </c>
      <c r="W852" t="s">
        <v>2508</v>
      </c>
      <c r="X852" t="s">
        <v>19</v>
      </c>
    </row>
    <row r="853" spans="21:24" x14ac:dyDescent="0.45">
      <c r="U853" t="s">
        <v>2475</v>
      </c>
      <c r="V853" t="s">
        <v>3434</v>
      </c>
      <c r="W853" t="s">
        <v>2508</v>
      </c>
      <c r="X853" t="s">
        <v>17</v>
      </c>
    </row>
    <row r="854" spans="21:24" x14ac:dyDescent="0.45">
      <c r="U854" t="s">
        <v>2475</v>
      </c>
      <c r="V854" t="s">
        <v>3435</v>
      </c>
      <c r="W854" t="s">
        <v>2512</v>
      </c>
      <c r="X854" t="s">
        <v>19</v>
      </c>
    </row>
    <row r="855" spans="21:24" x14ac:dyDescent="0.45">
      <c r="U855" t="s">
        <v>2475</v>
      </c>
      <c r="V855" t="s">
        <v>3435</v>
      </c>
      <c r="W855" t="s">
        <v>2512</v>
      </c>
      <c r="X855" t="s">
        <v>17</v>
      </c>
    </row>
    <row r="856" spans="21:24" x14ac:dyDescent="0.45">
      <c r="U856" t="s">
        <v>2475</v>
      </c>
      <c r="V856" t="s">
        <v>3436</v>
      </c>
      <c r="W856" t="s">
        <v>2512</v>
      </c>
      <c r="X856" t="s">
        <v>19</v>
      </c>
    </row>
    <row r="857" spans="21:24" x14ac:dyDescent="0.45">
      <c r="U857" t="s">
        <v>2475</v>
      </c>
      <c r="V857" t="s">
        <v>3436</v>
      </c>
      <c r="W857" t="s">
        <v>2512</v>
      </c>
      <c r="X857" t="s">
        <v>17</v>
      </c>
    </row>
    <row r="858" spans="21:24" x14ac:dyDescent="0.45">
      <c r="U858" t="s">
        <v>2475</v>
      </c>
      <c r="V858" t="s">
        <v>3437</v>
      </c>
      <c r="W858" t="s">
        <v>2516</v>
      </c>
      <c r="X858" t="s">
        <v>19</v>
      </c>
    </row>
    <row r="859" spans="21:24" x14ac:dyDescent="0.45">
      <c r="U859" t="s">
        <v>2475</v>
      </c>
      <c r="V859" t="s">
        <v>3437</v>
      </c>
      <c r="W859" t="s">
        <v>2516</v>
      </c>
      <c r="X859" t="s">
        <v>17</v>
      </c>
    </row>
    <row r="860" spans="21:24" x14ac:dyDescent="0.45">
      <c r="U860" t="s">
        <v>2475</v>
      </c>
      <c r="V860" t="s">
        <v>3438</v>
      </c>
      <c r="W860" t="s">
        <v>2516</v>
      </c>
      <c r="X860" t="s">
        <v>19</v>
      </c>
    </row>
    <row r="861" spans="21:24" x14ac:dyDescent="0.45">
      <c r="U861" t="s">
        <v>2475</v>
      </c>
      <c r="V861" t="s">
        <v>3438</v>
      </c>
      <c r="W861" t="s">
        <v>2516</v>
      </c>
      <c r="X861" t="s">
        <v>17</v>
      </c>
    </row>
    <row r="862" spans="21:24" x14ac:dyDescent="0.45">
      <c r="U862" t="s">
        <v>2475</v>
      </c>
      <c r="V862" t="s">
        <v>3439</v>
      </c>
      <c r="W862" t="s">
        <v>2520</v>
      </c>
      <c r="X862" t="s">
        <v>19</v>
      </c>
    </row>
    <row r="863" spans="21:24" x14ac:dyDescent="0.45">
      <c r="U863" t="s">
        <v>2475</v>
      </c>
      <c r="V863" t="s">
        <v>3439</v>
      </c>
      <c r="W863" t="s">
        <v>2520</v>
      </c>
      <c r="X863" t="s">
        <v>17</v>
      </c>
    </row>
    <row r="864" spans="21:24" x14ac:dyDescent="0.45">
      <c r="U864" t="s">
        <v>2475</v>
      </c>
      <c r="V864" t="s">
        <v>3440</v>
      </c>
      <c r="W864" t="s">
        <v>2520</v>
      </c>
      <c r="X864" t="s">
        <v>19</v>
      </c>
    </row>
    <row r="865" spans="21:24" x14ac:dyDescent="0.45">
      <c r="U865" t="s">
        <v>2475</v>
      </c>
      <c r="V865" t="s">
        <v>3440</v>
      </c>
      <c r="W865" t="s">
        <v>2520</v>
      </c>
      <c r="X865" t="s">
        <v>17</v>
      </c>
    </row>
    <row r="866" spans="21:24" x14ac:dyDescent="0.45">
      <c r="U866" t="s">
        <v>2475</v>
      </c>
      <c r="V866" t="s">
        <v>3441</v>
      </c>
      <c r="W866" t="s">
        <v>2524</v>
      </c>
      <c r="X866" t="s">
        <v>19</v>
      </c>
    </row>
    <row r="867" spans="21:24" x14ac:dyDescent="0.45">
      <c r="U867" t="s">
        <v>2475</v>
      </c>
      <c r="V867" t="s">
        <v>3441</v>
      </c>
      <c r="W867" t="s">
        <v>2524</v>
      </c>
      <c r="X867" t="s">
        <v>17</v>
      </c>
    </row>
    <row r="868" spans="21:24" x14ac:dyDescent="0.45">
      <c r="U868" t="s">
        <v>2475</v>
      </c>
      <c r="V868" t="s">
        <v>3442</v>
      </c>
      <c r="W868" t="s">
        <v>2524</v>
      </c>
      <c r="X868" t="s">
        <v>19</v>
      </c>
    </row>
    <row r="869" spans="21:24" x14ac:dyDescent="0.45">
      <c r="U869" t="s">
        <v>2475</v>
      </c>
      <c r="V869" t="s">
        <v>3442</v>
      </c>
      <c r="W869" t="s">
        <v>2524</v>
      </c>
      <c r="X869" t="s">
        <v>17</v>
      </c>
    </row>
    <row r="870" spans="21:24" x14ac:dyDescent="0.45">
      <c r="U870" t="s">
        <v>2475</v>
      </c>
      <c r="V870" t="s">
        <v>3443</v>
      </c>
      <c r="W870" t="s">
        <v>2528</v>
      </c>
      <c r="X870" t="s">
        <v>19</v>
      </c>
    </row>
    <row r="871" spans="21:24" x14ac:dyDescent="0.45">
      <c r="U871" t="s">
        <v>2475</v>
      </c>
      <c r="V871" t="s">
        <v>3443</v>
      </c>
      <c r="W871" t="s">
        <v>2528</v>
      </c>
      <c r="X871" t="s">
        <v>17</v>
      </c>
    </row>
    <row r="872" spans="21:24" x14ac:dyDescent="0.45">
      <c r="U872" t="s">
        <v>2475</v>
      </c>
      <c r="V872" t="s">
        <v>3444</v>
      </c>
      <c r="W872" t="s">
        <v>2528</v>
      </c>
      <c r="X872" t="s">
        <v>19</v>
      </c>
    </row>
    <row r="873" spans="21:24" x14ac:dyDescent="0.45">
      <c r="U873" t="s">
        <v>2475</v>
      </c>
      <c r="V873" t="s">
        <v>3444</v>
      </c>
      <c r="W873" t="s">
        <v>2528</v>
      </c>
      <c r="X873" t="s">
        <v>17</v>
      </c>
    </row>
    <row r="874" spans="21:24" x14ac:dyDescent="0.45">
      <c r="U874" t="s">
        <v>2475</v>
      </c>
      <c r="V874" t="s">
        <v>3445</v>
      </c>
      <c r="W874" t="s">
        <v>2531</v>
      </c>
      <c r="X874" t="s">
        <v>19</v>
      </c>
    </row>
    <row r="875" spans="21:24" x14ac:dyDescent="0.45">
      <c r="U875" t="s">
        <v>2475</v>
      </c>
      <c r="V875" t="s">
        <v>3445</v>
      </c>
      <c r="W875" t="s">
        <v>2531</v>
      </c>
      <c r="X875" t="s">
        <v>17</v>
      </c>
    </row>
    <row r="876" spans="21:24" x14ac:dyDescent="0.45">
      <c r="U876" t="s">
        <v>2475</v>
      </c>
      <c r="V876" t="s">
        <v>3446</v>
      </c>
      <c r="W876" t="s">
        <v>2531</v>
      </c>
      <c r="X876" t="s">
        <v>19</v>
      </c>
    </row>
    <row r="877" spans="21:24" x14ac:dyDescent="0.45">
      <c r="U877" t="s">
        <v>2475</v>
      </c>
      <c r="V877" t="s">
        <v>3446</v>
      </c>
      <c r="W877" t="s">
        <v>2531</v>
      </c>
      <c r="X877" t="s">
        <v>17</v>
      </c>
    </row>
    <row r="878" spans="21:24" x14ac:dyDescent="0.45">
      <c r="U878" t="s">
        <v>2475</v>
      </c>
      <c r="V878" t="s">
        <v>3447</v>
      </c>
      <c r="W878" t="s">
        <v>2535</v>
      </c>
      <c r="X878" t="s">
        <v>19</v>
      </c>
    </row>
    <row r="879" spans="21:24" x14ac:dyDescent="0.45">
      <c r="U879" t="s">
        <v>2475</v>
      </c>
      <c r="V879" t="s">
        <v>3447</v>
      </c>
      <c r="W879" t="s">
        <v>2535</v>
      </c>
      <c r="X879" t="s">
        <v>17</v>
      </c>
    </row>
    <row r="880" spans="21:24" x14ac:dyDescent="0.45">
      <c r="U880" t="s">
        <v>2475</v>
      </c>
      <c r="V880" t="s">
        <v>3448</v>
      </c>
      <c r="W880" t="s">
        <v>2535</v>
      </c>
      <c r="X880" t="s">
        <v>19</v>
      </c>
    </row>
    <row r="881" spans="21:24" x14ac:dyDescent="0.45">
      <c r="U881" t="s">
        <v>2475</v>
      </c>
      <c r="V881" t="s">
        <v>3448</v>
      </c>
      <c r="W881" t="s">
        <v>2535</v>
      </c>
      <c r="X881" t="s">
        <v>17</v>
      </c>
    </row>
    <row r="882" spans="21:24" x14ac:dyDescent="0.45">
      <c r="U882" t="s">
        <v>2475</v>
      </c>
      <c r="V882" t="s">
        <v>3449</v>
      </c>
      <c r="W882" t="s">
        <v>2538</v>
      </c>
      <c r="X882" t="s">
        <v>19</v>
      </c>
    </row>
    <row r="883" spans="21:24" x14ac:dyDescent="0.45">
      <c r="U883" t="s">
        <v>2475</v>
      </c>
      <c r="V883" t="s">
        <v>3449</v>
      </c>
      <c r="W883" t="s">
        <v>2538</v>
      </c>
      <c r="X883" t="s">
        <v>17</v>
      </c>
    </row>
    <row r="884" spans="21:24" x14ac:dyDescent="0.45">
      <c r="U884" t="s">
        <v>2475</v>
      </c>
      <c r="V884" t="s">
        <v>3450</v>
      </c>
      <c r="W884" t="s">
        <v>2538</v>
      </c>
      <c r="X884" t="s">
        <v>19</v>
      </c>
    </row>
    <row r="885" spans="21:24" x14ac:dyDescent="0.45">
      <c r="U885" t="s">
        <v>2475</v>
      </c>
      <c r="V885" t="s">
        <v>3450</v>
      </c>
      <c r="W885" t="s">
        <v>2538</v>
      </c>
      <c r="X885" t="s">
        <v>17</v>
      </c>
    </row>
    <row r="886" spans="21:24" x14ac:dyDescent="0.45">
      <c r="U886" t="s">
        <v>2475</v>
      </c>
      <c r="V886" t="s">
        <v>3451</v>
      </c>
      <c r="W886" t="s">
        <v>2542</v>
      </c>
      <c r="X886" t="s">
        <v>19</v>
      </c>
    </row>
    <row r="887" spans="21:24" x14ac:dyDescent="0.45">
      <c r="U887" t="s">
        <v>2475</v>
      </c>
      <c r="V887" t="s">
        <v>3451</v>
      </c>
      <c r="W887" t="s">
        <v>2542</v>
      </c>
      <c r="X887" t="s">
        <v>17</v>
      </c>
    </row>
    <row r="888" spans="21:24" x14ac:dyDescent="0.45">
      <c r="U888" t="s">
        <v>2475</v>
      </c>
      <c r="V888" t="s">
        <v>3452</v>
      </c>
      <c r="W888" t="s">
        <v>2542</v>
      </c>
      <c r="X888" t="s">
        <v>19</v>
      </c>
    </row>
    <row r="889" spans="21:24" x14ac:dyDescent="0.45">
      <c r="U889" t="s">
        <v>2475</v>
      </c>
      <c r="V889" t="s">
        <v>3452</v>
      </c>
      <c r="W889" t="s">
        <v>2542</v>
      </c>
      <c r="X889" t="s">
        <v>17</v>
      </c>
    </row>
    <row r="890" spans="21:24" x14ac:dyDescent="0.45">
      <c r="U890" t="s">
        <v>2475</v>
      </c>
      <c r="V890" t="s">
        <v>3453</v>
      </c>
      <c r="W890" t="s">
        <v>2546</v>
      </c>
      <c r="X890" t="s">
        <v>19</v>
      </c>
    </row>
    <row r="891" spans="21:24" x14ac:dyDescent="0.45">
      <c r="U891" t="s">
        <v>2475</v>
      </c>
      <c r="V891" t="s">
        <v>3453</v>
      </c>
      <c r="W891" t="s">
        <v>2546</v>
      </c>
      <c r="X891" t="s">
        <v>17</v>
      </c>
    </row>
    <row r="892" spans="21:24" x14ac:dyDescent="0.45">
      <c r="U892" t="s">
        <v>2475</v>
      </c>
      <c r="V892" t="s">
        <v>3454</v>
      </c>
      <c r="W892" t="s">
        <v>2546</v>
      </c>
      <c r="X892" t="s">
        <v>19</v>
      </c>
    </row>
    <row r="893" spans="21:24" x14ac:dyDescent="0.45">
      <c r="U893" t="s">
        <v>2475</v>
      </c>
      <c r="V893" t="s">
        <v>3454</v>
      </c>
      <c r="W893" t="s">
        <v>2546</v>
      </c>
      <c r="X893" t="s">
        <v>17</v>
      </c>
    </row>
    <row r="894" spans="21:24" x14ac:dyDescent="0.45">
      <c r="U894" t="s">
        <v>2475</v>
      </c>
      <c r="V894" t="s">
        <v>3455</v>
      </c>
      <c r="W894" t="s">
        <v>2550</v>
      </c>
      <c r="X894" t="s">
        <v>19</v>
      </c>
    </row>
    <row r="895" spans="21:24" x14ac:dyDescent="0.45">
      <c r="U895" t="s">
        <v>2475</v>
      </c>
      <c r="V895" t="s">
        <v>3455</v>
      </c>
      <c r="W895" t="s">
        <v>2550</v>
      </c>
      <c r="X895" t="s">
        <v>17</v>
      </c>
    </row>
    <row r="896" spans="21:24" x14ac:dyDescent="0.45">
      <c r="U896" t="s">
        <v>2475</v>
      </c>
      <c r="V896" t="s">
        <v>3456</v>
      </c>
      <c r="W896" t="s">
        <v>2550</v>
      </c>
      <c r="X896" t="s">
        <v>19</v>
      </c>
    </row>
    <row r="897" spans="21:24" x14ac:dyDescent="0.45">
      <c r="U897" t="s">
        <v>2475</v>
      </c>
      <c r="V897" t="s">
        <v>3456</v>
      </c>
      <c r="W897" t="s">
        <v>2550</v>
      </c>
      <c r="X897" t="s">
        <v>17</v>
      </c>
    </row>
    <row r="898" spans="21:24" x14ac:dyDescent="0.45">
      <c r="U898" t="s">
        <v>2475</v>
      </c>
      <c r="V898" t="s">
        <v>3457</v>
      </c>
      <c r="W898" t="s">
        <v>2553</v>
      </c>
      <c r="X898" t="s">
        <v>19</v>
      </c>
    </row>
    <row r="899" spans="21:24" x14ac:dyDescent="0.45">
      <c r="U899" t="s">
        <v>2475</v>
      </c>
      <c r="V899" t="s">
        <v>3457</v>
      </c>
      <c r="W899" t="s">
        <v>2553</v>
      </c>
      <c r="X899" t="s">
        <v>17</v>
      </c>
    </row>
    <row r="900" spans="21:24" x14ac:dyDescent="0.45">
      <c r="U900" t="s">
        <v>2475</v>
      </c>
      <c r="V900" t="s">
        <v>3458</v>
      </c>
      <c r="W900" t="s">
        <v>2553</v>
      </c>
      <c r="X900" t="s">
        <v>19</v>
      </c>
    </row>
    <row r="901" spans="21:24" x14ac:dyDescent="0.45">
      <c r="U901" t="s">
        <v>2475</v>
      </c>
      <c r="V901" t="s">
        <v>3458</v>
      </c>
      <c r="W901" t="s">
        <v>2553</v>
      </c>
      <c r="X901" t="s">
        <v>17</v>
      </c>
    </row>
    <row r="902" spans="21:24" x14ac:dyDescent="0.45">
      <c r="U902" t="s">
        <v>2475</v>
      </c>
      <c r="V902" t="s">
        <v>3459</v>
      </c>
      <c r="W902" t="s">
        <v>2557</v>
      </c>
      <c r="X902" t="s">
        <v>19</v>
      </c>
    </row>
    <row r="903" spans="21:24" x14ac:dyDescent="0.45">
      <c r="U903" t="s">
        <v>2475</v>
      </c>
      <c r="V903" t="s">
        <v>3459</v>
      </c>
      <c r="W903" t="s">
        <v>2557</v>
      </c>
      <c r="X903" t="s">
        <v>17</v>
      </c>
    </row>
    <row r="904" spans="21:24" x14ac:dyDescent="0.45">
      <c r="U904" t="s">
        <v>2475</v>
      </c>
      <c r="V904" t="s">
        <v>3460</v>
      </c>
      <c r="W904" t="s">
        <v>2557</v>
      </c>
      <c r="X904" t="s">
        <v>19</v>
      </c>
    </row>
    <row r="905" spans="21:24" x14ac:dyDescent="0.45">
      <c r="U905" t="s">
        <v>2475</v>
      </c>
      <c r="V905" t="s">
        <v>3460</v>
      </c>
      <c r="W905" t="s">
        <v>2557</v>
      </c>
      <c r="X905" t="s">
        <v>17</v>
      </c>
    </row>
    <row r="906" spans="21:24" x14ac:dyDescent="0.45">
      <c r="U906" t="s">
        <v>2475</v>
      </c>
      <c r="V906" t="s">
        <v>3461</v>
      </c>
      <c r="W906" t="s">
        <v>2560</v>
      </c>
      <c r="X906" t="s">
        <v>19</v>
      </c>
    </row>
    <row r="907" spans="21:24" x14ac:dyDescent="0.45">
      <c r="U907" t="s">
        <v>2475</v>
      </c>
      <c r="V907" t="s">
        <v>3461</v>
      </c>
      <c r="W907" t="s">
        <v>2560</v>
      </c>
      <c r="X907" t="s">
        <v>17</v>
      </c>
    </row>
    <row r="908" spans="21:24" x14ac:dyDescent="0.45">
      <c r="U908" t="s">
        <v>2475</v>
      </c>
      <c r="V908" t="s">
        <v>3462</v>
      </c>
      <c r="W908" t="s">
        <v>2560</v>
      </c>
      <c r="X908" t="s">
        <v>19</v>
      </c>
    </row>
    <row r="909" spans="21:24" x14ac:dyDescent="0.45">
      <c r="U909" t="s">
        <v>2475</v>
      </c>
      <c r="V909" t="s">
        <v>3462</v>
      </c>
      <c r="W909" t="s">
        <v>2560</v>
      </c>
      <c r="X909" t="s">
        <v>17</v>
      </c>
    </row>
    <row r="910" spans="21:24" x14ac:dyDescent="0.45">
      <c r="U910" t="s">
        <v>2475</v>
      </c>
      <c r="V910" t="s">
        <v>3463</v>
      </c>
      <c r="W910" t="s">
        <v>2564</v>
      </c>
      <c r="X910" t="s">
        <v>19</v>
      </c>
    </row>
    <row r="911" spans="21:24" x14ac:dyDescent="0.45">
      <c r="U911" t="s">
        <v>2475</v>
      </c>
      <c r="V911" t="s">
        <v>3463</v>
      </c>
      <c r="W911" t="s">
        <v>2564</v>
      </c>
      <c r="X911" t="s">
        <v>17</v>
      </c>
    </row>
    <row r="912" spans="21:24" x14ac:dyDescent="0.45">
      <c r="U912" t="s">
        <v>2475</v>
      </c>
      <c r="V912" t="s">
        <v>3464</v>
      </c>
      <c r="W912" t="s">
        <v>2564</v>
      </c>
      <c r="X912" t="s">
        <v>19</v>
      </c>
    </row>
    <row r="913" spans="21:24" x14ac:dyDescent="0.45">
      <c r="U913" t="s">
        <v>2475</v>
      </c>
      <c r="V913" t="s">
        <v>3464</v>
      </c>
      <c r="W913" t="s">
        <v>2564</v>
      </c>
      <c r="X913" t="s">
        <v>17</v>
      </c>
    </row>
    <row r="914" spans="21:24" x14ac:dyDescent="0.45">
      <c r="U914" t="s">
        <v>2475</v>
      </c>
      <c r="V914" t="s">
        <v>3465</v>
      </c>
      <c r="W914" t="s">
        <v>2568</v>
      </c>
      <c r="X914" t="s">
        <v>19</v>
      </c>
    </row>
    <row r="915" spans="21:24" x14ac:dyDescent="0.45">
      <c r="U915" t="s">
        <v>2475</v>
      </c>
      <c r="V915" t="s">
        <v>3465</v>
      </c>
      <c r="W915" t="s">
        <v>2568</v>
      </c>
      <c r="X915" t="s">
        <v>17</v>
      </c>
    </row>
    <row r="916" spans="21:24" x14ac:dyDescent="0.45">
      <c r="U916" t="s">
        <v>2475</v>
      </c>
      <c r="V916" t="s">
        <v>3466</v>
      </c>
      <c r="W916" t="s">
        <v>2568</v>
      </c>
      <c r="X916" t="s">
        <v>19</v>
      </c>
    </row>
    <row r="917" spans="21:24" x14ac:dyDescent="0.45">
      <c r="U917" t="s">
        <v>2475</v>
      </c>
      <c r="V917" t="s">
        <v>3466</v>
      </c>
      <c r="W917" t="s">
        <v>2568</v>
      </c>
      <c r="X917" t="s">
        <v>17</v>
      </c>
    </row>
    <row r="918" spans="21:24" x14ac:dyDescent="0.45">
      <c r="U918" t="s">
        <v>2475</v>
      </c>
      <c r="V918" t="s">
        <v>3467</v>
      </c>
      <c r="W918" t="s">
        <v>2572</v>
      </c>
      <c r="X918" t="s">
        <v>19</v>
      </c>
    </row>
    <row r="919" spans="21:24" x14ac:dyDescent="0.45">
      <c r="U919" t="s">
        <v>2475</v>
      </c>
      <c r="V919" t="s">
        <v>3467</v>
      </c>
      <c r="W919" t="s">
        <v>2572</v>
      </c>
      <c r="X919" t="s">
        <v>17</v>
      </c>
    </row>
    <row r="920" spans="21:24" x14ac:dyDescent="0.45">
      <c r="U920" t="s">
        <v>2475</v>
      </c>
      <c r="V920" t="s">
        <v>3468</v>
      </c>
      <c r="W920" t="s">
        <v>2572</v>
      </c>
      <c r="X920" t="s">
        <v>19</v>
      </c>
    </row>
    <row r="921" spans="21:24" x14ac:dyDescent="0.45">
      <c r="U921" t="s">
        <v>2475</v>
      </c>
      <c r="V921" t="s">
        <v>3468</v>
      </c>
      <c r="W921" t="s">
        <v>2572</v>
      </c>
      <c r="X921" t="s">
        <v>17</v>
      </c>
    </row>
    <row r="922" spans="21:24" x14ac:dyDescent="0.45">
      <c r="U922" t="s">
        <v>2475</v>
      </c>
      <c r="V922" t="s">
        <v>3469</v>
      </c>
      <c r="W922" t="s">
        <v>2576</v>
      </c>
      <c r="X922" t="s">
        <v>19</v>
      </c>
    </row>
    <row r="923" spans="21:24" x14ac:dyDescent="0.45">
      <c r="U923" t="s">
        <v>2475</v>
      </c>
      <c r="V923" t="s">
        <v>3469</v>
      </c>
      <c r="W923" t="s">
        <v>2576</v>
      </c>
      <c r="X923" t="s">
        <v>17</v>
      </c>
    </row>
    <row r="924" spans="21:24" x14ac:dyDescent="0.45">
      <c r="U924" t="s">
        <v>2475</v>
      </c>
      <c r="V924" t="s">
        <v>3470</v>
      </c>
      <c r="W924" t="s">
        <v>2576</v>
      </c>
      <c r="X924" t="s">
        <v>19</v>
      </c>
    </row>
    <row r="925" spans="21:24" x14ac:dyDescent="0.45">
      <c r="U925" t="s">
        <v>2475</v>
      </c>
      <c r="V925" t="s">
        <v>3470</v>
      </c>
      <c r="W925" t="s">
        <v>2576</v>
      </c>
      <c r="X925" t="s">
        <v>17</v>
      </c>
    </row>
    <row r="926" spans="21:24" x14ac:dyDescent="0.45">
      <c r="U926" t="s">
        <v>2475</v>
      </c>
      <c r="V926" t="s">
        <v>3471</v>
      </c>
      <c r="W926" t="s">
        <v>2580</v>
      </c>
      <c r="X926" t="s">
        <v>19</v>
      </c>
    </row>
    <row r="927" spans="21:24" x14ac:dyDescent="0.45">
      <c r="U927" t="s">
        <v>2475</v>
      </c>
      <c r="V927" t="s">
        <v>3471</v>
      </c>
      <c r="W927" t="s">
        <v>2580</v>
      </c>
      <c r="X927" t="s">
        <v>17</v>
      </c>
    </row>
    <row r="928" spans="21:24" x14ac:dyDescent="0.45">
      <c r="U928" t="s">
        <v>2475</v>
      </c>
      <c r="V928" t="s">
        <v>3472</v>
      </c>
      <c r="W928" t="s">
        <v>2580</v>
      </c>
      <c r="X928" t="s">
        <v>19</v>
      </c>
    </row>
    <row r="929" spans="21:24" x14ac:dyDescent="0.45">
      <c r="U929" t="s">
        <v>2475</v>
      </c>
      <c r="V929" t="s">
        <v>3472</v>
      </c>
      <c r="W929" t="s">
        <v>2580</v>
      </c>
      <c r="X929" t="s">
        <v>17</v>
      </c>
    </row>
    <row r="930" spans="21:24" x14ac:dyDescent="0.45">
      <c r="U930" t="s">
        <v>2475</v>
      </c>
      <c r="V930" t="s">
        <v>3473</v>
      </c>
      <c r="W930" t="s">
        <v>2584</v>
      </c>
      <c r="X930" t="s">
        <v>19</v>
      </c>
    </row>
    <row r="931" spans="21:24" x14ac:dyDescent="0.45">
      <c r="U931" t="s">
        <v>2475</v>
      </c>
      <c r="V931" t="s">
        <v>3473</v>
      </c>
      <c r="W931" t="s">
        <v>2584</v>
      </c>
      <c r="X931" t="s">
        <v>17</v>
      </c>
    </row>
    <row r="932" spans="21:24" x14ac:dyDescent="0.45">
      <c r="U932" t="s">
        <v>2475</v>
      </c>
      <c r="V932" t="s">
        <v>3474</v>
      </c>
      <c r="W932" t="s">
        <v>2584</v>
      </c>
      <c r="X932" t="s">
        <v>19</v>
      </c>
    </row>
    <row r="933" spans="21:24" x14ac:dyDescent="0.45">
      <c r="U933" t="s">
        <v>2475</v>
      </c>
      <c r="V933" t="s">
        <v>3474</v>
      </c>
      <c r="W933" t="s">
        <v>2584</v>
      </c>
      <c r="X933" t="s">
        <v>17</v>
      </c>
    </row>
    <row r="934" spans="21:24" x14ac:dyDescent="0.45">
      <c r="U934" t="s">
        <v>2475</v>
      </c>
      <c r="V934" t="s">
        <v>3475</v>
      </c>
      <c r="W934" t="s">
        <v>2588</v>
      </c>
      <c r="X934" t="s">
        <v>19</v>
      </c>
    </row>
    <row r="935" spans="21:24" x14ac:dyDescent="0.45">
      <c r="U935" t="s">
        <v>2475</v>
      </c>
      <c r="V935" t="s">
        <v>3475</v>
      </c>
      <c r="W935" t="s">
        <v>2588</v>
      </c>
      <c r="X935" t="s">
        <v>17</v>
      </c>
    </row>
    <row r="936" spans="21:24" x14ac:dyDescent="0.45">
      <c r="U936" t="s">
        <v>2475</v>
      </c>
      <c r="V936" t="s">
        <v>3476</v>
      </c>
      <c r="W936" t="s">
        <v>2588</v>
      </c>
      <c r="X936" t="s">
        <v>19</v>
      </c>
    </row>
    <row r="937" spans="21:24" x14ac:dyDescent="0.45">
      <c r="U937" t="s">
        <v>2475</v>
      </c>
      <c r="V937" t="s">
        <v>3476</v>
      </c>
      <c r="W937" t="s">
        <v>2588</v>
      </c>
      <c r="X937" t="s">
        <v>17</v>
      </c>
    </row>
    <row r="938" spans="21:24" x14ac:dyDescent="0.45">
      <c r="U938" t="s">
        <v>2475</v>
      </c>
      <c r="V938" t="s">
        <v>3477</v>
      </c>
      <c r="W938" t="s">
        <v>2592</v>
      </c>
      <c r="X938" t="s">
        <v>19</v>
      </c>
    </row>
    <row r="939" spans="21:24" x14ac:dyDescent="0.45">
      <c r="U939" t="s">
        <v>2475</v>
      </c>
      <c r="V939" t="s">
        <v>3477</v>
      </c>
      <c r="W939" t="s">
        <v>2592</v>
      </c>
      <c r="X939" t="s">
        <v>17</v>
      </c>
    </row>
    <row r="940" spans="21:24" x14ac:dyDescent="0.45">
      <c r="U940" t="s">
        <v>2475</v>
      </c>
      <c r="V940" t="s">
        <v>3478</v>
      </c>
      <c r="W940" t="s">
        <v>2592</v>
      </c>
      <c r="X940" t="s">
        <v>19</v>
      </c>
    </row>
    <row r="941" spans="21:24" x14ac:dyDescent="0.45">
      <c r="U941" t="s">
        <v>2475</v>
      </c>
      <c r="V941" t="s">
        <v>3478</v>
      </c>
      <c r="W941" t="s">
        <v>2592</v>
      </c>
      <c r="X941" t="s">
        <v>17</v>
      </c>
    </row>
    <row r="942" spans="21:24" x14ac:dyDescent="0.45">
      <c r="U942" t="s">
        <v>2475</v>
      </c>
      <c r="V942" t="s">
        <v>3479</v>
      </c>
      <c r="W942" t="s">
        <v>2596</v>
      </c>
      <c r="X942" t="s">
        <v>19</v>
      </c>
    </row>
    <row r="943" spans="21:24" x14ac:dyDescent="0.45">
      <c r="U943" t="s">
        <v>2475</v>
      </c>
      <c r="V943" t="s">
        <v>3479</v>
      </c>
      <c r="W943" t="s">
        <v>2596</v>
      </c>
      <c r="X943" t="s">
        <v>17</v>
      </c>
    </row>
    <row r="944" spans="21:24" x14ac:dyDescent="0.45">
      <c r="U944" t="s">
        <v>2475</v>
      </c>
      <c r="V944" t="s">
        <v>3480</v>
      </c>
      <c r="W944" t="s">
        <v>2596</v>
      </c>
      <c r="X944" t="s">
        <v>19</v>
      </c>
    </row>
    <row r="945" spans="21:24" x14ac:dyDescent="0.45">
      <c r="U945" t="s">
        <v>2475</v>
      </c>
      <c r="V945" t="s">
        <v>3480</v>
      </c>
      <c r="W945" t="s">
        <v>2596</v>
      </c>
      <c r="X945" t="s">
        <v>17</v>
      </c>
    </row>
    <row r="946" spans="21:24" x14ac:dyDescent="0.45">
      <c r="U946" t="s">
        <v>2475</v>
      </c>
      <c r="V946" t="s">
        <v>3481</v>
      </c>
      <c r="W946" t="s">
        <v>2600</v>
      </c>
      <c r="X946" t="s">
        <v>19</v>
      </c>
    </row>
    <row r="947" spans="21:24" x14ac:dyDescent="0.45">
      <c r="U947" t="s">
        <v>2475</v>
      </c>
      <c r="V947" t="s">
        <v>3481</v>
      </c>
      <c r="W947" t="s">
        <v>2600</v>
      </c>
      <c r="X947" t="s">
        <v>17</v>
      </c>
    </row>
    <row r="948" spans="21:24" x14ac:dyDescent="0.45">
      <c r="U948" t="s">
        <v>2475</v>
      </c>
      <c r="V948" t="s">
        <v>3482</v>
      </c>
      <c r="W948" t="s">
        <v>2600</v>
      </c>
      <c r="X948" t="s">
        <v>19</v>
      </c>
    </row>
    <row r="949" spans="21:24" x14ac:dyDescent="0.45">
      <c r="U949" t="s">
        <v>2475</v>
      </c>
      <c r="V949" t="s">
        <v>3482</v>
      </c>
      <c r="W949" t="s">
        <v>2600</v>
      </c>
      <c r="X949" t="s">
        <v>17</v>
      </c>
    </row>
    <row r="950" spans="21:24" x14ac:dyDescent="0.45">
      <c r="U950" t="s">
        <v>2475</v>
      </c>
      <c r="V950" t="s">
        <v>3483</v>
      </c>
      <c r="W950" t="s">
        <v>2604</v>
      </c>
      <c r="X950" t="s">
        <v>19</v>
      </c>
    </row>
    <row r="951" spans="21:24" x14ac:dyDescent="0.45">
      <c r="U951" t="s">
        <v>2475</v>
      </c>
      <c r="V951" t="s">
        <v>3483</v>
      </c>
      <c r="W951" t="s">
        <v>2604</v>
      </c>
      <c r="X951" t="s">
        <v>17</v>
      </c>
    </row>
    <row r="952" spans="21:24" x14ac:dyDescent="0.45">
      <c r="U952" t="s">
        <v>2475</v>
      </c>
      <c r="V952" t="s">
        <v>3484</v>
      </c>
      <c r="W952" t="s">
        <v>2604</v>
      </c>
      <c r="X952" t="s">
        <v>19</v>
      </c>
    </row>
    <row r="953" spans="21:24" x14ac:dyDescent="0.45">
      <c r="U953" t="s">
        <v>2475</v>
      </c>
      <c r="V953" t="s">
        <v>3484</v>
      </c>
      <c r="W953" t="s">
        <v>2604</v>
      </c>
      <c r="X953" t="s">
        <v>17</v>
      </c>
    </row>
    <row r="954" spans="21:24" x14ac:dyDescent="0.45">
      <c r="U954" t="s">
        <v>2475</v>
      </c>
      <c r="V954" t="s">
        <v>3485</v>
      </c>
      <c r="W954" t="s">
        <v>2608</v>
      </c>
      <c r="X954" t="s">
        <v>19</v>
      </c>
    </row>
    <row r="955" spans="21:24" x14ac:dyDescent="0.45">
      <c r="U955" t="s">
        <v>2475</v>
      </c>
      <c r="V955" t="s">
        <v>3485</v>
      </c>
      <c r="W955" t="s">
        <v>2608</v>
      </c>
      <c r="X955" t="s">
        <v>17</v>
      </c>
    </row>
    <row r="956" spans="21:24" x14ac:dyDescent="0.45">
      <c r="U956" t="s">
        <v>2475</v>
      </c>
      <c r="V956" t="s">
        <v>3486</v>
      </c>
      <c r="W956" t="s">
        <v>2608</v>
      </c>
      <c r="X956" t="s">
        <v>19</v>
      </c>
    </row>
    <row r="957" spans="21:24" x14ac:dyDescent="0.45">
      <c r="U957" t="s">
        <v>2475</v>
      </c>
      <c r="V957" t="s">
        <v>3486</v>
      </c>
      <c r="W957" t="s">
        <v>2608</v>
      </c>
      <c r="X957" t="s">
        <v>17</v>
      </c>
    </row>
    <row r="958" spans="21:24" x14ac:dyDescent="0.45">
      <c r="U958" t="s">
        <v>2475</v>
      </c>
      <c r="V958" t="s">
        <v>3487</v>
      </c>
      <c r="W958" t="s">
        <v>2612</v>
      </c>
      <c r="X958" t="s">
        <v>19</v>
      </c>
    </row>
    <row r="959" spans="21:24" x14ac:dyDescent="0.45">
      <c r="U959" t="s">
        <v>2475</v>
      </c>
      <c r="V959" t="s">
        <v>3487</v>
      </c>
      <c r="W959" t="s">
        <v>2612</v>
      </c>
      <c r="X959" t="s">
        <v>17</v>
      </c>
    </row>
    <row r="960" spans="21:24" x14ac:dyDescent="0.45">
      <c r="U960" t="s">
        <v>2475</v>
      </c>
      <c r="V960" t="s">
        <v>3488</v>
      </c>
      <c r="W960" t="s">
        <v>2612</v>
      </c>
      <c r="X960" t="s">
        <v>19</v>
      </c>
    </row>
    <row r="961" spans="21:24" x14ac:dyDescent="0.45">
      <c r="U961" t="s">
        <v>2475</v>
      </c>
      <c r="V961" t="s">
        <v>3488</v>
      </c>
      <c r="W961" t="s">
        <v>2612</v>
      </c>
      <c r="X961" t="s">
        <v>17</v>
      </c>
    </row>
    <row r="962" spans="21:24" x14ac:dyDescent="0.45">
      <c r="U962" t="s">
        <v>2475</v>
      </c>
      <c r="V962" t="s">
        <v>3489</v>
      </c>
      <c r="W962" t="s">
        <v>2615</v>
      </c>
      <c r="X962" t="s">
        <v>19</v>
      </c>
    </row>
    <row r="963" spans="21:24" x14ac:dyDescent="0.45">
      <c r="U963" t="s">
        <v>2475</v>
      </c>
      <c r="V963" t="s">
        <v>3489</v>
      </c>
      <c r="W963" t="s">
        <v>2615</v>
      </c>
      <c r="X963" t="s">
        <v>17</v>
      </c>
    </row>
    <row r="964" spans="21:24" x14ac:dyDescent="0.45">
      <c r="U964" t="s">
        <v>2475</v>
      </c>
      <c r="V964" t="s">
        <v>3490</v>
      </c>
      <c r="W964" t="s">
        <v>2615</v>
      </c>
      <c r="X964" t="s">
        <v>19</v>
      </c>
    </row>
    <row r="965" spans="21:24" x14ac:dyDescent="0.45">
      <c r="U965" t="s">
        <v>2475</v>
      </c>
      <c r="V965" t="s">
        <v>3490</v>
      </c>
      <c r="W965" t="s">
        <v>2615</v>
      </c>
      <c r="X965" t="s">
        <v>17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D219-FFF0-4D7D-A85A-3431005B0390}">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0.50381981032665957</v>
      </c>
      <c r="H3" s="2">
        <v>0.73415441330484676</v>
      </c>
      <c r="I3" s="2">
        <v>0.50021250858207733</v>
      </c>
      <c r="J3" s="2">
        <v>0.73237638452779408</v>
      </c>
      <c r="O3" t="s">
        <v>973</v>
      </c>
    </row>
    <row r="4" spans="6:31" x14ac:dyDescent="0.45">
      <c r="F4" t="s">
        <v>974</v>
      </c>
      <c r="G4" s="2">
        <v>0.33122002163511466</v>
      </c>
      <c r="H4" s="2">
        <v>0.66759673939817898</v>
      </c>
      <c r="I4" s="2"/>
      <c r="J4" s="2"/>
    </row>
    <row r="5" spans="6:31" x14ac:dyDescent="0.45">
      <c r="F5" t="s">
        <v>975</v>
      </c>
      <c r="G5" s="2">
        <v>0.27433045619158047</v>
      </c>
      <c r="H5" s="2">
        <v>0.51506663034189537</v>
      </c>
      <c r="I5" s="2"/>
      <c r="J5" s="2"/>
    </row>
    <row r="6" spans="6:31" x14ac:dyDescent="0.45">
      <c r="F6" t="s">
        <v>976</v>
      </c>
      <c r="G6" s="2"/>
      <c r="H6" s="2"/>
      <c r="I6" s="2">
        <v>0.1783675799086758</v>
      </c>
      <c r="J6" s="2">
        <v>0.68493150684931503</v>
      </c>
      <c r="N6" t="s">
        <v>977</v>
      </c>
      <c r="Y6" t="s">
        <v>978</v>
      </c>
    </row>
    <row r="7" spans="6:31" x14ac:dyDescent="0.45">
      <c r="F7" t="s">
        <v>979</v>
      </c>
      <c r="G7" s="2">
        <v>0.3582812233874304</v>
      </c>
      <c r="H7" s="2">
        <v>0.53721508456469746</v>
      </c>
      <c r="I7" s="2">
        <v>0.23469904379504919</v>
      </c>
      <c r="J7" s="2">
        <v>0.33171570735303152</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987</v>
      </c>
      <c r="G8" s="2">
        <v>0.60211736520534564</v>
      </c>
      <c r="H8" s="2">
        <v>65535</v>
      </c>
      <c r="I8" s="2">
        <v>0.60221119954094726</v>
      </c>
      <c r="J8" s="2">
        <v>0.97270461129243502</v>
      </c>
      <c r="N8" t="s">
        <v>988</v>
      </c>
      <c r="O8" t="s">
        <v>974</v>
      </c>
      <c r="P8" s="3" t="s">
        <v>989</v>
      </c>
      <c r="Q8" s="4">
        <f>-1/8.76</f>
        <v>-0.11415525114155252</v>
      </c>
      <c r="S8" s="4">
        <f>VLOOKUP(O8,$F$3:$J$11,3,FALSE)</f>
        <v>0.66759673939817898</v>
      </c>
      <c r="T8" s="4">
        <f>MIN(S8*$U$1,0.95)</f>
        <v>0.8011160872778148</v>
      </c>
      <c r="U8">
        <v>0</v>
      </c>
      <c r="V8">
        <v>3</v>
      </c>
      <c r="Y8" t="s">
        <v>990</v>
      </c>
      <c r="Z8" t="s">
        <v>974</v>
      </c>
      <c r="AA8">
        <f>-1/8.76</f>
        <v>-0.11415525114155252</v>
      </c>
      <c r="AB8" s="4">
        <f>VLOOKUP(Z8,$F$3:$J$11,2,FALSE)</f>
        <v>0.33122002163511466</v>
      </c>
      <c r="AC8">
        <f>AB8*$W$1</f>
        <v>6.6244004327022932E-2</v>
      </c>
      <c r="AD8">
        <v>0</v>
      </c>
      <c r="AE8">
        <v>3</v>
      </c>
    </row>
    <row r="9" spans="6:31" x14ac:dyDescent="0.45">
      <c r="F9" t="s">
        <v>991</v>
      </c>
      <c r="G9" s="2">
        <v>0.52268179154643057</v>
      </c>
      <c r="H9" s="2">
        <v>0.94107615987372462</v>
      </c>
      <c r="I9" s="2">
        <v>1.5084711890561592E-2</v>
      </c>
      <c r="J9" s="2">
        <v>2.8419663700646212E-2</v>
      </c>
      <c r="N9" t="s">
        <v>992</v>
      </c>
      <c r="O9" t="s">
        <v>975</v>
      </c>
      <c r="P9" s="3" t="s">
        <v>989</v>
      </c>
      <c r="Q9" s="4">
        <f>-1/8.76</f>
        <v>-0.11415525114155252</v>
      </c>
      <c r="S9" s="4">
        <f>VLOOKUP(O9,$F$3:$J$11,3,FALSE)</f>
        <v>0.51506663034189537</v>
      </c>
      <c r="T9" s="4">
        <f>MIN(S9*$U$1,0.95)</f>
        <v>0.61807995641027447</v>
      </c>
      <c r="U9">
        <v>0</v>
      </c>
      <c r="V9">
        <v>3</v>
      </c>
      <c r="Y9" t="s">
        <v>993</v>
      </c>
      <c r="Z9" t="s">
        <v>975</v>
      </c>
      <c r="AA9">
        <f>-1/8.76</f>
        <v>-0.11415525114155252</v>
      </c>
      <c r="AB9" s="4">
        <f>VLOOKUP(Z9,$F$3:$J$11,2,FALSE)</f>
        <v>0.27433045619158047</v>
      </c>
      <c r="AC9">
        <f>AB9*$W$1</f>
        <v>5.4866091238316095E-2</v>
      </c>
      <c r="AD9">
        <v>0</v>
      </c>
      <c r="AE9">
        <v>3</v>
      </c>
    </row>
    <row r="10" spans="6:31" ht="14.65" customHeight="1" x14ac:dyDescent="0.45">
      <c r="F10" t="s">
        <v>994</v>
      </c>
      <c r="G10" s="2">
        <v>0</v>
      </c>
      <c r="H10" s="2">
        <v>0.11249487896446504</v>
      </c>
      <c r="I10" s="2">
        <v>5.7542407900989689E-2</v>
      </c>
      <c r="J10" s="2">
        <v>0.11452491530550409</v>
      </c>
      <c r="N10" t="s">
        <v>992</v>
      </c>
      <c r="O10" t="s">
        <v>987</v>
      </c>
      <c r="P10" s="3" t="s">
        <v>989</v>
      </c>
      <c r="Q10" s="4">
        <f>-1/8.76</f>
        <v>-0.11415525114155252</v>
      </c>
      <c r="S10" s="4">
        <f>VLOOKUP(O10,$F$3:$J$11,3,FALSE)</f>
        <v>65535</v>
      </c>
      <c r="T10" s="4">
        <f>MIN(S10*$U$1,0.95)</f>
        <v>0.95</v>
      </c>
      <c r="U10">
        <v>0</v>
      </c>
      <c r="V10">
        <v>3</v>
      </c>
      <c r="Y10" t="s">
        <v>995</v>
      </c>
      <c r="Z10" t="s">
        <v>991</v>
      </c>
      <c r="AA10">
        <f>-1/8.76</f>
        <v>-0.11415525114155252</v>
      </c>
      <c r="AB10" s="4">
        <f>VLOOKUP(Z10,$F$3:$J$11,2,FALSE)</f>
        <v>0.52268179154643057</v>
      </c>
      <c r="AC10" s="5">
        <f>AB10*$W$1</f>
        <v>0.10453635830928612</v>
      </c>
      <c r="AD10">
        <v>0</v>
      </c>
      <c r="AE10">
        <v>3</v>
      </c>
    </row>
    <row r="11" spans="6:31" ht="14.65" customHeight="1" x14ac:dyDescent="0.45">
      <c r="F11" t="s">
        <v>1583</v>
      </c>
      <c r="G11" s="2"/>
      <c r="H11" s="2"/>
      <c r="I11" s="2">
        <v>0.12393998695368556</v>
      </c>
      <c r="J11" s="2">
        <v>0.40029835465150038</v>
      </c>
    </row>
    <row r="12" spans="6:31" x14ac:dyDescent="0.45">
      <c r="F12" t="s">
        <v>996</v>
      </c>
      <c r="G12" s="2">
        <v>0.13646444879321595</v>
      </c>
      <c r="H12" s="2">
        <v>0.24246061460306279</v>
      </c>
      <c r="I12" s="2">
        <v>0.13634993213800239</v>
      </c>
      <c r="J12" s="2">
        <v>0.21985176055114744</v>
      </c>
    </row>
    <row r="15" spans="6:31" x14ac:dyDescent="0.45">
      <c r="X15" s="6">
        <v>2.5</v>
      </c>
      <c r="Y15" s="7" t="s">
        <v>997</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F0B0-55B6-4FFC-B9B9-FC8A4B9359BF}">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2475</v>
      </c>
      <c r="C11">
        <v>15</v>
      </c>
      <c r="D11">
        <v>25</v>
      </c>
      <c r="E11">
        <v>8</v>
      </c>
      <c r="F11">
        <v>15</v>
      </c>
      <c r="G11">
        <v>0.05</v>
      </c>
      <c r="H11">
        <v>0.1</v>
      </c>
      <c r="I11">
        <v>0</v>
      </c>
      <c r="J11">
        <v>0.5</v>
      </c>
    </row>
    <row r="14" spans="2:10" x14ac:dyDescent="0.45">
      <c r="B14" t="s">
        <v>5678</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15</v>
      </c>
      <c r="G20">
        <f>D11</f>
        <v>25</v>
      </c>
      <c r="H20">
        <v>4</v>
      </c>
    </row>
    <row r="21" spans="1:8" x14ac:dyDescent="0.45">
      <c r="A21" t="s">
        <v>1014</v>
      </c>
      <c r="B21" t="str">
        <f t="shared" ref="B21:B23" si="0">"uce_buildrate_"&amp;A21</f>
        <v>uce_buildrate_wind</v>
      </c>
      <c r="C21" t="str">
        <f>A21&amp;"*"</f>
        <v>wind*</v>
      </c>
      <c r="D21" t="s">
        <v>1013</v>
      </c>
      <c r="E21">
        <v>1</v>
      </c>
      <c r="F21">
        <f>E11</f>
        <v>8</v>
      </c>
      <c r="G21">
        <f>F11</f>
        <v>15</v>
      </c>
      <c r="H21">
        <v>4</v>
      </c>
    </row>
    <row r="22" spans="1:8" x14ac:dyDescent="0.45">
      <c r="A22" t="s">
        <v>979</v>
      </c>
      <c r="B22" t="str">
        <f t="shared" si="0"/>
        <v>uce_buildrate_hydro</v>
      </c>
      <c r="C22" t="str">
        <f t="shared" ref="C22:C23" si="1">A22</f>
        <v>hydro</v>
      </c>
      <c r="D22" t="s">
        <v>1013</v>
      </c>
      <c r="E22">
        <v>1</v>
      </c>
      <c r="F22">
        <f>G11</f>
        <v>0.05</v>
      </c>
      <c r="G22">
        <f>H11</f>
        <v>0.1</v>
      </c>
      <c r="H22">
        <v>4</v>
      </c>
    </row>
    <row r="23" spans="1:8" x14ac:dyDescent="0.45">
      <c r="A23" t="s">
        <v>987</v>
      </c>
      <c r="B23" t="str">
        <f t="shared" si="0"/>
        <v>uce_buildrate_nuclear</v>
      </c>
      <c r="C23" t="str">
        <f t="shared" si="1"/>
        <v>nuclear</v>
      </c>
      <c r="D23" t="s">
        <v>1013</v>
      </c>
      <c r="E23">
        <v>1</v>
      </c>
      <c r="F23">
        <f>I11</f>
        <v>0</v>
      </c>
      <c r="G23">
        <f>J11</f>
        <v>0.5</v>
      </c>
      <c r="H23">
        <v>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2463-973E-4F8A-A62A-451CDF53D240}">
  <dimension ref="A1:I59"/>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3491</v>
      </c>
      <c r="C5" t="s">
        <v>3492</v>
      </c>
      <c r="D5">
        <v>1</v>
      </c>
      <c r="E5">
        <v>2</v>
      </c>
      <c r="G5" t="s">
        <v>3491</v>
      </c>
      <c r="H5" t="s">
        <v>3492</v>
      </c>
      <c r="I5">
        <v>-1</v>
      </c>
    </row>
    <row r="6" spans="1:9" x14ac:dyDescent="0.45">
      <c r="A6" t="s">
        <v>1020</v>
      </c>
      <c r="B6" t="s">
        <v>3493</v>
      </c>
      <c r="C6" t="s">
        <v>3494</v>
      </c>
      <c r="D6">
        <v>1</v>
      </c>
      <c r="E6">
        <v>2</v>
      </c>
      <c r="G6" t="s">
        <v>3493</v>
      </c>
      <c r="H6" t="s">
        <v>3494</v>
      </c>
      <c r="I6">
        <v>-1</v>
      </c>
    </row>
    <row r="7" spans="1:9" x14ac:dyDescent="0.45">
      <c r="A7" t="s">
        <v>1020</v>
      </c>
      <c r="B7" t="s">
        <v>3495</v>
      </c>
      <c r="C7" t="s">
        <v>3496</v>
      </c>
      <c r="D7">
        <v>1</v>
      </c>
      <c r="E7">
        <v>2</v>
      </c>
      <c r="G7" t="s">
        <v>3495</v>
      </c>
      <c r="H7" t="s">
        <v>3496</v>
      </c>
      <c r="I7">
        <v>-1</v>
      </c>
    </row>
    <row r="8" spans="1:9" x14ac:dyDescent="0.45">
      <c r="A8" t="s">
        <v>1020</v>
      </c>
      <c r="B8" t="s">
        <v>3497</v>
      </c>
      <c r="C8" t="s">
        <v>3498</v>
      </c>
      <c r="D8">
        <v>1</v>
      </c>
      <c r="E8">
        <v>2</v>
      </c>
      <c r="G8" t="s">
        <v>3497</v>
      </c>
      <c r="H8" t="s">
        <v>3498</v>
      </c>
      <c r="I8">
        <v>-1</v>
      </c>
    </row>
    <row r="9" spans="1:9" x14ac:dyDescent="0.45">
      <c r="A9" t="s">
        <v>1020</v>
      </c>
      <c r="B9" t="s">
        <v>3499</v>
      </c>
      <c r="C9" t="s">
        <v>3500</v>
      </c>
      <c r="D9">
        <v>1</v>
      </c>
      <c r="E9">
        <v>2</v>
      </c>
      <c r="G9" t="s">
        <v>3499</v>
      </c>
      <c r="H9" t="s">
        <v>3500</v>
      </c>
      <c r="I9">
        <v>-1</v>
      </c>
    </row>
    <row r="10" spans="1:9" x14ac:dyDescent="0.45">
      <c r="A10" t="s">
        <v>1020</v>
      </c>
      <c r="B10" t="s">
        <v>3501</v>
      </c>
      <c r="C10" t="s">
        <v>3502</v>
      </c>
      <c r="D10">
        <v>1</v>
      </c>
      <c r="E10">
        <v>2</v>
      </c>
      <c r="G10" t="s">
        <v>3501</v>
      </c>
      <c r="H10" t="s">
        <v>3502</v>
      </c>
      <c r="I10">
        <v>-1</v>
      </c>
    </row>
    <row r="11" spans="1:9" x14ac:dyDescent="0.45">
      <c r="A11" t="s">
        <v>1020</v>
      </c>
      <c r="B11" t="s">
        <v>3503</v>
      </c>
      <c r="C11" t="s">
        <v>3504</v>
      </c>
      <c r="D11">
        <v>1</v>
      </c>
      <c r="E11">
        <v>2</v>
      </c>
      <c r="G11" t="s">
        <v>3503</v>
      </c>
      <c r="H11" t="s">
        <v>3504</v>
      </c>
      <c r="I11">
        <v>-1</v>
      </c>
    </row>
    <row r="12" spans="1:9" x14ac:dyDescent="0.45">
      <c r="A12" t="s">
        <v>1020</v>
      </c>
      <c r="B12" t="s">
        <v>3505</v>
      </c>
      <c r="C12" t="s">
        <v>3506</v>
      </c>
      <c r="D12">
        <v>1</v>
      </c>
      <c r="E12">
        <v>2</v>
      </c>
      <c r="G12" t="s">
        <v>3505</v>
      </c>
      <c r="H12" t="s">
        <v>3506</v>
      </c>
      <c r="I12">
        <v>-1</v>
      </c>
    </row>
    <row r="13" spans="1:9" x14ac:dyDescent="0.45">
      <c r="A13" t="s">
        <v>1020</v>
      </c>
      <c r="B13" t="s">
        <v>3507</v>
      </c>
      <c r="C13" t="s">
        <v>3508</v>
      </c>
      <c r="D13">
        <v>1</v>
      </c>
      <c r="E13">
        <v>2</v>
      </c>
      <c r="G13" t="s">
        <v>3507</v>
      </c>
      <c r="H13" t="s">
        <v>3508</v>
      </c>
      <c r="I13">
        <v>-1</v>
      </c>
    </row>
    <row r="14" spans="1:9" x14ac:dyDescent="0.45">
      <c r="A14" t="s">
        <v>1020</v>
      </c>
      <c r="B14" t="s">
        <v>3509</v>
      </c>
      <c r="C14" t="s">
        <v>3510</v>
      </c>
      <c r="D14">
        <v>1</v>
      </c>
      <c r="E14">
        <v>2</v>
      </c>
      <c r="G14" t="s">
        <v>3509</v>
      </c>
      <c r="H14" t="s">
        <v>3510</v>
      </c>
      <c r="I14">
        <v>-1</v>
      </c>
    </row>
    <row r="15" spans="1:9" x14ac:dyDescent="0.45">
      <c r="A15" t="s">
        <v>1020</v>
      </c>
      <c r="B15" t="s">
        <v>3511</v>
      </c>
      <c r="C15" t="s">
        <v>3512</v>
      </c>
      <c r="D15">
        <v>1</v>
      </c>
      <c r="E15">
        <v>2</v>
      </c>
      <c r="G15" t="s">
        <v>3511</v>
      </c>
      <c r="H15" t="s">
        <v>3512</v>
      </c>
      <c r="I15">
        <v>-1</v>
      </c>
    </row>
    <row r="16" spans="1:9" x14ac:dyDescent="0.45">
      <c r="A16" t="s">
        <v>1020</v>
      </c>
      <c r="B16" t="s">
        <v>3513</v>
      </c>
      <c r="C16" t="s">
        <v>3514</v>
      </c>
      <c r="D16">
        <v>1</v>
      </c>
      <c r="E16">
        <v>2</v>
      </c>
      <c r="G16" t="s">
        <v>3513</v>
      </c>
      <c r="H16" t="s">
        <v>3514</v>
      </c>
      <c r="I16">
        <v>-1</v>
      </c>
    </row>
    <row r="17" spans="1:9" x14ac:dyDescent="0.45">
      <c r="A17" t="s">
        <v>1020</v>
      </c>
      <c r="B17" t="s">
        <v>3515</v>
      </c>
      <c r="C17" t="s">
        <v>3516</v>
      </c>
      <c r="D17">
        <v>1</v>
      </c>
      <c r="E17">
        <v>2</v>
      </c>
      <c r="G17" t="s">
        <v>3515</v>
      </c>
      <c r="H17" t="s">
        <v>3516</v>
      </c>
      <c r="I17">
        <v>-1</v>
      </c>
    </row>
    <row r="18" spans="1:9" x14ac:dyDescent="0.45">
      <c r="A18" t="s">
        <v>1020</v>
      </c>
      <c r="B18" t="s">
        <v>3517</v>
      </c>
      <c r="C18" t="s">
        <v>3518</v>
      </c>
      <c r="D18">
        <v>1</v>
      </c>
      <c r="E18">
        <v>2</v>
      </c>
      <c r="G18" t="s">
        <v>3517</v>
      </c>
      <c r="H18" t="s">
        <v>3518</v>
      </c>
      <c r="I18">
        <v>-1</v>
      </c>
    </row>
    <row r="19" spans="1:9" x14ac:dyDescent="0.45">
      <c r="A19" t="s">
        <v>1020</v>
      </c>
      <c r="B19" t="s">
        <v>3519</v>
      </c>
      <c r="C19" t="s">
        <v>3520</v>
      </c>
      <c r="D19">
        <v>1</v>
      </c>
      <c r="E19">
        <v>2</v>
      </c>
      <c r="G19" t="s">
        <v>3519</v>
      </c>
      <c r="H19" t="s">
        <v>3520</v>
      </c>
      <c r="I19">
        <v>-1</v>
      </c>
    </row>
    <row r="20" spans="1:9" x14ac:dyDescent="0.45">
      <c r="A20" t="s">
        <v>1020</v>
      </c>
      <c r="B20" t="s">
        <v>3521</v>
      </c>
      <c r="C20" t="s">
        <v>3522</v>
      </c>
      <c r="D20">
        <v>1</v>
      </c>
      <c r="E20">
        <v>2</v>
      </c>
      <c r="G20" t="s">
        <v>3521</v>
      </c>
      <c r="H20" t="s">
        <v>3522</v>
      </c>
      <c r="I20">
        <v>-1</v>
      </c>
    </row>
    <row r="21" spans="1:9" x14ac:dyDescent="0.45">
      <c r="A21" t="s">
        <v>1020</v>
      </c>
      <c r="B21" t="s">
        <v>3523</v>
      </c>
      <c r="C21" t="s">
        <v>3524</v>
      </c>
      <c r="D21">
        <v>1</v>
      </c>
      <c r="E21">
        <v>2</v>
      </c>
      <c r="G21" t="s">
        <v>3523</v>
      </c>
      <c r="H21" t="s">
        <v>3524</v>
      </c>
      <c r="I21">
        <v>-1</v>
      </c>
    </row>
    <row r="22" spans="1:9" x14ac:dyDescent="0.45">
      <c r="A22" t="s">
        <v>1020</v>
      </c>
      <c r="B22" t="s">
        <v>3525</v>
      </c>
      <c r="C22" t="s">
        <v>3526</v>
      </c>
      <c r="D22">
        <v>1</v>
      </c>
      <c r="E22">
        <v>2</v>
      </c>
      <c r="G22" t="s">
        <v>3525</v>
      </c>
      <c r="H22" t="s">
        <v>3526</v>
      </c>
      <c r="I22">
        <v>-1</v>
      </c>
    </row>
    <row r="23" spans="1:9" x14ac:dyDescent="0.45">
      <c r="A23" t="s">
        <v>1020</v>
      </c>
      <c r="B23" t="s">
        <v>3527</v>
      </c>
      <c r="C23" t="s">
        <v>3528</v>
      </c>
      <c r="D23">
        <v>1</v>
      </c>
      <c r="E23">
        <v>2</v>
      </c>
      <c r="G23" t="s">
        <v>3527</v>
      </c>
      <c r="H23" t="s">
        <v>3528</v>
      </c>
      <c r="I23">
        <v>-1</v>
      </c>
    </row>
    <row r="24" spans="1:9" x14ac:dyDescent="0.45">
      <c r="A24" t="s">
        <v>1020</v>
      </c>
      <c r="B24" t="s">
        <v>3529</v>
      </c>
      <c r="C24" t="s">
        <v>3530</v>
      </c>
      <c r="D24">
        <v>1</v>
      </c>
      <c r="E24">
        <v>2</v>
      </c>
      <c r="G24" t="s">
        <v>3529</v>
      </c>
      <c r="H24" t="s">
        <v>3530</v>
      </c>
      <c r="I24">
        <v>-1</v>
      </c>
    </row>
    <row r="25" spans="1:9" x14ac:dyDescent="0.45">
      <c r="A25" t="s">
        <v>1020</v>
      </c>
      <c r="B25" t="s">
        <v>3531</v>
      </c>
      <c r="C25" t="s">
        <v>3532</v>
      </c>
      <c r="D25">
        <v>1</v>
      </c>
      <c r="E25">
        <v>2</v>
      </c>
      <c r="G25" t="s">
        <v>3531</v>
      </c>
      <c r="H25" t="s">
        <v>3532</v>
      </c>
      <c r="I25">
        <v>-1</v>
      </c>
    </row>
    <row r="26" spans="1:9" x14ac:dyDescent="0.45">
      <c r="A26" t="s">
        <v>1020</v>
      </c>
      <c r="B26" t="s">
        <v>3533</v>
      </c>
      <c r="C26" t="s">
        <v>3534</v>
      </c>
      <c r="D26">
        <v>1</v>
      </c>
      <c r="E26">
        <v>2</v>
      </c>
      <c r="G26" t="s">
        <v>3533</v>
      </c>
      <c r="H26" t="s">
        <v>3534</v>
      </c>
      <c r="I26">
        <v>-1</v>
      </c>
    </row>
    <row r="27" spans="1:9" x14ac:dyDescent="0.45">
      <c r="A27" t="s">
        <v>1020</v>
      </c>
      <c r="B27" t="s">
        <v>3535</v>
      </c>
      <c r="C27" t="s">
        <v>3536</v>
      </c>
      <c r="D27">
        <v>1</v>
      </c>
      <c r="E27">
        <v>2</v>
      </c>
      <c r="G27" t="s">
        <v>3535</v>
      </c>
      <c r="H27" t="s">
        <v>3536</v>
      </c>
      <c r="I27">
        <v>-1</v>
      </c>
    </row>
    <row r="28" spans="1:9" x14ac:dyDescent="0.45">
      <c r="A28" t="s">
        <v>1020</v>
      </c>
      <c r="B28" t="s">
        <v>3537</v>
      </c>
      <c r="C28" t="s">
        <v>3538</v>
      </c>
      <c r="D28">
        <v>1</v>
      </c>
      <c r="E28">
        <v>2</v>
      </c>
      <c r="G28" t="s">
        <v>3537</v>
      </c>
      <c r="H28" t="s">
        <v>3538</v>
      </c>
      <c r="I28">
        <v>-1</v>
      </c>
    </row>
    <row r="29" spans="1:9" x14ac:dyDescent="0.45">
      <c r="A29" t="s">
        <v>1020</v>
      </c>
      <c r="B29" t="s">
        <v>3539</v>
      </c>
      <c r="C29" t="s">
        <v>3540</v>
      </c>
      <c r="D29">
        <v>1</v>
      </c>
      <c r="E29">
        <v>2</v>
      </c>
      <c r="G29" t="s">
        <v>3539</v>
      </c>
      <c r="H29" t="s">
        <v>3540</v>
      </c>
      <c r="I29">
        <v>-1</v>
      </c>
    </row>
    <row r="30" spans="1:9" x14ac:dyDescent="0.45">
      <c r="A30" t="s">
        <v>1020</v>
      </c>
      <c r="B30" t="s">
        <v>3541</v>
      </c>
      <c r="C30" t="s">
        <v>3542</v>
      </c>
      <c r="D30">
        <v>1</v>
      </c>
      <c r="E30">
        <v>2</v>
      </c>
      <c r="G30" t="s">
        <v>3541</v>
      </c>
      <c r="H30" t="s">
        <v>3542</v>
      </c>
      <c r="I30">
        <v>-1</v>
      </c>
    </row>
    <row r="31" spans="1:9" x14ac:dyDescent="0.45">
      <c r="A31" t="s">
        <v>1020</v>
      </c>
      <c r="B31" t="s">
        <v>3543</v>
      </c>
      <c r="C31" t="s">
        <v>3544</v>
      </c>
      <c r="D31">
        <v>1</v>
      </c>
      <c r="E31">
        <v>2</v>
      </c>
      <c r="G31" t="s">
        <v>3543</v>
      </c>
      <c r="H31" t="s">
        <v>3544</v>
      </c>
      <c r="I31">
        <v>-1</v>
      </c>
    </row>
    <row r="32" spans="1:9" x14ac:dyDescent="0.45">
      <c r="A32" t="s">
        <v>1020</v>
      </c>
      <c r="B32" t="s">
        <v>3545</v>
      </c>
      <c r="C32" t="s">
        <v>3546</v>
      </c>
      <c r="D32">
        <v>1</v>
      </c>
      <c r="E32">
        <v>2</v>
      </c>
      <c r="G32" t="s">
        <v>3545</v>
      </c>
      <c r="H32" t="s">
        <v>3546</v>
      </c>
      <c r="I32">
        <v>-1</v>
      </c>
    </row>
    <row r="33" spans="1:9" x14ac:dyDescent="0.45">
      <c r="A33" t="s">
        <v>1020</v>
      </c>
      <c r="B33" t="s">
        <v>3547</v>
      </c>
      <c r="C33" t="s">
        <v>3548</v>
      </c>
      <c r="D33">
        <v>1</v>
      </c>
      <c r="E33">
        <v>2</v>
      </c>
      <c r="G33" t="s">
        <v>3547</v>
      </c>
      <c r="H33" t="s">
        <v>3548</v>
      </c>
      <c r="I33">
        <v>-1</v>
      </c>
    </row>
    <row r="34" spans="1:9" x14ac:dyDescent="0.45">
      <c r="A34" t="s">
        <v>1020</v>
      </c>
      <c r="B34" t="s">
        <v>3549</v>
      </c>
      <c r="C34" t="s">
        <v>3550</v>
      </c>
      <c r="D34">
        <v>1</v>
      </c>
      <c r="E34">
        <v>2</v>
      </c>
      <c r="G34" t="s">
        <v>3549</v>
      </c>
      <c r="H34" t="s">
        <v>3550</v>
      </c>
      <c r="I34">
        <v>-1</v>
      </c>
    </row>
    <row r="35" spans="1:9" x14ac:dyDescent="0.45">
      <c r="A35" t="s">
        <v>1020</v>
      </c>
      <c r="B35" t="s">
        <v>3551</v>
      </c>
      <c r="C35" t="s">
        <v>3552</v>
      </c>
      <c r="D35">
        <v>1</v>
      </c>
      <c r="E35">
        <v>2</v>
      </c>
      <c r="G35" t="s">
        <v>3551</v>
      </c>
      <c r="H35" t="s">
        <v>3552</v>
      </c>
      <c r="I35">
        <v>-1</v>
      </c>
    </row>
    <row r="36" spans="1:9" x14ac:dyDescent="0.45">
      <c r="A36" t="s">
        <v>1020</v>
      </c>
      <c r="B36" t="s">
        <v>3553</v>
      </c>
      <c r="C36" t="s">
        <v>3554</v>
      </c>
      <c r="D36">
        <v>1</v>
      </c>
      <c r="E36">
        <v>2</v>
      </c>
      <c r="G36" t="s">
        <v>3553</v>
      </c>
      <c r="H36" t="s">
        <v>3554</v>
      </c>
      <c r="I36">
        <v>-1</v>
      </c>
    </row>
    <row r="37" spans="1:9" x14ac:dyDescent="0.45">
      <c r="A37" t="s">
        <v>1020</v>
      </c>
      <c r="B37" t="s">
        <v>3555</v>
      </c>
      <c r="C37" t="s">
        <v>3556</v>
      </c>
      <c r="D37">
        <v>1</v>
      </c>
      <c r="E37">
        <v>2</v>
      </c>
      <c r="G37" t="s">
        <v>3555</v>
      </c>
      <c r="H37" t="s">
        <v>3556</v>
      </c>
      <c r="I37">
        <v>-1</v>
      </c>
    </row>
    <row r="38" spans="1:9" x14ac:dyDescent="0.45">
      <c r="A38" t="s">
        <v>1020</v>
      </c>
      <c r="B38" t="s">
        <v>3557</v>
      </c>
      <c r="C38" t="s">
        <v>3558</v>
      </c>
      <c r="D38">
        <v>1</v>
      </c>
      <c r="E38">
        <v>2</v>
      </c>
      <c r="G38" t="s">
        <v>3557</v>
      </c>
      <c r="H38" t="s">
        <v>3558</v>
      </c>
      <c r="I38">
        <v>-1</v>
      </c>
    </row>
    <row r="39" spans="1:9" x14ac:dyDescent="0.45">
      <c r="A39" t="s">
        <v>1020</v>
      </c>
      <c r="B39" t="s">
        <v>3559</v>
      </c>
      <c r="C39" t="s">
        <v>3560</v>
      </c>
      <c r="D39">
        <v>1</v>
      </c>
      <c r="E39">
        <v>2</v>
      </c>
      <c r="G39" t="s">
        <v>3559</v>
      </c>
      <c r="H39" t="s">
        <v>3560</v>
      </c>
      <c r="I39">
        <v>-1</v>
      </c>
    </row>
    <row r="40" spans="1:9" x14ac:dyDescent="0.45">
      <c r="A40" t="s">
        <v>1020</v>
      </c>
      <c r="B40" t="s">
        <v>3561</v>
      </c>
      <c r="C40" t="s">
        <v>3562</v>
      </c>
      <c r="D40">
        <v>1</v>
      </c>
      <c r="E40">
        <v>2</v>
      </c>
      <c r="G40" t="s">
        <v>3561</v>
      </c>
      <c r="H40" t="s">
        <v>3562</v>
      </c>
      <c r="I40">
        <v>-1</v>
      </c>
    </row>
    <row r="41" spans="1:9" x14ac:dyDescent="0.45">
      <c r="A41" t="s">
        <v>1020</v>
      </c>
      <c r="B41" t="s">
        <v>3563</v>
      </c>
      <c r="C41" t="s">
        <v>3564</v>
      </c>
      <c r="D41">
        <v>1</v>
      </c>
      <c r="E41">
        <v>2</v>
      </c>
      <c r="G41" t="s">
        <v>3563</v>
      </c>
      <c r="H41" t="s">
        <v>3564</v>
      </c>
      <c r="I41">
        <v>-1</v>
      </c>
    </row>
    <row r="42" spans="1:9" x14ac:dyDescent="0.45">
      <c r="A42" t="s">
        <v>1020</v>
      </c>
      <c r="B42" t="s">
        <v>3565</v>
      </c>
      <c r="C42" t="s">
        <v>3566</v>
      </c>
      <c r="D42">
        <v>1</v>
      </c>
      <c r="E42">
        <v>2</v>
      </c>
      <c r="G42" t="s">
        <v>3565</v>
      </c>
      <c r="H42" t="s">
        <v>3566</v>
      </c>
      <c r="I42">
        <v>-1</v>
      </c>
    </row>
    <row r="43" spans="1:9" x14ac:dyDescent="0.45">
      <c r="A43" t="s">
        <v>1020</v>
      </c>
      <c r="B43" t="s">
        <v>3567</v>
      </c>
      <c r="C43" t="s">
        <v>3568</v>
      </c>
      <c r="D43">
        <v>1</v>
      </c>
      <c r="E43">
        <v>2</v>
      </c>
      <c r="G43" t="s">
        <v>3567</v>
      </c>
      <c r="H43" t="s">
        <v>3568</v>
      </c>
      <c r="I43">
        <v>-1</v>
      </c>
    </row>
    <row r="44" spans="1:9" x14ac:dyDescent="0.45">
      <c r="A44" t="s">
        <v>1020</v>
      </c>
      <c r="B44" t="s">
        <v>3569</v>
      </c>
      <c r="C44" t="s">
        <v>3570</v>
      </c>
      <c r="D44">
        <v>1</v>
      </c>
      <c r="E44">
        <v>2</v>
      </c>
      <c r="G44" t="s">
        <v>3569</v>
      </c>
      <c r="H44" t="s">
        <v>3570</v>
      </c>
      <c r="I44">
        <v>-1</v>
      </c>
    </row>
    <row r="45" spans="1:9" x14ac:dyDescent="0.45">
      <c r="A45" t="s">
        <v>1020</v>
      </c>
      <c r="B45" t="s">
        <v>3571</v>
      </c>
      <c r="C45" t="s">
        <v>3572</v>
      </c>
      <c r="D45">
        <v>1</v>
      </c>
      <c r="E45">
        <v>2</v>
      </c>
      <c r="G45" t="s">
        <v>3571</v>
      </c>
      <c r="H45" t="s">
        <v>3572</v>
      </c>
      <c r="I45">
        <v>-1</v>
      </c>
    </row>
    <row r="46" spans="1:9" x14ac:dyDescent="0.45">
      <c r="A46" t="s">
        <v>1020</v>
      </c>
      <c r="B46" t="s">
        <v>3573</v>
      </c>
      <c r="C46" t="s">
        <v>3574</v>
      </c>
      <c r="D46">
        <v>1</v>
      </c>
      <c r="E46">
        <v>2</v>
      </c>
      <c r="G46" t="s">
        <v>3573</v>
      </c>
      <c r="H46" t="s">
        <v>3574</v>
      </c>
      <c r="I46">
        <v>-1</v>
      </c>
    </row>
    <row r="47" spans="1:9" x14ac:dyDescent="0.45">
      <c r="A47" t="s">
        <v>1020</v>
      </c>
      <c r="B47" t="s">
        <v>3575</v>
      </c>
      <c r="C47" t="s">
        <v>3576</v>
      </c>
      <c r="D47">
        <v>1</v>
      </c>
      <c r="E47">
        <v>2</v>
      </c>
      <c r="G47" t="s">
        <v>3575</v>
      </c>
      <c r="H47" t="s">
        <v>3576</v>
      </c>
      <c r="I47">
        <v>-1</v>
      </c>
    </row>
    <row r="48" spans="1:9" x14ac:dyDescent="0.45">
      <c r="A48" t="s">
        <v>1020</v>
      </c>
      <c r="B48" t="s">
        <v>3577</v>
      </c>
      <c r="C48" t="s">
        <v>3578</v>
      </c>
      <c r="D48">
        <v>1</v>
      </c>
      <c r="E48">
        <v>2</v>
      </c>
      <c r="G48" t="s">
        <v>3577</v>
      </c>
      <c r="H48" t="s">
        <v>3578</v>
      </c>
      <c r="I48">
        <v>-1</v>
      </c>
    </row>
    <row r="49" spans="1:9" x14ac:dyDescent="0.45">
      <c r="A49" t="s">
        <v>1020</v>
      </c>
      <c r="B49" t="s">
        <v>3579</v>
      </c>
      <c r="C49" t="s">
        <v>3580</v>
      </c>
      <c r="D49">
        <v>1</v>
      </c>
      <c r="E49">
        <v>2</v>
      </c>
      <c r="G49" t="s">
        <v>3579</v>
      </c>
      <c r="H49" t="s">
        <v>3580</v>
      </c>
      <c r="I49">
        <v>-1</v>
      </c>
    </row>
    <row r="50" spans="1:9" x14ac:dyDescent="0.45">
      <c r="A50" t="s">
        <v>1020</v>
      </c>
      <c r="B50" t="s">
        <v>3581</v>
      </c>
      <c r="C50" t="s">
        <v>3582</v>
      </c>
      <c r="D50">
        <v>1</v>
      </c>
      <c r="E50">
        <v>2</v>
      </c>
      <c r="G50" t="s">
        <v>3581</v>
      </c>
      <c r="H50" t="s">
        <v>3582</v>
      </c>
      <c r="I50">
        <v>-1</v>
      </c>
    </row>
    <row r="51" spans="1:9" x14ac:dyDescent="0.45">
      <c r="A51" t="s">
        <v>1020</v>
      </c>
      <c r="B51" t="s">
        <v>3583</v>
      </c>
      <c r="C51" t="s">
        <v>3584</v>
      </c>
      <c r="D51">
        <v>1</v>
      </c>
      <c r="E51">
        <v>2</v>
      </c>
      <c r="G51" t="s">
        <v>3583</v>
      </c>
      <c r="H51" t="s">
        <v>3584</v>
      </c>
      <c r="I51">
        <v>-1</v>
      </c>
    </row>
    <row r="52" spans="1:9" x14ac:dyDescent="0.45">
      <c r="A52" t="s">
        <v>1020</v>
      </c>
      <c r="B52" t="s">
        <v>3585</v>
      </c>
      <c r="C52" t="s">
        <v>3586</v>
      </c>
      <c r="D52">
        <v>1</v>
      </c>
      <c r="E52">
        <v>2</v>
      </c>
      <c r="G52" t="s">
        <v>3585</v>
      </c>
      <c r="H52" t="s">
        <v>3586</v>
      </c>
      <c r="I52">
        <v>-1</v>
      </c>
    </row>
    <row r="53" spans="1:9" x14ac:dyDescent="0.45">
      <c r="A53" t="s">
        <v>1020</v>
      </c>
      <c r="B53" t="s">
        <v>3587</v>
      </c>
      <c r="C53" t="s">
        <v>3588</v>
      </c>
      <c r="D53">
        <v>1</v>
      </c>
      <c r="E53">
        <v>2</v>
      </c>
      <c r="G53" t="s">
        <v>3587</v>
      </c>
      <c r="H53" t="s">
        <v>3588</v>
      </c>
      <c r="I53">
        <v>-1</v>
      </c>
    </row>
    <row r="54" spans="1:9" x14ac:dyDescent="0.45">
      <c r="A54" t="s">
        <v>1020</v>
      </c>
      <c r="B54" t="s">
        <v>3589</v>
      </c>
      <c r="C54" t="s">
        <v>3590</v>
      </c>
      <c r="D54">
        <v>1</v>
      </c>
      <c r="E54">
        <v>2</v>
      </c>
      <c r="G54" t="s">
        <v>3589</v>
      </c>
      <c r="H54" t="s">
        <v>3590</v>
      </c>
      <c r="I54">
        <v>-1</v>
      </c>
    </row>
    <row r="55" spans="1:9" x14ac:dyDescent="0.45">
      <c r="A55" t="s">
        <v>1020</v>
      </c>
      <c r="B55" t="s">
        <v>3591</v>
      </c>
      <c r="C55" t="s">
        <v>3592</v>
      </c>
      <c r="D55">
        <v>1</v>
      </c>
      <c r="E55">
        <v>2</v>
      </c>
      <c r="G55" t="s">
        <v>3591</v>
      </c>
      <c r="H55" t="s">
        <v>3592</v>
      </c>
      <c r="I55">
        <v>-1</v>
      </c>
    </row>
    <row r="56" spans="1:9" x14ac:dyDescent="0.45">
      <c r="A56" t="s">
        <v>1020</v>
      </c>
      <c r="B56" t="s">
        <v>3593</v>
      </c>
      <c r="C56" t="s">
        <v>3594</v>
      </c>
      <c r="D56">
        <v>1</v>
      </c>
      <c r="E56">
        <v>2</v>
      </c>
      <c r="G56" t="s">
        <v>3593</v>
      </c>
      <c r="H56" t="s">
        <v>3594</v>
      </c>
      <c r="I56">
        <v>-1</v>
      </c>
    </row>
    <row r="57" spans="1:9" x14ac:dyDescent="0.45">
      <c r="A57" t="s">
        <v>1020</v>
      </c>
      <c r="B57" t="s">
        <v>3595</v>
      </c>
      <c r="C57" t="s">
        <v>3596</v>
      </c>
      <c r="D57">
        <v>1</v>
      </c>
      <c r="E57">
        <v>2</v>
      </c>
      <c r="G57" t="s">
        <v>3595</v>
      </c>
      <c r="H57" t="s">
        <v>3596</v>
      </c>
      <c r="I57">
        <v>-1</v>
      </c>
    </row>
    <row r="58" spans="1:9" x14ac:dyDescent="0.45">
      <c r="A58" t="s">
        <v>1020</v>
      </c>
      <c r="B58" t="s">
        <v>3597</v>
      </c>
      <c r="C58" t="s">
        <v>3598</v>
      </c>
      <c r="D58">
        <v>1</v>
      </c>
      <c r="E58">
        <v>2</v>
      </c>
      <c r="G58" t="s">
        <v>3597</v>
      </c>
      <c r="H58" t="s">
        <v>3598</v>
      </c>
      <c r="I58">
        <v>-1</v>
      </c>
    </row>
    <row r="59" spans="1:9" x14ac:dyDescent="0.45">
      <c r="A59" t="s">
        <v>1020</v>
      </c>
      <c r="B59" t="s">
        <v>3599</v>
      </c>
      <c r="C59" t="s">
        <v>3600</v>
      </c>
      <c r="D59">
        <v>1</v>
      </c>
      <c r="E59">
        <v>2</v>
      </c>
      <c r="G59" t="s">
        <v>3599</v>
      </c>
      <c r="H59" t="s">
        <v>3600</v>
      </c>
      <c r="I59">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3B2BD-B5DC-4E14-B203-48845FD1A9CE}">
  <dimension ref="B2:AG601"/>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5681</v>
      </c>
    </row>
    <row r="4" spans="2:33" x14ac:dyDescent="0.45">
      <c r="B4" t="s">
        <v>3601</v>
      </c>
      <c r="C4">
        <v>2.1896590000000002</v>
      </c>
      <c r="D4">
        <v>27.500000000000004</v>
      </c>
      <c r="E4">
        <v>0.99850000000000005</v>
      </c>
      <c r="H4" t="s">
        <v>3602</v>
      </c>
      <c r="I4" t="s">
        <v>13</v>
      </c>
      <c r="J4">
        <v>4.1028640452723086E-2</v>
      </c>
      <c r="K4" t="s">
        <v>14</v>
      </c>
      <c r="P4" t="s">
        <v>3603</v>
      </c>
      <c r="Q4" t="s">
        <v>3602</v>
      </c>
      <c r="R4" t="s">
        <v>3604</v>
      </c>
      <c r="S4" t="s">
        <v>17</v>
      </c>
      <c r="U4" t="s">
        <v>3603</v>
      </c>
      <c r="V4" t="s">
        <v>3605</v>
      </c>
      <c r="W4" t="s">
        <v>3604</v>
      </c>
      <c r="X4" t="s">
        <v>19</v>
      </c>
      <c r="AA4" t="s">
        <v>6</v>
      </c>
      <c r="AB4" t="s">
        <v>20</v>
      </c>
      <c r="AC4" t="s">
        <v>21</v>
      </c>
      <c r="AD4" t="s">
        <v>22</v>
      </c>
      <c r="AE4" t="s">
        <v>23</v>
      </c>
      <c r="AF4" t="s">
        <v>24</v>
      </c>
      <c r="AG4" t="s">
        <v>25</v>
      </c>
    </row>
    <row r="5" spans="2:33" x14ac:dyDescent="0.45">
      <c r="B5" t="s">
        <v>3606</v>
      </c>
      <c r="C5">
        <v>0.98311199999999999</v>
      </c>
      <c r="D5">
        <v>18.700000000000003</v>
      </c>
      <c r="E5">
        <v>0.99897999999999998</v>
      </c>
      <c r="H5" t="s">
        <v>3602</v>
      </c>
      <c r="I5" t="s">
        <v>27</v>
      </c>
      <c r="J5">
        <v>4.1028640452723086E-2</v>
      </c>
      <c r="K5" t="s">
        <v>14</v>
      </c>
      <c r="P5" t="s">
        <v>3603</v>
      </c>
      <c r="Q5" t="s">
        <v>3607</v>
      </c>
      <c r="R5" t="s">
        <v>3608</v>
      </c>
      <c r="S5" t="s">
        <v>17</v>
      </c>
      <c r="U5" t="s">
        <v>3603</v>
      </c>
      <c r="V5" t="s">
        <v>3609</v>
      </c>
      <c r="W5" t="s">
        <v>3604</v>
      </c>
      <c r="X5" t="s">
        <v>19</v>
      </c>
      <c r="AA5" t="s">
        <v>31</v>
      </c>
      <c r="AB5" t="s">
        <v>32</v>
      </c>
      <c r="AC5">
        <v>2</v>
      </c>
      <c r="AE5">
        <v>0</v>
      </c>
      <c r="AF5" t="s">
        <v>33</v>
      </c>
      <c r="AG5" t="s">
        <v>34</v>
      </c>
    </row>
    <row r="6" spans="2:33" x14ac:dyDescent="0.45">
      <c r="B6" t="s">
        <v>3610</v>
      </c>
      <c r="C6">
        <v>3.172771</v>
      </c>
      <c r="D6">
        <v>90.2</v>
      </c>
      <c r="E6">
        <v>0.99507999999999996</v>
      </c>
      <c r="H6" t="s">
        <v>3602</v>
      </c>
      <c r="I6" t="s">
        <v>36</v>
      </c>
      <c r="J6">
        <v>4.1028640452723086E-2</v>
      </c>
      <c r="K6" t="s">
        <v>14</v>
      </c>
      <c r="P6" t="s">
        <v>3603</v>
      </c>
      <c r="Q6" t="s">
        <v>3611</v>
      </c>
      <c r="R6" t="s">
        <v>3612</v>
      </c>
      <c r="S6" t="s">
        <v>17</v>
      </c>
      <c r="U6" t="s">
        <v>3603</v>
      </c>
      <c r="V6" t="s">
        <v>3613</v>
      </c>
      <c r="W6" t="s">
        <v>3604</v>
      </c>
      <c r="X6" t="s">
        <v>19</v>
      </c>
      <c r="AA6" t="s">
        <v>31</v>
      </c>
      <c r="AB6" t="s">
        <v>32</v>
      </c>
      <c r="AD6">
        <v>2</v>
      </c>
      <c r="AE6">
        <v>0</v>
      </c>
      <c r="AF6" t="s">
        <v>40</v>
      </c>
    </row>
    <row r="7" spans="2:33" x14ac:dyDescent="0.45">
      <c r="B7" t="s">
        <v>3614</v>
      </c>
      <c r="C7">
        <v>0.98311199999999999</v>
      </c>
      <c r="D7">
        <v>25.3</v>
      </c>
      <c r="E7">
        <v>0.99861999999999995</v>
      </c>
      <c r="H7" t="s">
        <v>3607</v>
      </c>
      <c r="I7" t="s">
        <v>13</v>
      </c>
      <c r="J7">
        <v>9.7259849991474301E-2</v>
      </c>
      <c r="K7" t="s">
        <v>14</v>
      </c>
      <c r="P7" t="s">
        <v>3603</v>
      </c>
      <c r="Q7" t="s">
        <v>3615</v>
      </c>
      <c r="R7" t="s">
        <v>3616</v>
      </c>
      <c r="S7" t="s">
        <v>17</v>
      </c>
      <c r="U7" t="s">
        <v>3603</v>
      </c>
      <c r="V7" t="s">
        <v>3617</v>
      </c>
      <c r="W7" t="s">
        <v>3604</v>
      </c>
      <c r="X7" t="s">
        <v>19</v>
      </c>
    </row>
    <row r="8" spans="2:33" x14ac:dyDescent="0.45">
      <c r="B8" t="s">
        <v>3618</v>
      </c>
      <c r="C8">
        <v>2.1896590000000002</v>
      </c>
      <c r="D8">
        <v>46.2</v>
      </c>
      <c r="E8">
        <v>0.99748000000000003</v>
      </c>
      <c r="H8" t="s">
        <v>3607</v>
      </c>
      <c r="I8" t="s">
        <v>27</v>
      </c>
      <c r="J8">
        <v>9.7259849991474301E-2</v>
      </c>
      <c r="K8" t="s">
        <v>14</v>
      </c>
      <c r="P8" t="s">
        <v>3603</v>
      </c>
      <c r="Q8" t="s">
        <v>3619</v>
      </c>
      <c r="R8" t="s">
        <v>3620</v>
      </c>
      <c r="S8" t="s">
        <v>17</v>
      </c>
      <c r="U8" t="s">
        <v>3603</v>
      </c>
      <c r="V8" t="s">
        <v>3621</v>
      </c>
      <c r="W8" t="s">
        <v>3604</v>
      </c>
      <c r="X8" t="s">
        <v>19</v>
      </c>
    </row>
    <row r="9" spans="2:33" x14ac:dyDescent="0.45">
      <c r="B9" t="s">
        <v>3622</v>
      </c>
      <c r="C9">
        <v>4.6474390000000003</v>
      </c>
      <c r="D9">
        <v>88</v>
      </c>
      <c r="E9">
        <v>0.99519999999999997</v>
      </c>
      <c r="H9" t="s">
        <v>3607</v>
      </c>
      <c r="I9" t="s">
        <v>36</v>
      </c>
      <c r="J9">
        <v>9.7259849991474301E-2</v>
      </c>
      <c r="K9" t="s">
        <v>14</v>
      </c>
      <c r="P9" t="s">
        <v>3603</v>
      </c>
      <c r="Q9" t="s">
        <v>3623</v>
      </c>
      <c r="R9" t="s">
        <v>3624</v>
      </c>
      <c r="S9" t="s">
        <v>17</v>
      </c>
      <c r="U9" t="s">
        <v>3603</v>
      </c>
      <c r="V9" t="s">
        <v>3625</v>
      </c>
      <c r="W9" t="s">
        <v>3604</v>
      </c>
      <c r="X9" t="s">
        <v>19</v>
      </c>
    </row>
    <row r="10" spans="2:33" x14ac:dyDescent="0.45">
      <c r="B10" t="s">
        <v>3626</v>
      </c>
      <c r="C10">
        <v>0.98311199999999999</v>
      </c>
      <c r="D10">
        <v>116.60000000000001</v>
      </c>
      <c r="E10">
        <v>0.99363999999999997</v>
      </c>
      <c r="H10" t="s">
        <v>3611</v>
      </c>
      <c r="I10" t="s">
        <v>13</v>
      </c>
      <c r="J10">
        <v>1.653818568295432E-3</v>
      </c>
      <c r="K10" t="s">
        <v>14</v>
      </c>
      <c r="P10" t="s">
        <v>3603</v>
      </c>
      <c r="Q10" t="s">
        <v>3627</v>
      </c>
      <c r="R10" t="s">
        <v>3628</v>
      </c>
      <c r="S10" t="s">
        <v>17</v>
      </c>
      <c r="U10" t="s">
        <v>3603</v>
      </c>
      <c r="V10" t="s">
        <v>3629</v>
      </c>
      <c r="W10" t="s">
        <v>3604</v>
      </c>
      <c r="X10" t="s">
        <v>19</v>
      </c>
    </row>
    <row r="11" spans="2:33" x14ac:dyDescent="0.45">
      <c r="B11" t="s">
        <v>3630</v>
      </c>
      <c r="C11">
        <v>1.6981030000000001</v>
      </c>
      <c r="D11">
        <v>59.400000000000006</v>
      </c>
      <c r="E11">
        <v>0.99675999999999998</v>
      </c>
      <c r="H11" t="s">
        <v>3611</v>
      </c>
      <c r="I11" t="s">
        <v>27</v>
      </c>
      <c r="J11">
        <v>1.653818568295432E-3</v>
      </c>
      <c r="K11" t="s">
        <v>14</v>
      </c>
      <c r="P11" t="s">
        <v>3603</v>
      </c>
      <c r="Q11" t="s">
        <v>3631</v>
      </c>
      <c r="R11" t="s">
        <v>3632</v>
      </c>
      <c r="S11" t="s">
        <v>17</v>
      </c>
      <c r="U11" t="s">
        <v>3603</v>
      </c>
      <c r="V11" t="s">
        <v>3633</v>
      </c>
      <c r="W11" t="s">
        <v>3604</v>
      </c>
      <c r="X11" t="s">
        <v>19</v>
      </c>
    </row>
    <row r="12" spans="2:33" x14ac:dyDescent="0.45">
      <c r="B12" t="s">
        <v>3634</v>
      </c>
      <c r="C12">
        <v>1.6981030000000001</v>
      </c>
      <c r="D12">
        <v>83.600000000000009</v>
      </c>
      <c r="E12">
        <v>0.99543999999999999</v>
      </c>
      <c r="H12" t="s">
        <v>3611</v>
      </c>
      <c r="I12" t="s">
        <v>36</v>
      </c>
      <c r="J12">
        <v>1.653818568295432E-3</v>
      </c>
      <c r="K12" t="s">
        <v>14</v>
      </c>
      <c r="P12" t="s">
        <v>3603</v>
      </c>
      <c r="Q12" t="s">
        <v>3635</v>
      </c>
      <c r="R12" t="s">
        <v>3636</v>
      </c>
      <c r="S12" t="s">
        <v>17</v>
      </c>
      <c r="U12" t="s">
        <v>3603</v>
      </c>
      <c r="V12" t="s">
        <v>3637</v>
      </c>
      <c r="W12" t="s">
        <v>3604</v>
      </c>
      <c r="X12" t="s">
        <v>19</v>
      </c>
    </row>
    <row r="13" spans="2:33" x14ac:dyDescent="0.45">
      <c r="B13" t="s">
        <v>3638</v>
      </c>
      <c r="C13">
        <v>6.7930000000000001</v>
      </c>
      <c r="D13">
        <v>0</v>
      </c>
      <c r="E13">
        <v>1</v>
      </c>
      <c r="H13" t="s">
        <v>3615</v>
      </c>
      <c r="I13" t="s">
        <v>13</v>
      </c>
      <c r="J13">
        <v>6.1303332090588587E-2</v>
      </c>
      <c r="K13" t="s">
        <v>14</v>
      </c>
      <c r="P13" t="s">
        <v>3603</v>
      </c>
      <c r="Q13" t="s">
        <v>3639</v>
      </c>
      <c r="R13" t="s">
        <v>3640</v>
      </c>
      <c r="S13" t="s">
        <v>17</v>
      </c>
      <c r="U13" t="s">
        <v>3603</v>
      </c>
      <c r="V13" t="s">
        <v>3641</v>
      </c>
      <c r="W13" t="s">
        <v>3604</v>
      </c>
      <c r="X13" t="s">
        <v>19</v>
      </c>
    </row>
    <row r="14" spans="2:33" x14ac:dyDescent="0.45">
      <c r="B14" t="s">
        <v>3642</v>
      </c>
      <c r="C14">
        <v>1.6981030000000001</v>
      </c>
      <c r="D14">
        <v>49.500000000000007</v>
      </c>
      <c r="E14">
        <v>0.99729999999999996</v>
      </c>
      <c r="H14" t="s">
        <v>3615</v>
      </c>
      <c r="I14" t="s">
        <v>27</v>
      </c>
      <c r="J14">
        <v>6.1303332090588587E-2</v>
      </c>
      <c r="K14" t="s">
        <v>14</v>
      </c>
      <c r="P14" t="s">
        <v>3603</v>
      </c>
      <c r="Q14" t="s">
        <v>3643</v>
      </c>
      <c r="R14" t="s">
        <v>3644</v>
      </c>
      <c r="S14" t="s">
        <v>17</v>
      </c>
      <c r="U14" t="s">
        <v>3603</v>
      </c>
      <c r="V14" t="s">
        <v>3645</v>
      </c>
      <c r="W14" t="s">
        <v>3604</v>
      </c>
      <c r="X14" t="s">
        <v>19</v>
      </c>
    </row>
    <row r="15" spans="2:33" x14ac:dyDescent="0.45">
      <c r="B15" t="s">
        <v>3646</v>
      </c>
      <c r="C15">
        <v>1.6981030000000001</v>
      </c>
      <c r="D15">
        <v>20.900000000000002</v>
      </c>
      <c r="E15">
        <v>0.99885999999999997</v>
      </c>
      <c r="H15" t="s">
        <v>3615</v>
      </c>
      <c r="I15" t="s">
        <v>36</v>
      </c>
      <c r="J15">
        <v>6.1303332090588587E-2</v>
      </c>
      <c r="K15" t="s">
        <v>14</v>
      </c>
      <c r="P15" t="s">
        <v>3603</v>
      </c>
      <c r="Q15" t="s">
        <v>3647</v>
      </c>
      <c r="R15" t="s">
        <v>3648</v>
      </c>
      <c r="S15" t="s">
        <v>17</v>
      </c>
      <c r="U15" t="s">
        <v>3603</v>
      </c>
      <c r="V15" t="s">
        <v>3645</v>
      </c>
      <c r="W15" t="s">
        <v>3649</v>
      </c>
      <c r="X15" t="s">
        <v>19</v>
      </c>
    </row>
    <row r="16" spans="2:33" x14ac:dyDescent="0.45">
      <c r="B16" t="s">
        <v>3650</v>
      </c>
      <c r="C16">
        <v>0.98311199999999999</v>
      </c>
      <c r="D16">
        <v>44</v>
      </c>
      <c r="E16">
        <v>0.99760000000000004</v>
      </c>
      <c r="H16" t="s">
        <v>3619</v>
      </c>
      <c r="I16" t="s">
        <v>13</v>
      </c>
      <c r="J16">
        <v>5.0947350711847507E-2</v>
      </c>
      <c r="K16" t="s">
        <v>14</v>
      </c>
      <c r="P16" t="s">
        <v>3603</v>
      </c>
      <c r="Q16" t="s">
        <v>3651</v>
      </c>
      <c r="R16" t="s">
        <v>3652</v>
      </c>
      <c r="S16" t="s">
        <v>17</v>
      </c>
      <c r="U16" t="s">
        <v>3603</v>
      </c>
      <c r="V16" t="s">
        <v>3653</v>
      </c>
      <c r="W16" t="s">
        <v>3604</v>
      </c>
      <c r="X16" t="s">
        <v>19</v>
      </c>
    </row>
    <row r="17" spans="2:24" x14ac:dyDescent="0.45">
      <c r="B17" t="s">
        <v>3654</v>
      </c>
      <c r="C17">
        <v>3.3962050000000001</v>
      </c>
      <c r="D17">
        <v>27.500000000000004</v>
      </c>
      <c r="E17">
        <v>0.99850000000000005</v>
      </c>
      <c r="H17" t="s">
        <v>3619</v>
      </c>
      <c r="I17" t="s">
        <v>27</v>
      </c>
      <c r="J17">
        <v>5.0947350711847507E-2</v>
      </c>
      <c r="K17" t="s">
        <v>14</v>
      </c>
      <c r="P17" t="s">
        <v>3603</v>
      </c>
      <c r="Q17" t="s">
        <v>3655</v>
      </c>
      <c r="R17" t="s">
        <v>3656</v>
      </c>
      <c r="S17" t="s">
        <v>17</v>
      </c>
      <c r="U17" t="s">
        <v>3603</v>
      </c>
      <c r="V17" t="s">
        <v>3653</v>
      </c>
      <c r="W17" t="s">
        <v>3649</v>
      </c>
      <c r="X17" t="s">
        <v>19</v>
      </c>
    </row>
    <row r="18" spans="2:24" x14ac:dyDescent="0.45">
      <c r="B18" t="s">
        <v>3657</v>
      </c>
      <c r="C18">
        <v>5.0949999999999998</v>
      </c>
      <c r="D18">
        <v>24.200000000000003</v>
      </c>
      <c r="E18">
        <v>0.99868000000000001</v>
      </c>
      <c r="H18" t="s">
        <v>3619</v>
      </c>
      <c r="I18" t="s">
        <v>36</v>
      </c>
      <c r="J18">
        <v>5.0947350711847507E-2</v>
      </c>
      <c r="K18" t="s">
        <v>14</v>
      </c>
      <c r="P18" t="s">
        <v>3603</v>
      </c>
      <c r="Q18" t="s">
        <v>3658</v>
      </c>
      <c r="R18" t="s">
        <v>3659</v>
      </c>
      <c r="S18" t="s">
        <v>17</v>
      </c>
      <c r="U18" t="s">
        <v>3603</v>
      </c>
      <c r="V18" t="s">
        <v>3660</v>
      </c>
      <c r="W18" t="s">
        <v>3604</v>
      </c>
      <c r="X18" t="s">
        <v>19</v>
      </c>
    </row>
    <row r="19" spans="2:24" x14ac:dyDescent="0.45">
      <c r="B19" t="s">
        <v>3661</v>
      </c>
      <c r="C19">
        <v>18.68</v>
      </c>
      <c r="D19">
        <v>0</v>
      </c>
      <c r="E19">
        <v>1</v>
      </c>
      <c r="H19" t="s">
        <v>3623</v>
      </c>
      <c r="I19" t="s">
        <v>13</v>
      </c>
      <c r="J19">
        <v>5.0898311721333585E-2</v>
      </c>
      <c r="K19" t="s">
        <v>14</v>
      </c>
      <c r="P19" t="s">
        <v>3603</v>
      </c>
      <c r="Q19" t="s">
        <v>3662</v>
      </c>
      <c r="R19" t="s">
        <v>3663</v>
      </c>
      <c r="S19" t="s">
        <v>17</v>
      </c>
      <c r="U19" t="s">
        <v>3603</v>
      </c>
      <c r="V19" t="s">
        <v>3660</v>
      </c>
      <c r="W19" t="s">
        <v>3649</v>
      </c>
      <c r="X19" t="s">
        <v>19</v>
      </c>
    </row>
    <row r="20" spans="2:24" x14ac:dyDescent="0.45">
      <c r="B20" t="s">
        <v>3664</v>
      </c>
      <c r="C20">
        <v>5.3624300000000007</v>
      </c>
      <c r="D20">
        <v>41.800000000000004</v>
      </c>
      <c r="E20">
        <v>0.99772000000000005</v>
      </c>
      <c r="H20" t="s">
        <v>3623</v>
      </c>
      <c r="I20" t="s">
        <v>27</v>
      </c>
      <c r="J20">
        <v>5.0898311721333585E-2</v>
      </c>
      <c r="K20" t="s">
        <v>14</v>
      </c>
      <c r="P20" t="s">
        <v>3603</v>
      </c>
      <c r="Q20" t="s">
        <v>3665</v>
      </c>
      <c r="R20" t="s">
        <v>3666</v>
      </c>
      <c r="S20" t="s">
        <v>17</v>
      </c>
      <c r="U20" t="s">
        <v>3603</v>
      </c>
      <c r="V20" t="s">
        <v>3667</v>
      </c>
      <c r="W20" t="s">
        <v>3649</v>
      </c>
      <c r="X20" t="s">
        <v>19</v>
      </c>
    </row>
    <row r="21" spans="2:24" x14ac:dyDescent="0.45">
      <c r="B21" t="s">
        <v>3668</v>
      </c>
      <c r="C21">
        <v>5.3624289999999997</v>
      </c>
      <c r="D21">
        <v>36.300000000000004</v>
      </c>
      <c r="E21">
        <v>0.99802000000000002</v>
      </c>
      <c r="H21" t="s">
        <v>3623</v>
      </c>
      <c r="I21" t="s">
        <v>36</v>
      </c>
      <c r="J21">
        <v>5.0898311721333585E-2</v>
      </c>
      <c r="K21" t="s">
        <v>14</v>
      </c>
      <c r="P21" t="s">
        <v>3603</v>
      </c>
      <c r="Q21" t="s">
        <v>3669</v>
      </c>
      <c r="R21" t="s">
        <v>3670</v>
      </c>
      <c r="S21" t="s">
        <v>17</v>
      </c>
      <c r="U21" t="s">
        <v>3603</v>
      </c>
      <c r="V21" t="s">
        <v>3671</v>
      </c>
      <c r="W21" t="s">
        <v>3649</v>
      </c>
      <c r="X21" t="s">
        <v>19</v>
      </c>
    </row>
    <row r="22" spans="2:24" x14ac:dyDescent="0.45">
      <c r="B22" t="s">
        <v>3672</v>
      </c>
      <c r="C22">
        <v>1.4746679999999999</v>
      </c>
      <c r="D22">
        <v>30.800000000000004</v>
      </c>
      <c r="E22">
        <v>0.99831999999999999</v>
      </c>
      <c r="H22" t="s">
        <v>3627</v>
      </c>
      <c r="I22" t="s">
        <v>13</v>
      </c>
      <c r="J22">
        <v>2.4957833908988369E-2</v>
      </c>
      <c r="K22" t="s">
        <v>14</v>
      </c>
      <c r="P22" t="s">
        <v>3603</v>
      </c>
      <c r="Q22" t="s">
        <v>3673</v>
      </c>
      <c r="R22" t="s">
        <v>3674</v>
      </c>
      <c r="S22" t="s">
        <v>17</v>
      </c>
      <c r="U22" t="s">
        <v>3603</v>
      </c>
      <c r="V22" t="s">
        <v>3675</v>
      </c>
      <c r="W22" t="s">
        <v>3649</v>
      </c>
      <c r="X22" t="s">
        <v>19</v>
      </c>
    </row>
    <row r="23" spans="2:24" x14ac:dyDescent="0.45">
      <c r="B23" t="s">
        <v>3676</v>
      </c>
      <c r="C23">
        <v>0.98311199999999999</v>
      </c>
      <c r="D23">
        <v>48.400000000000006</v>
      </c>
      <c r="E23">
        <v>0.99736000000000002</v>
      </c>
      <c r="H23" t="s">
        <v>3627</v>
      </c>
      <c r="I23" t="s">
        <v>27</v>
      </c>
      <c r="J23">
        <v>2.4957833908988369E-2</v>
      </c>
      <c r="K23" t="s">
        <v>14</v>
      </c>
      <c r="P23" t="s">
        <v>3603</v>
      </c>
      <c r="Q23" t="s">
        <v>3677</v>
      </c>
      <c r="R23" t="s">
        <v>3678</v>
      </c>
      <c r="S23" t="s">
        <v>17</v>
      </c>
      <c r="U23" t="s">
        <v>3603</v>
      </c>
      <c r="V23" t="s">
        <v>3675</v>
      </c>
      <c r="W23" t="s">
        <v>3604</v>
      </c>
      <c r="X23" t="s">
        <v>17</v>
      </c>
    </row>
    <row r="24" spans="2:24" x14ac:dyDescent="0.45">
      <c r="B24" t="s">
        <v>3679</v>
      </c>
      <c r="C24">
        <v>1.966224</v>
      </c>
      <c r="D24">
        <v>39.6</v>
      </c>
      <c r="E24">
        <v>0.99783999999999995</v>
      </c>
      <c r="H24" t="s">
        <v>3627</v>
      </c>
      <c r="I24" t="s">
        <v>36</v>
      </c>
      <c r="J24">
        <v>2.4957833908988369E-2</v>
      </c>
      <c r="K24" t="s">
        <v>14</v>
      </c>
      <c r="P24" t="s">
        <v>3603</v>
      </c>
      <c r="Q24" t="s">
        <v>3680</v>
      </c>
      <c r="R24" t="s">
        <v>3681</v>
      </c>
      <c r="S24" t="s">
        <v>17</v>
      </c>
      <c r="U24" t="s">
        <v>3603</v>
      </c>
      <c r="V24" t="s">
        <v>3682</v>
      </c>
      <c r="W24" t="s">
        <v>3649</v>
      </c>
      <c r="X24" t="s">
        <v>19</v>
      </c>
    </row>
    <row r="25" spans="2:24" x14ac:dyDescent="0.45">
      <c r="B25" t="s">
        <v>3683</v>
      </c>
      <c r="C25">
        <v>3.3962050000000001</v>
      </c>
      <c r="D25">
        <v>53.900000000000006</v>
      </c>
      <c r="E25">
        <v>0.99705999999999995</v>
      </c>
      <c r="H25" t="s">
        <v>3631</v>
      </c>
      <c r="I25" t="s">
        <v>13</v>
      </c>
      <c r="J25">
        <v>2.4955068157269208E-2</v>
      </c>
      <c r="K25" t="s">
        <v>14</v>
      </c>
      <c r="P25" t="s">
        <v>3603</v>
      </c>
      <c r="Q25" t="s">
        <v>3684</v>
      </c>
      <c r="R25" t="s">
        <v>3685</v>
      </c>
      <c r="S25" t="s">
        <v>17</v>
      </c>
      <c r="U25" t="s">
        <v>3603</v>
      </c>
      <c r="V25" t="s">
        <v>3682</v>
      </c>
      <c r="W25" t="s">
        <v>3604</v>
      </c>
      <c r="X25" t="s">
        <v>17</v>
      </c>
    </row>
    <row r="26" spans="2:24" x14ac:dyDescent="0.45">
      <c r="B26" t="s">
        <v>3686</v>
      </c>
      <c r="C26">
        <v>2.1896590000000002</v>
      </c>
      <c r="D26">
        <v>47.300000000000004</v>
      </c>
      <c r="E26">
        <v>0.99741999999999997</v>
      </c>
      <c r="H26" t="s">
        <v>3631</v>
      </c>
      <c r="I26" t="s">
        <v>27</v>
      </c>
      <c r="J26">
        <v>2.4955068157269208E-2</v>
      </c>
      <c r="K26" t="s">
        <v>14</v>
      </c>
      <c r="P26" t="s">
        <v>3603</v>
      </c>
      <c r="Q26" t="s">
        <v>3687</v>
      </c>
      <c r="R26" t="s">
        <v>3688</v>
      </c>
      <c r="S26" t="s">
        <v>17</v>
      </c>
      <c r="U26" t="s">
        <v>3603</v>
      </c>
      <c r="V26" t="s">
        <v>3689</v>
      </c>
      <c r="W26" t="s">
        <v>3608</v>
      </c>
      <c r="X26" t="s">
        <v>19</v>
      </c>
    </row>
    <row r="27" spans="2:24" x14ac:dyDescent="0.45">
      <c r="B27" t="s">
        <v>3690</v>
      </c>
      <c r="C27">
        <v>0.98311199999999999</v>
      </c>
      <c r="D27">
        <v>19.8</v>
      </c>
      <c r="E27">
        <v>0.99892000000000003</v>
      </c>
      <c r="H27" t="s">
        <v>3631</v>
      </c>
      <c r="I27" t="s">
        <v>36</v>
      </c>
      <c r="J27">
        <v>2.4955068157269208E-2</v>
      </c>
      <c r="K27" t="s">
        <v>14</v>
      </c>
      <c r="P27" t="s">
        <v>3603</v>
      </c>
      <c r="Q27" t="s">
        <v>3691</v>
      </c>
      <c r="R27" t="s">
        <v>3604</v>
      </c>
      <c r="S27" t="s">
        <v>17</v>
      </c>
      <c r="U27" t="s">
        <v>3603</v>
      </c>
      <c r="V27" t="s">
        <v>3692</v>
      </c>
      <c r="W27" t="s">
        <v>3608</v>
      </c>
      <c r="X27" t="s">
        <v>19</v>
      </c>
    </row>
    <row r="28" spans="2:24" x14ac:dyDescent="0.45">
      <c r="B28" t="s">
        <v>3693</v>
      </c>
      <c r="C28">
        <v>0.98311199999999999</v>
      </c>
      <c r="D28">
        <v>37.400000000000006</v>
      </c>
      <c r="E28">
        <v>0.99795999999999996</v>
      </c>
      <c r="H28" t="s">
        <v>3635</v>
      </c>
      <c r="I28" t="s">
        <v>13</v>
      </c>
      <c r="J28">
        <v>0.1921878428316979</v>
      </c>
      <c r="K28" t="s">
        <v>14</v>
      </c>
      <c r="P28" t="s">
        <v>3603</v>
      </c>
      <c r="Q28" t="s">
        <v>3694</v>
      </c>
      <c r="R28" t="s">
        <v>3608</v>
      </c>
      <c r="S28" t="s">
        <v>17</v>
      </c>
      <c r="U28" t="s">
        <v>3603</v>
      </c>
      <c r="V28" t="s">
        <v>3695</v>
      </c>
      <c r="W28" t="s">
        <v>3608</v>
      </c>
      <c r="X28" t="s">
        <v>19</v>
      </c>
    </row>
    <row r="29" spans="2:24" x14ac:dyDescent="0.45">
      <c r="B29" t="s">
        <v>3696</v>
      </c>
      <c r="C29">
        <v>2.6812150000000003</v>
      </c>
      <c r="D29">
        <v>27.500000000000004</v>
      </c>
      <c r="E29">
        <v>0.99850000000000005</v>
      </c>
      <c r="H29" t="s">
        <v>3635</v>
      </c>
      <c r="I29" t="s">
        <v>27</v>
      </c>
      <c r="J29">
        <v>0.1921878428316979</v>
      </c>
      <c r="K29" t="s">
        <v>14</v>
      </c>
      <c r="P29" t="s">
        <v>3603</v>
      </c>
      <c r="Q29" t="s">
        <v>3697</v>
      </c>
      <c r="R29" t="s">
        <v>3612</v>
      </c>
      <c r="S29" t="s">
        <v>17</v>
      </c>
      <c r="U29" t="s">
        <v>3603</v>
      </c>
      <c r="V29" t="s">
        <v>3698</v>
      </c>
      <c r="W29" t="s">
        <v>3608</v>
      </c>
      <c r="X29" t="s">
        <v>19</v>
      </c>
    </row>
    <row r="30" spans="2:24" x14ac:dyDescent="0.45">
      <c r="B30" t="s">
        <v>3699</v>
      </c>
      <c r="C30">
        <v>0.49155599999999999</v>
      </c>
      <c r="D30">
        <v>24.200000000000003</v>
      </c>
      <c r="E30">
        <v>0.99868000000000001</v>
      </c>
      <c r="H30" t="s">
        <v>3635</v>
      </c>
      <c r="I30" t="s">
        <v>36</v>
      </c>
      <c r="J30">
        <v>0.1921878428316979</v>
      </c>
      <c r="K30" t="s">
        <v>14</v>
      </c>
      <c r="P30" t="s">
        <v>3603</v>
      </c>
      <c r="Q30" t="s">
        <v>3700</v>
      </c>
      <c r="R30" t="s">
        <v>3616</v>
      </c>
      <c r="S30" t="s">
        <v>17</v>
      </c>
      <c r="U30" t="s">
        <v>3603</v>
      </c>
      <c r="V30" t="s">
        <v>3701</v>
      </c>
      <c r="W30" t="s">
        <v>3608</v>
      </c>
      <c r="X30" t="s">
        <v>19</v>
      </c>
    </row>
    <row r="31" spans="2:24" x14ac:dyDescent="0.45">
      <c r="B31" t="s">
        <v>3702</v>
      </c>
      <c r="C31">
        <v>0.49155599999999999</v>
      </c>
      <c r="D31">
        <v>56.1</v>
      </c>
      <c r="E31">
        <v>0.99694000000000005</v>
      </c>
      <c r="H31" t="s">
        <v>3639</v>
      </c>
      <c r="I31" t="s">
        <v>13</v>
      </c>
      <c r="J31">
        <v>6.107265290815049E-2</v>
      </c>
      <c r="K31" t="s">
        <v>14</v>
      </c>
      <c r="P31" t="s">
        <v>3603</v>
      </c>
      <c r="Q31" t="s">
        <v>3703</v>
      </c>
      <c r="R31" t="s">
        <v>3620</v>
      </c>
      <c r="S31" t="s">
        <v>17</v>
      </c>
      <c r="U31" t="s">
        <v>3603</v>
      </c>
      <c r="V31" t="s">
        <v>3704</v>
      </c>
      <c r="W31" t="s">
        <v>3608</v>
      </c>
      <c r="X31" t="s">
        <v>19</v>
      </c>
    </row>
    <row r="32" spans="2:24" x14ac:dyDescent="0.45">
      <c r="B32" t="s">
        <v>3705</v>
      </c>
      <c r="C32">
        <v>0.98311199999999999</v>
      </c>
      <c r="D32">
        <v>39.6</v>
      </c>
      <c r="E32">
        <v>0.99783999999999995</v>
      </c>
      <c r="H32" t="s">
        <v>3639</v>
      </c>
      <c r="I32" t="s">
        <v>27</v>
      </c>
      <c r="J32">
        <v>6.107265290815049E-2</v>
      </c>
      <c r="K32" t="s">
        <v>14</v>
      </c>
      <c r="P32" t="s">
        <v>3603</v>
      </c>
      <c r="Q32" t="s">
        <v>3706</v>
      </c>
      <c r="R32" t="s">
        <v>3624</v>
      </c>
      <c r="S32" t="s">
        <v>17</v>
      </c>
      <c r="U32" t="s">
        <v>3603</v>
      </c>
      <c r="V32" t="s">
        <v>3707</v>
      </c>
      <c r="W32" t="s">
        <v>3608</v>
      </c>
      <c r="X32" t="s">
        <v>19</v>
      </c>
    </row>
    <row r="33" spans="2:24" x14ac:dyDescent="0.45">
      <c r="B33" t="s">
        <v>3708</v>
      </c>
      <c r="C33">
        <v>1.966224</v>
      </c>
      <c r="D33">
        <v>35.200000000000003</v>
      </c>
      <c r="E33">
        <v>0.99807999999999997</v>
      </c>
      <c r="H33" t="s">
        <v>3639</v>
      </c>
      <c r="I33" t="s">
        <v>36</v>
      </c>
      <c r="J33">
        <v>6.107265290815049E-2</v>
      </c>
      <c r="K33" t="s">
        <v>14</v>
      </c>
      <c r="P33" t="s">
        <v>3603</v>
      </c>
      <c r="Q33" t="s">
        <v>3709</v>
      </c>
      <c r="R33" t="s">
        <v>3628</v>
      </c>
      <c r="S33" t="s">
        <v>17</v>
      </c>
      <c r="U33" t="s">
        <v>3603</v>
      </c>
      <c r="V33" t="s">
        <v>3710</v>
      </c>
      <c r="W33" t="s">
        <v>3608</v>
      </c>
      <c r="X33" t="s">
        <v>19</v>
      </c>
    </row>
    <row r="34" spans="2:24" x14ac:dyDescent="0.45">
      <c r="B34" t="s">
        <v>3711</v>
      </c>
      <c r="C34">
        <v>1.4746679999999999</v>
      </c>
      <c r="D34">
        <v>35.200000000000003</v>
      </c>
      <c r="E34">
        <v>0.99807999999999997</v>
      </c>
      <c r="H34" t="s">
        <v>3643</v>
      </c>
      <c r="I34" t="s">
        <v>13</v>
      </c>
      <c r="J34">
        <v>1.355213492709734E-3</v>
      </c>
      <c r="K34" t="s">
        <v>14</v>
      </c>
      <c r="P34" t="s">
        <v>3603</v>
      </c>
      <c r="Q34" t="s">
        <v>3712</v>
      </c>
      <c r="R34" t="s">
        <v>3632</v>
      </c>
      <c r="S34" t="s">
        <v>17</v>
      </c>
      <c r="U34" t="s">
        <v>3603</v>
      </c>
      <c r="V34" t="s">
        <v>3713</v>
      </c>
      <c r="W34" t="s">
        <v>3608</v>
      </c>
      <c r="X34" t="s">
        <v>19</v>
      </c>
    </row>
    <row r="35" spans="2:24" x14ac:dyDescent="0.45">
      <c r="B35" t="s">
        <v>3714</v>
      </c>
      <c r="C35">
        <v>0.98311199999999999</v>
      </c>
      <c r="D35">
        <v>61.600000000000009</v>
      </c>
      <c r="E35">
        <v>0.99663999999999997</v>
      </c>
      <c r="H35" t="s">
        <v>3643</v>
      </c>
      <c r="I35" t="s">
        <v>27</v>
      </c>
      <c r="J35">
        <v>1.355213492709734E-3</v>
      </c>
      <c r="K35" t="s">
        <v>14</v>
      </c>
      <c r="P35" t="s">
        <v>3603</v>
      </c>
      <c r="Q35" t="s">
        <v>3715</v>
      </c>
      <c r="R35" t="s">
        <v>3636</v>
      </c>
      <c r="S35" t="s">
        <v>17</v>
      </c>
      <c r="U35" t="s">
        <v>3603</v>
      </c>
      <c r="V35" t="s">
        <v>3716</v>
      </c>
      <c r="W35" t="s">
        <v>3608</v>
      </c>
      <c r="X35" t="s">
        <v>19</v>
      </c>
    </row>
    <row r="36" spans="2:24" x14ac:dyDescent="0.45">
      <c r="B36" t="s">
        <v>3717</v>
      </c>
      <c r="C36">
        <v>2.1896590000000002</v>
      </c>
      <c r="D36">
        <v>102.30000000000001</v>
      </c>
      <c r="E36">
        <v>0.99441999999999997</v>
      </c>
      <c r="H36" t="s">
        <v>3643</v>
      </c>
      <c r="I36" t="s">
        <v>36</v>
      </c>
      <c r="J36">
        <v>1.355213492709734E-3</v>
      </c>
      <c r="K36" t="s">
        <v>14</v>
      </c>
      <c r="P36" t="s">
        <v>3603</v>
      </c>
      <c r="Q36" t="s">
        <v>3718</v>
      </c>
      <c r="R36" t="s">
        <v>3640</v>
      </c>
      <c r="S36" t="s">
        <v>17</v>
      </c>
      <c r="U36" t="s">
        <v>3603</v>
      </c>
      <c r="V36" t="s">
        <v>3719</v>
      </c>
      <c r="W36" t="s">
        <v>3608</v>
      </c>
      <c r="X36" t="s">
        <v>19</v>
      </c>
    </row>
    <row r="37" spans="2:24" x14ac:dyDescent="0.45">
      <c r="B37" t="s">
        <v>3720</v>
      </c>
      <c r="C37">
        <v>1.6981030000000001</v>
      </c>
      <c r="D37">
        <v>85.800000000000011</v>
      </c>
      <c r="E37">
        <v>0.99531999999999998</v>
      </c>
      <c r="H37" t="s">
        <v>3647</v>
      </c>
      <c r="I37" t="s">
        <v>13</v>
      </c>
      <c r="J37">
        <v>1.1660379269469671E-2</v>
      </c>
      <c r="K37" t="s">
        <v>14</v>
      </c>
      <c r="P37" t="s">
        <v>3603</v>
      </c>
      <c r="Q37" t="s">
        <v>3721</v>
      </c>
      <c r="R37" t="s">
        <v>3644</v>
      </c>
      <c r="S37" t="s">
        <v>17</v>
      </c>
      <c r="U37" t="s">
        <v>3603</v>
      </c>
      <c r="V37" t="s">
        <v>3719</v>
      </c>
      <c r="W37" t="s">
        <v>3722</v>
      </c>
      <c r="X37" t="s">
        <v>19</v>
      </c>
    </row>
    <row r="38" spans="2:24" x14ac:dyDescent="0.45">
      <c r="B38" t="s">
        <v>3723</v>
      </c>
      <c r="C38">
        <v>3.3962050000000001</v>
      </c>
      <c r="D38">
        <v>104.50000000000001</v>
      </c>
      <c r="E38">
        <v>0.99429999999999996</v>
      </c>
      <c r="H38" t="s">
        <v>3647</v>
      </c>
      <c r="I38" t="s">
        <v>27</v>
      </c>
      <c r="J38">
        <v>1.1660379269469671E-2</v>
      </c>
      <c r="K38" t="s">
        <v>14</v>
      </c>
      <c r="P38" t="s">
        <v>3603</v>
      </c>
      <c r="Q38" t="s">
        <v>3724</v>
      </c>
      <c r="R38" t="s">
        <v>3648</v>
      </c>
      <c r="S38" t="s">
        <v>17</v>
      </c>
      <c r="U38" t="s">
        <v>3603</v>
      </c>
      <c r="V38" t="s">
        <v>3725</v>
      </c>
      <c r="W38" t="s">
        <v>3608</v>
      </c>
      <c r="X38" t="s">
        <v>19</v>
      </c>
    </row>
    <row r="39" spans="2:24" x14ac:dyDescent="0.45">
      <c r="B39" t="s">
        <v>3726</v>
      </c>
      <c r="C39">
        <v>7.8202100000000003</v>
      </c>
      <c r="D39">
        <v>30.800000000000004</v>
      </c>
      <c r="E39">
        <v>0.99831999999999999</v>
      </c>
      <c r="H39" t="s">
        <v>3647</v>
      </c>
      <c r="I39" t="s">
        <v>36</v>
      </c>
      <c r="J39">
        <v>1.1660379269469671E-2</v>
      </c>
      <c r="K39" t="s">
        <v>14</v>
      </c>
      <c r="P39" t="s">
        <v>3603</v>
      </c>
      <c r="Q39" t="s">
        <v>3727</v>
      </c>
      <c r="R39" t="s">
        <v>3652</v>
      </c>
      <c r="S39" t="s">
        <v>17</v>
      </c>
      <c r="U39" t="s">
        <v>3603</v>
      </c>
      <c r="V39" t="s">
        <v>3725</v>
      </c>
      <c r="W39" t="s">
        <v>3722</v>
      </c>
      <c r="X39" t="s">
        <v>19</v>
      </c>
    </row>
    <row r="40" spans="2:24" x14ac:dyDescent="0.45">
      <c r="H40" t="s">
        <v>3651</v>
      </c>
      <c r="I40" t="s">
        <v>13</v>
      </c>
      <c r="J40">
        <v>1.5690660699130422E-2</v>
      </c>
      <c r="K40" t="s">
        <v>14</v>
      </c>
      <c r="P40" t="s">
        <v>3603</v>
      </c>
      <c r="Q40" t="s">
        <v>3728</v>
      </c>
      <c r="R40" t="s">
        <v>3656</v>
      </c>
      <c r="S40" t="s">
        <v>17</v>
      </c>
      <c r="U40" t="s">
        <v>3603</v>
      </c>
      <c r="V40" t="s">
        <v>3729</v>
      </c>
      <c r="W40" t="s">
        <v>3608</v>
      </c>
      <c r="X40" t="s">
        <v>19</v>
      </c>
    </row>
    <row r="41" spans="2:24" x14ac:dyDescent="0.45">
      <c r="H41" t="s">
        <v>3651</v>
      </c>
      <c r="I41" t="s">
        <v>27</v>
      </c>
      <c r="J41">
        <v>1.5690660699130422E-2</v>
      </c>
      <c r="K41" t="s">
        <v>14</v>
      </c>
      <c r="P41" t="s">
        <v>3603</v>
      </c>
      <c r="Q41" t="s">
        <v>3730</v>
      </c>
      <c r="R41" t="s">
        <v>3659</v>
      </c>
      <c r="S41" t="s">
        <v>17</v>
      </c>
      <c r="U41" t="s">
        <v>3603</v>
      </c>
      <c r="V41" t="s">
        <v>3729</v>
      </c>
      <c r="W41" t="s">
        <v>3722</v>
      </c>
      <c r="X41" t="s">
        <v>19</v>
      </c>
    </row>
    <row r="42" spans="2:24" x14ac:dyDescent="0.45">
      <c r="H42" t="s">
        <v>3651</v>
      </c>
      <c r="I42" t="s">
        <v>36</v>
      </c>
      <c r="J42">
        <v>1.5690660699130422E-2</v>
      </c>
      <c r="K42" t="s">
        <v>14</v>
      </c>
      <c r="P42" t="s">
        <v>3603</v>
      </c>
      <c r="Q42" t="s">
        <v>3731</v>
      </c>
      <c r="R42" t="s">
        <v>3663</v>
      </c>
      <c r="S42" t="s">
        <v>17</v>
      </c>
      <c r="U42" t="s">
        <v>3603</v>
      </c>
      <c r="V42" t="s">
        <v>3732</v>
      </c>
      <c r="W42" t="s">
        <v>3722</v>
      </c>
      <c r="X42" t="s">
        <v>19</v>
      </c>
    </row>
    <row r="43" spans="2:24" x14ac:dyDescent="0.45">
      <c r="H43" t="s">
        <v>3655</v>
      </c>
      <c r="I43" t="s">
        <v>13</v>
      </c>
      <c r="J43">
        <v>5.236680113397894E-3</v>
      </c>
      <c r="K43" t="s">
        <v>14</v>
      </c>
      <c r="P43" t="s">
        <v>3603</v>
      </c>
      <c r="Q43" t="s">
        <v>3733</v>
      </c>
      <c r="R43" t="s">
        <v>3666</v>
      </c>
      <c r="S43" t="s">
        <v>17</v>
      </c>
      <c r="U43" t="s">
        <v>3603</v>
      </c>
      <c r="V43" t="s">
        <v>3734</v>
      </c>
      <c r="W43" t="s">
        <v>3722</v>
      </c>
      <c r="X43" t="s">
        <v>19</v>
      </c>
    </row>
    <row r="44" spans="2:24" x14ac:dyDescent="0.45">
      <c r="H44" t="s">
        <v>3655</v>
      </c>
      <c r="I44" t="s">
        <v>27</v>
      </c>
      <c r="J44">
        <v>5.236680113397894E-3</v>
      </c>
      <c r="K44" t="s">
        <v>14</v>
      </c>
      <c r="P44" t="s">
        <v>3603</v>
      </c>
      <c r="Q44" t="s">
        <v>3735</v>
      </c>
      <c r="R44" t="s">
        <v>3670</v>
      </c>
      <c r="S44" t="s">
        <v>17</v>
      </c>
      <c r="U44" t="s">
        <v>3603</v>
      </c>
      <c r="V44" t="s">
        <v>3736</v>
      </c>
      <c r="W44" t="s">
        <v>3722</v>
      </c>
      <c r="X44" t="s">
        <v>19</v>
      </c>
    </row>
    <row r="45" spans="2:24" x14ac:dyDescent="0.45">
      <c r="H45" t="s">
        <v>3655</v>
      </c>
      <c r="I45" t="s">
        <v>36</v>
      </c>
      <c r="J45">
        <v>5.236680113397894E-3</v>
      </c>
      <c r="K45" t="s">
        <v>14</v>
      </c>
      <c r="P45" t="s">
        <v>3603</v>
      </c>
      <c r="Q45" t="s">
        <v>3737</v>
      </c>
      <c r="R45" t="s">
        <v>3674</v>
      </c>
      <c r="S45" t="s">
        <v>17</v>
      </c>
      <c r="U45" t="s">
        <v>3603</v>
      </c>
      <c r="V45" t="s">
        <v>3736</v>
      </c>
      <c r="W45" t="s">
        <v>3608</v>
      </c>
      <c r="X45" t="s">
        <v>17</v>
      </c>
    </row>
    <row r="46" spans="2:24" x14ac:dyDescent="0.45">
      <c r="H46" t="s">
        <v>3658</v>
      </c>
      <c r="I46" t="s">
        <v>13</v>
      </c>
      <c r="J46">
        <v>2.4145242108719801E-2</v>
      </c>
      <c r="K46" t="s">
        <v>14</v>
      </c>
      <c r="P46" t="s">
        <v>3603</v>
      </c>
      <c r="Q46" t="s">
        <v>3738</v>
      </c>
      <c r="R46" t="s">
        <v>3678</v>
      </c>
      <c r="S46" t="s">
        <v>17</v>
      </c>
      <c r="U46" t="s">
        <v>3603</v>
      </c>
      <c r="V46" t="s">
        <v>3739</v>
      </c>
      <c r="W46" t="s">
        <v>3722</v>
      </c>
      <c r="X46" t="s">
        <v>19</v>
      </c>
    </row>
    <row r="47" spans="2:24" x14ac:dyDescent="0.45">
      <c r="H47" t="s">
        <v>3658</v>
      </c>
      <c r="I47" t="s">
        <v>27</v>
      </c>
      <c r="J47">
        <v>2.4145242108719801E-2</v>
      </c>
      <c r="K47" t="s">
        <v>14</v>
      </c>
      <c r="P47" t="s">
        <v>3603</v>
      </c>
      <c r="Q47" t="s">
        <v>3740</v>
      </c>
      <c r="R47" t="s">
        <v>3681</v>
      </c>
      <c r="S47" t="s">
        <v>17</v>
      </c>
      <c r="U47" t="s">
        <v>3603</v>
      </c>
      <c r="V47" t="s">
        <v>3739</v>
      </c>
      <c r="W47" t="s">
        <v>3608</v>
      </c>
      <c r="X47" t="s">
        <v>17</v>
      </c>
    </row>
    <row r="48" spans="2:24" x14ac:dyDescent="0.45">
      <c r="H48" t="s">
        <v>3658</v>
      </c>
      <c r="I48" t="s">
        <v>36</v>
      </c>
      <c r="J48">
        <v>2.4145242108719801E-2</v>
      </c>
      <c r="K48" t="s">
        <v>14</v>
      </c>
      <c r="P48" t="s">
        <v>3603</v>
      </c>
      <c r="Q48" t="s">
        <v>3741</v>
      </c>
      <c r="R48" t="s">
        <v>3685</v>
      </c>
      <c r="S48" t="s">
        <v>17</v>
      </c>
      <c r="U48" t="s">
        <v>3603</v>
      </c>
      <c r="V48" t="s">
        <v>3742</v>
      </c>
      <c r="W48" t="s">
        <v>3612</v>
      </c>
      <c r="X48" t="s">
        <v>19</v>
      </c>
    </row>
    <row r="49" spans="8:24" x14ac:dyDescent="0.45">
      <c r="H49" t="s">
        <v>3662</v>
      </c>
      <c r="I49" t="s">
        <v>13</v>
      </c>
      <c r="J49">
        <v>8.9175572138228437E-2</v>
      </c>
      <c r="K49" t="s">
        <v>14</v>
      </c>
      <c r="P49" t="s">
        <v>3603</v>
      </c>
      <c r="Q49" t="s">
        <v>3743</v>
      </c>
      <c r="R49" t="s">
        <v>3688</v>
      </c>
      <c r="S49" t="s">
        <v>17</v>
      </c>
      <c r="U49" t="s">
        <v>3603</v>
      </c>
      <c r="V49" t="s">
        <v>3744</v>
      </c>
      <c r="W49" t="s">
        <v>3612</v>
      </c>
      <c r="X49" t="s">
        <v>19</v>
      </c>
    </row>
    <row r="50" spans="8:24" x14ac:dyDescent="0.45">
      <c r="H50" t="s">
        <v>3662</v>
      </c>
      <c r="I50" t="s">
        <v>27</v>
      </c>
      <c r="J50">
        <v>8.9175572138228437E-2</v>
      </c>
      <c r="K50" t="s">
        <v>14</v>
      </c>
      <c r="P50" t="s">
        <v>3603</v>
      </c>
      <c r="Q50" t="s">
        <v>3745</v>
      </c>
      <c r="R50" t="s">
        <v>3604</v>
      </c>
      <c r="S50" t="s">
        <v>17</v>
      </c>
      <c r="U50" t="s">
        <v>3603</v>
      </c>
      <c r="V50" t="s">
        <v>3746</v>
      </c>
      <c r="W50" t="s">
        <v>3612</v>
      </c>
      <c r="X50" t="s">
        <v>19</v>
      </c>
    </row>
    <row r="51" spans="8:24" x14ac:dyDescent="0.45">
      <c r="H51" t="s">
        <v>3662</v>
      </c>
      <c r="I51" t="s">
        <v>36</v>
      </c>
      <c r="J51">
        <v>8.9175572138228437E-2</v>
      </c>
      <c r="K51" t="s">
        <v>14</v>
      </c>
      <c r="P51" t="s">
        <v>3603</v>
      </c>
      <c r="Q51" t="s">
        <v>3747</v>
      </c>
      <c r="R51" t="s">
        <v>3608</v>
      </c>
      <c r="S51" t="s">
        <v>17</v>
      </c>
      <c r="U51" t="s">
        <v>3603</v>
      </c>
      <c r="V51" t="s">
        <v>3748</v>
      </c>
      <c r="W51" t="s">
        <v>3612</v>
      </c>
      <c r="X51" t="s">
        <v>19</v>
      </c>
    </row>
    <row r="52" spans="8:24" x14ac:dyDescent="0.45">
      <c r="H52" t="s">
        <v>3665</v>
      </c>
      <c r="I52" t="s">
        <v>13</v>
      </c>
      <c r="J52">
        <v>7.9843797374323788E-3</v>
      </c>
      <c r="K52" t="s">
        <v>14</v>
      </c>
      <c r="P52" t="s">
        <v>3603</v>
      </c>
      <c r="Q52" t="s">
        <v>3749</v>
      </c>
      <c r="R52" t="s">
        <v>3612</v>
      </c>
      <c r="S52" t="s">
        <v>17</v>
      </c>
      <c r="U52" t="s">
        <v>3603</v>
      </c>
      <c r="V52" t="s">
        <v>3750</v>
      </c>
      <c r="W52" t="s">
        <v>3612</v>
      </c>
      <c r="X52" t="s">
        <v>19</v>
      </c>
    </row>
    <row r="53" spans="8:24" x14ac:dyDescent="0.45">
      <c r="H53" t="s">
        <v>3665</v>
      </c>
      <c r="I53" t="s">
        <v>27</v>
      </c>
      <c r="J53">
        <v>7.9843797374323788E-3</v>
      </c>
      <c r="K53" t="s">
        <v>14</v>
      </c>
      <c r="P53" t="s">
        <v>3603</v>
      </c>
      <c r="Q53" t="s">
        <v>3751</v>
      </c>
      <c r="R53" t="s">
        <v>3616</v>
      </c>
      <c r="S53" t="s">
        <v>17</v>
      </c>
      <c r="U53" t="s">
        <v>3603</v>
      </c>
      <c r="V53" t="s">
        <v>3752</v>
      </c>
      <c r="W53" t="s">
        <v>3612</v>
      </c>
      <c r="X53" t="s">
        <v>19</v>
      </c>
    </row>
    <row r="54" spans="8:24" x14ac:dyDescent="0.45">
      <c r="H54" t="s">
        <v>3665</v>
      </c>
      <c r="I54" t="s">
        <v>36</v>
      </c>
      <c r="J54">
        <v>7.9843797374323788E-3</v>
      </c>
      <c r="K54" t="s">
        <v>14</v>
      </c>
      <c r="P54" t="s">
        <v>3603</v>
      </c>
      <c r="Q54" t="s">
        <v>3753</v>
      </c>
      <c r="R54" t="s">
        <v>3620</v>
      </c>
      <c r="S54" t="s">
        <v>17</v>
      </c>
      <c r="U54" t="s">
        <v>3603</v>
      </c>
      <c r="V54" t="s">
        <v>3754</v>
      </c>
      <c r="W54" t="s">
        <v>3612</v>
      </c>
      <c r="X54" t="s">
        <v>19</v>
      </c>
    </row>
    <row r="55" spans="8:24" x14ac:dyDescent="0.45">
      <c r="H55" t="s">
        <v>3669</v>
      </c>
      <c r="I55" t="s">
        <v>13</v>
      </c>
      <c r="J55">
        <v>7.4806944016228588E-2</v>
      </c>
      <c r="K55" t="s">
        <v>14</v>
      </c>
      <c r="P55" t="s">
        <v>3603</v>
      </c>
      <c r="Q55" t="s">
        <v>3755</v>
      </c>
      <c r="R55" t="s">
        <v>3624</v>
      </c>
      <c r="S55" t="s">
        <v>17</v>
      </c>
      <c r="U55" t="s">
        <v>3603</v>
      </c>
      <c r="V55" t="s">
        <v>3756</v>
      </c>
      <c r="W55" t="s">
        <v>3612</v>
      </c>
      <c r="X55" t="s">
        <v>19</v>
      </c>
    </row>
    <row r="56" spans="8:24" x14ac:dyDescent="0.45">
      <c r="H56" t="s">
        <v>3669</v>
      </c>
      <c r="I56" t="s">
        <v>27</v>
      </c>
      <c r="J56">
        <v>7.4806944016228588E-2</v>
      </c>
      <c r="K56" t="s">
        <v>14</v>
      </c>
      <c r="P56" t="s">
        <v>3603</v>
      </c>
      <c r="Q56" t="s">
        <v>3757</v>
      </c>
      <c r="R56" t="s">
        <v>3628</v>
      </c>
      <c r="S56" t="s">
        <v>17</v>
      </c>
      <c r="U56" t="s">
        <v>3603</v>
      </c>
      <c r="V56" t="s">
        <v>3758</v>
      </c>
      <c r="W56" t="s">
        <v>3612</v>
      </c>
      <c r="X56" t="s">
        <v>19</v>
      </c>
    </row>
    <row r="57" spans="8:24" x14ac:dyDescent="0.45">
      <c r="H57" t="s">
        <v>3669</v>
      </c>
      <c r="I57" t="s">
        <v>36</v>
      </c>
      <c r="J57">
        <v>7.4806944016228588E-2</v>
      </c>
      <c r="K57" t="s">
        <v>14</v>
      </c>
      <c r="P57" t="s">
        <v>3603</v>
      </c>
      <c r="Q57" t="s">
        <v>3759</v>
      </c>
      <c r="R57" t="s">
        <v>3632</v>
      </c>
      <c r="S57" t="s">
        <v>17</v>
      </c>
      <c r="U57" t="s">
        <v>3603</v>
      </c>
      <c r="V57" t="s">
        <v>3760</v>
      </c>
      <c r="W57" t="s">
        <v>3612</v>
      </c>
      <c r="X57" t="s">
        <v>19</v>
      </c>
    </row>
    <row r="58" spans="8:24" x14ac:dyDescent="0.45">
      <c r="H58" t="s">
        <v>3673</v>
      </c>
      <c r="I58" t="s">
        <v>13</v>
      </c>
      <c r="J58">
        <v>3.8275538456637441E-2</v>
      </c>
      <c r="K58" t="s">
        <v>14</v>
      </c>
      <c r="P58" t="s">
        <v>3603</v>
      </c>
      <c r="Q58" t="s">
        <v>3761</v>
      </c>
      <c r="R58" t="s">
        <v>3636</v>
      </c>
      <c r="S58" t="s">
        <v>17</v>
      </c>
      <c r="U58" t="s">
        <v>3603</v>
      </c>
      <c r="V58" t="s">
        <v>3762</v>
      </c>
      <c r="W58" t="s">
        <v>3612</v>
      </c>
      <c r="X58" t="s">
        <v>19</v>
      </c>
    </row>
    <row r="59" spans="8:24" x14ac:dyDescent="0.45">
      <c r="H59" t="s">
        <v>3673</v>
      </c>
      <c r="I59" t="s">
        <v>27</v>
      </c>
      <c r="J59">
        <v>3.8275538456637441E-2</v>
      </c>
      <c r="K59" t="s">
        <v>14</v>
      </c>
      <c r="P59" t="s">
        <v>3603</v>
      </c>
      <c r="Q59" t="s">
        <v>3763</v>
      </c>
      <c r="R59" t="s">
        <v>3640</v>
      </c>
      <c r="S59" t="s">
        <v>17</v>
      </c>
      <c r="U59" t="s">
        <v>3603</v>
      </c>
      <c r="V59" t="s">
        <v>3762</v>
      </c>
      <c r="W59" t="s">
        <v>3764</v>
      </c>
      <c r="X59" t="s">
        <v>19</v>
      </c>
    </row>
    <row r="60" spans="8:24" x14ac:dyDescent="0.45">
      <c r="H60" t="s">
        <v>3673</v>
      </c>
      <c r="I60" t="s">
        <v>36</v>
      </c>
      <c r="J60">
        <v>3.8275538456637441E-2</v>
      </c>
      <c r="K60" t="s">
        <v>14</v>
      </c>
      <c r="P60" t="s">
        <v>3603</v>
      </c>
      <c r="Q60" t="s">
        <v>3765</v>
      </c>
      <c r="R60" t="s">
        <v>3644</v>
      </c>
      <c r="S60" t="s">
        <v>17</v>
      </c>
      <c r="U60" t="s">
        <v>3603</v>
      </c>
      <c r="V60" t="s">
        <v>3766</v>
      </c>
      <c r="W60" t="s">
        <v>3612</v>
      </c>
      <c r="X60" t="s">
        <v>19</v>
      </c>
    </row>
    <row r="61" spans="8:24" x14ac:dyDescent="0.45">
      <c r="H61" t="s">
        <v>3677</v>
      </c>
      <c r="I61" t="s">
        <v>13</v>
      </c>
      <c r="J61">
        <v>3.7671366167364891E-2</v>
      </c>
      <c r="K61" t="s">
        <v>14</v>
      </c>
      <c r="P61" t="s">
        <v>3603</v>
      </c>
      <c r="Q61" t="s">
        <v>3767</v>
      </c>
      <c r="R61" t="s">
        <v>3648</v>
      </c>
      <c r="S61" t="s">
        <v>17</v>
      </c>
      <c r="U61" t="s">
        <v>3603</v>
      </c>
      <c r="V61" t="s">
        <v>3766</v>
      </c>
      <c r="W61" t="s">
        <v>3764</v>
      </c>
      <c r="X61" t="s">
        <v>19</v>
      </c>
    </row>
    <row r="62" spans="8:24" x14ac:dyDescent="0.45">
      <c r="H62" t="s">
        <v>3677</v>
      </c>
      <c r="I62" t="s">
        <v>27</v>
      </c>
      <c r="J62">
        <v>3.7671366167364891E-2</v>
      </c>
      <c r="K62" t="s">
        <v>14</v>
      </c>
      <c r="P62" t="s">
        <v>3603</v>
      </c>
      <c r="Q62" t="s">
        <v>3768</v>
      </c>
      <c r="R62" t="s">
        <v>3652</v>
      </c>
      <c r="S62" t="s">
        <v>17</v>
      </c>
      <c r="U62" t="s">
        <v>3603</v>
      </c>
      <c r="V62" t="s">
        <v>3769</v>
      </c>
      <c r="W62" t="s">
        <v>3612</v>
      </c>
      <c r="X62" t="s">
        <v>19</v>
      </c>
    </row>
    <row r="63" spans="8:24" x14ac:dyDescent="0.45">
      <c r="H63" t="s">
        <v>3677</v>
      </c>
      <c r="I63" t="s">
        <v>36</v>
      </c>
      <c r="J63">
        <v>3.7671366167364891E-2</v>
      </c>
      <c r="K63" t="s">
        <v>14</v>
      </c>
      <c r="P63" t="s">
        <v>3603</v>
      </c>
      <c r="Q63" t="s">
        <v>3770</v>
      </c>
      <c r="R63" t="s">
        <v>3656</v>
      </c>
      <c r="S63" t="s">
        <v>17</v>
      </c>
      <c r="U63" t="s">
        <v>3603</v>
      </c>
      <c r="V63" t="s">
        <v>3769</v>
      </c>
      <c r="W63" t="s">
        <v>3764</v>
      </c>
      <c r="X63" t="s">
        <v>19</v>
      </c>
    </row>
    <row r="64" spans="8:24" x14ac:dyDescent="0.45">
      <c r="H64" t="s">
        <v>3680</v>
      </c>
      <c r="I64" t="s">
        <v>13</v>
      </c>
      <c r="J64">
        <v>3.7648527044076487E-2</v>
      </c>
      <c r="K64" t="s">
        <v>14</v>
      </c>
      <c r="P64" t="s">
        <v>3603</v>
      </c>
      <c r="Q64" t="s">
        <v>3771</v>
      </c>
      <c r="R64" t="s">
        <v>3659</v>
      </c>
      <c r="S64" t="s">
        <v>17</v>
      </c>
      <c r="U64" t="s">
        <v>3603</v>
      </c>
      <c r="V64" t="s">
        <v>3772</v>
      </c>
      <c r="W64" t="s">
        <v>3764</v>
      </c>
      <c r="X64" t="s">
        <v>19</v>
      </c>
    </row>
    <row r="65" spans="8:24" x14ac:dyDescent="0.45">
      <c r="H65" t="s">
        <v>3680</v>
      </c>
      <c r="I65" t="s">
        <v>27</v>
      </c>
      <c r="J65">
        <v>3.7648527044076487E-2</v>
      </c>
      <c r="K65" t="s">
        <v>14</v>
      </c>
      <c r="P65" t="s">
        <v>3603</v>
      </c>
      <c r="Q65" t="s">
        <v>3773</v>
      </c>
      <c r="R65" t="s">
        <v>3663</v>
      </c>
      <c r="S65" t="s">
        <v>17</v>
      </c>
      <c r="U65" t="s">
        <v>3603</v>
      </c>
      <c r="V65" t="s">
        <v>3774</v>
      </c>
      <c r="W65" t="s">
        <v>3764</v>
      </c>
      <c r="X65" t="s">
        <v>19</v>
      </c>
    </row>
    <row r="66" spans="8:24" x14ac:dyDescent="0.45">
      <c r="H66" t="s">
        <v>3680</v>
      </c>
      <c r="I66" t="s">
        <v>36</v>
      </c>
      <c r="J66">
        <v>3.7648527044076487E-2</v>
      </c>
      <c r="K66" t="s">
        <v>14</v>
      </c>
      <c r="P66" t="s">
        <v>3603</v>
      </c>
      <c r="Q66" t="s">
        <v>3775</v>
      </c>
      <c r="R66" t="s">
        <v>3666</v>
      </c>
      <c r="S66" t="s">
        <v>17</v>
      </c>
      <c r="U66" t="s">
        <v>3603</v>
      </c>
      <c r="V66" t="s">
        <v>3776</v>
      </c>
      <c r="W66" t="s">
        <v>3764</v>
      </c>
      <c r="X66" t="s">
        <v>19</v>
      </c>
    </row>
    <row r="67" spans="8:24" x14ac:dyDescent="0.45">
      <c r="H67" t="s">
        <v>3684</v>
      </c>
      <c r="I67" t="s">
        <v>13</v>
      </c>
      <c r="J67">
        <v>2.3860608717313089E-2</v>
      </c>
      <c r="K67" t="s">
        <v>14</v>
      </c>
      <c r="P67" t="s">
        <v>3603</v>
      </c>
      <c r="Q67" t="s">
        <v>3777</v>
      </c>
      <c r="R67" t="s">
        <v>3670</v>
      </c>
      <c r="S67" t="s">
        <v>17</v>
      </c>
      <c r="U67" t="s">
        <v>3603</v>
      </c>
      <c r="V67" t="s">
        <v>3776</v>
      </c>
      <c r="W67" t="s">
        <v>3612</v>
      </c>
      <c r="X67" t="s">
        <v>17</v>
      </c>
    </row>
    <row r="68" spans="8:24" x14ac:dyDescent="0.45">
      <c r="H68" t="s">
        <v>3684</v>
      </c>
      <c r="I68" t="s">
        <v>27</v>
      </c>
      <c r="J68">
        <v>2.3860608717313089E-2</v>
      </c>
      <c r="K68" t="s">
        <v>14</v>
      </c>
      <c r="P68" t="s">
        <v>3603</v>
      </c>
      <c r="Q68" t="s">
        <v>3778</v>
      </c>
      <c r="R68" t="s">
        <v>3674</v>
      </c>
      <c r="S68" t="s">
        <v>17</v>
      </c>
      <c r="U68" t="s">
        <v>3603</v>
      </c>
      <c r="V68" t="s">
        <v>3779</v>
      </c>
      <c r="W68" t="s">
        <v>3764</v>
      </c>
      <c r="X68" t="s">
        <v>19</v>
      </c>
    </row>
    <row r="69" spans="8:24" x14ac:dyDescent="0.45">
      <c r="H69" t="s">
        <v>3684</v>
      </c>
      <c r="I69" t="s">
        <v>36</v>
      </c>
      <c r="J69">
        <v>2.3860608717313089E-2</v>
      </c>
      <c r="K69" t="s">
        <v>14</v>
      </c>
      <c r="P69" t="s">
        <v>3603</v>
      </c>
      <c r="Q69" t="s">
        <v>3780</v>
      </c>
      <c r="R69" t="s">
        <v>3678</v>
      </c>
      <c r="S69" t="s">
        <v>17</v>
      </c>
      <c r="U69" t="s">
        <v>3603</v>
      </c>
      <c r="V69" t="s">
        <v>3779</v>
      </c>
      <c r="W69" t="s">
        <v>3612</v>
      </c>
      <c r="X69" t="s">
        <v>17</v>
      </c>
    </row>
    <row r="70" spans="8:24" x14ac:dyDescent="0.45">
      <c r="H70" t="s">
        <v>3687</v>
      </c>
      <c r="I70" t="s">
        <v>13</v>
      </c>
      <c r="J70">
        <v>6.2241866969211862E-3</v>
      </c>
      <c r="K70" t="s">
        <v>14</v>
      </c>
      <c r="P70" t="s">
        <v>3603</v>
      </c>
      <c r="Q70" t="s">
        <v>3781</v>
      </c>
      <c r="R70" t="s">
        <v>3681</v>
      </c>
      <c r="S70" t="s">
        <v>17</v>
      </c>
      <c r="U70" t="s">
        <v>3603</v>
      </c>
      <c r="V70" t="s">
        <v>3782</v>
      </c>
      <c r="W70" t="s">
        <v>3616</v>
      </c>
      <c r="X70" t="s">
        <v>19</v>
      </c>
    </row>
    <row r="71" spans="8:24" x14ac:dyDescent="0.45">
      <c r="H71" t="s">
        <v>3687</v>
      </c>
      <c r="I71" t="s">
        <v>27</v>
      </c>
      <c r="J71">
        <v>6.2241866969211862E-3</v>
      </c>
      <c r="K71" t="s">
        <v>14</v>
      </c>
      <c r="P71" t="s">
        <v>3603</v>
      </c>
      <c r="Q71" t="s">
        <v>3783</v>
      </c>
      <c r="R71" t="s">
        <v>3685</v>
      </c>
      <c r="S71" t="s">
        <v>17</v>
      </c>
      <c r="U71" t="s">
        <v>3603</v>
      </c>
      <c r="V71" t="s">
        <v>3784</v>
      </c>
      <c r="W71" t="s">
        <v>3616</v>
      </c>
      <c r="X71" t="s">
        <v>19</v>
      </c>
    </row>
    <row r="72" spans="8:24" x14ac:dyDescent="0.45">
      <c r="H72" t="s">
        <v>3687</v>
      </c>
      <c r="I72" t="s">
        <v>36</v>
      </c>
      <c r="J72">
        <v>6.2241866969211862E-3</v>
      </c>
      <c r="K72" t="s">
        <v>14</v>
      </c>
      <c r="P72" t="s">
        <v>3603</v>
      </c>
      <c r="Q72" t="s">
        <v>3785</v>
      </c>
      <c r="R72" t="s">
        <v>3688</v>
      </c>
      <c r="S72" t="s">
        <v>17</v>
      </c>
      <c r="U72" t="s">
        <v>3603</v>
      </c>
      <c r="V72" t="s">
        <v>3786</v>
      </c>
      <c r="W72" t="s">
        <v>3616</v>
      </c>
      <c r="X72" t="s">
        <v>19</v>
      </c>
    </row>
    <row r="73" spans="8:24" x14ac:dyDescent="0.45">
      <c r="H73" t="s">
        <v>3691</v>
      </c>
      <c r="I73" t="s">
        <v>13</v>
      </c>
      <c r="J73">
        <v>4.1028640452723086E-2</v>
      </c>
      <c r="K73" t="s">
        <v>14</v>
      </c>
      <c r="P73" t="s">
        <v>3603</v>
      </c>
      <c r="Q73" t="s">
        <v>3787</v>
      </c>
      <c r="R73" t="s">
        <v>3604</v>
      </c>
      <c r="S73" t="s">
        <v>17</v>
      </c>
      <c r="U73" t="s">
        <v>3603</v>
      </c>
      <c r="V73" t="s">
        <v>3788</v>
      </c>
      <c r="W73" t="s">
        <v>3616</v>
      </c>
      <c r="X73" t="s">
        <v>19</v>
      </c>
    </row>
    <row r="74" spans="8:24" x14ac:dyDescent="0.45">
      <c r="H74" t="s">
        <v>3691</v>
      </c>
      <c r="I74" t="s">
        <v>27</v>
      </c>
      <c r="J74">
        <v>4.1028640452723086E-2</v>
      </c>
      <c r="K74" t="s">
        <v>14</v>
      </c>
      <c r="P74" t="s">
        <v>3603</v>
      </c>
      <c r="Q74" t="s">
        <v>3789</v>
      </c>
      <c r="R74" t="s">
        <v>3608</v>
      </c>
      <c r="S74" t="s">
        <v>17</v>
      </c>
      <c r="U74" t="s">
        <v>3603</v>
      </c>
      <c r="V74" t="s">
        <v>3790</v>
      </c>
      <c r="W74" t="s">
        <v>3616</v>
      </c>
      <c r="X74" t="s">
        <v>19</v>
      </c>
    </row>
    <row r="75" spans="8:24" x14ac:dyDescent="0.45">
      <c r="H75" t="s">
        <v>3691</v>
      </c>
      <c r="I75" t="s">
        <v>36</v>
      </c>
      <c r="J75">
        <v>4.1028640452723086E-2</v>
      </c>
      <c r="K75" t="s">
        <v>14</v>
      </c>
      <c r="P75" t="s">
        <v>3603</v>
      </c>
      <c r="Q75" t="s">
        <v>3791</v>
      </c>
      <c r="R75" t="s">
        <v>3612</v>
      </c>
      <c r="S75" t="s">
        <v>17</v>
      </c>
      <c r="U75" t="s">
        <v>3603</v>
      </c>
      <c r="V75" t="s">
        <v>3792</v>
      </c>
      <c r="W75" t="s">
        <v>3616</v>
      </c>
      <c r="X75" t="s">
        <v>19</v>
      </c>
    </row>
    <row r="76" spans="8:24" x14ac:dyDescent="0.45">
      <c r="H76" t="s">
        <v>3694</v>
      </c>
      <c r="I76" t="s">
        <v>13</v>
      </c>
      <c r="J76">
        <v>9.7259849991474301E-2</v>
      </c>
      <c r="K76" t="s">
        <v>14</v>
      </c>
      <c r="P76" t="s">
        <v>3603</v>
      </c>
      <c r="Q76" t="s">
        <v>3793</v>
      </c>
      <c r="R76" t="s">
        <v>3616</v>
      </c>
      <c r="S76" t="s">
        <v>17</v>
      </c>
      <c r="U76" t="s">
        <v>3603</v>
      </c>
      <c r="V76" t="s">
        <v>3794</v>
      </c>
      <c r="W76" t="s">
        <v>3616</v>
      </c>
      <c r="X76" t="s">
        <v>19</v>
      </c>
    </row>
    <row r="77" spans="8:24" x14ac:dyDescent="0.45">
      <c r="H77" t="s">
        <v>3694</v>
      </c>
      <c r="I77" t="s">
        <v>27</v>
      </c>
      <c r="J77">
        <v>9.7259849991474301E-2</v>
      </c>
      <c r="K77" t="s">
        <v>14</v>
      </c>
      <c r="P77" t="s">
        <v>3603</v>
      </c>
      <c r="Q77" t="s">
        <v>3795</v>
      </c>
      <c r="R77" t="s">
        <v>3620</v>
      </c>
      <c r="S77" t="s">
        <v>17</v>
      </c>
      <c r="U77" t="s">
        <v>3603</v>
      </c>
      <c r="V77" t="s">
        <v>3796</v>
      </c>
      <c r="W77" t="s">
        <v>3616</v>
      </c>
      <c r="X77" t="s">
        <v>19</v>
      </c>
    </row>
    <row r="78" spans="8:24" x14ac:dyDescent="0.45">
      <c r="H78" t="s">
        <v>3694</v>
      </c>
      <c r="I78" t="s">
        <v>36</v>
      </c>
      <c r="J78">
        <v>9.7259849991474301E-2</v>
      </c>
      <c r="K78" t="s">
        <v>14</v>
      </c>
      <c r="P78" t="s">
        <v>3603</v>
      </c>
      <c r="Q78" t="s">
        <v>3797</v>
      </c>
      <c r="R78" t="s">
        <v>3624</v>
      </c>
      <c r="S78" t="s">
        <v>17</v>
      </c>
      <c r="U78" t="s">
        <v>3603</v>
      </c>
      <c r="V78" t="s">
        <v>3798</v>
      </c>
      <c r="W78" t="s">
        <v>3616</v>
      </c>
      <c r="X78" t="s">
        <v>19</v>
      </c>
    </row>
    <row r="79" spans="8:24" x14ac:dyDescent="0.45">
      <c r="H79" t="s">
        <v>3697</v>
      </c>
      <c r="I79" t="s">
        <v>13</v>
      </c>
      <c r="J79">
        <v>1.653818568295432E-3</v>
      </c>
      <c r="K79" t="s">
        <v>14</v>
      </c>
      <c r="P79" t="s">
        <v>3603</v>
      </c>
      <c r="Q79" t="s">
        <v>3799</v>
      </c>
      <c r="R79" t="s">
        <v>3628</v>
      </c>
      <c r="S79" t="s">
        <v>17</v>
      </c>
      <c r="U79" t="s">
        <v>3603</v>
      </c>
      <c r="V79" t="s">
        <v>3800</v>
      </c>
      <c r="W79" t="s">
        <v>3616</v>
      </c>
      <c r="X79" t="s">
        <v>19</v>
      </c>
    </row>
    <row r="80" spans="8:24" x14ac:dyDescent="0.45">
      <c r="H80" t="s">
        <v>3697</v>
      </c>
      <c r="I80" t="s">
        <v>27</v>
      </c>
      <c r="J80">
        <v>1.653818568295432E-3</v>
      </c>
      <c r="K80" t="s">
        <v>14</v>
      </c>
      <c r="P80" t="s">
        <v>3603</v>
      </c>
      <c r="Q80" t="s">
        <v>3801</v>
      </c>
      <c r="R80" t="s">
        <v>3632</v>
      </c>
      <c r="S80" t="s">
        <v>17</v>
      </c>
      <c r="U80" t="s">
        <v>3603</v>
      </c>
      <c r="V80" t="s">
        <v>3802</v>
      </c>
      <c r="W80" t="s">
        <v>3616</v>
      </c>
      <c r="X80" t="s">
        <v>19</v>
      </c>
    </row>
    <row r="81" spans="8:24" x14ac:dyDescent="0.45">
      <c r="H81" t="s">
        <v>3697</v>
      </c>
      <c r="I81" t="s">
        <v>36</v>
      </c>
      <c r="J81">
        <v>1.653818568295432E-3</v>
      </c>
      <c r="K81" t="s">
        <v>14</v>
      </c>
      <c r="P81" t="s">
        <v>3603</v>
      </c>
      <c r="Q81" t="s">
        <v>3803</v>
      </c>
      <c r="R81" t="s">
        <v>3636</v>
      </c>
      <c r="S81" t="s">
        <v>17</v>
      </c>
      <c r="U81" t="s">
        <v>3603</v>
      </c>
      <c r="V81" t="s">
        <v>3802</v>
      </c>
      <c r="W81" t="s">
        <v>3804</v>
      </c>
      <c r="X81" t="s">
        <v>19</v>
      </c>
    </row>
    <row r="82" spans="8:24" x14ac:dyDescent="0.45">
      <c r="H82" t="s">
        <v>3700</v>
      </c>
      <c r="I82" t="s">
        <v>13</v>
      </c>
      <c r="J82">
        <v>6.1303332090588587E-2</v>
      </c>
      <c r="K82" t="s">
        <v>14</v>
      </c>
      <c r="P82" t="s">
        <v>3603</v>
      </c>
      <c r="Q82" t="s">
        <v>3805</v>
      </c>
      <c r="R82" t="s">
        <v>3640</v>
      </c>
      <c r="S82" t="s">
        <v>17</v>
      </c>
      <c r="U82" t="s">
        <v>3603</v>
      </c>
      <c r="V82" t="s">
        <v>3806</v>
      </c>
      <c r="W82" t="s">
        <v>3616</v>
      </c>
      <c r="X82" t="s">
        <v>19</v>
      </c>
    </row>
    <row r="83" spans="8:24" x14ac:dyDescent="0.45">
      <c r="H83" t="s">
        <v>3700</v>
      </c>
      <c r="I83" t="s">
        <v>27</v>
      </c>
      <c r="J83">
        <v>6.1303332090588587E-2</v>
      </c>
      <c r="K83" t="s">
        <v>14</v>
      </c>
      <c r="P83" t="s">
        <v>3603</v>
      </c>
      <c r="Q83" t="s">
        <v>3807</v>
      </c>
      <c r="R83" t="s">
        <v>3644</v>
      </c>
      <c r="S83" t="s">
        <v>17</v>
      </c>
      <c r="U83" t="s">
        <v>3603</v>
      </c>
      <c r="V83" t="s">
        <v>3806</v>
      </c>
      <c r="W83" t="s">
        <v>3804</v>
      </c>
      <c r="X83" t="s">
        <v>19</v>
      </c>
    </row>
    <row r="84" spans="8:24" x14ac:dyDescent="0.45">
      <c r="H84" t="s">
        <v>3700</v>
      </c>
      <c r="I84" t="s">
        <v>36</v>
      </c>
      <c r="J84">
        <v>6.1303332090588587E-2</v>
      </c>
      <c r="K84" t="s">
        <v>14</v>
      </c>
      <c r="P84" t="s">
        <v>3603</v>
      </c>
      <c r="Q84" t="s">
        <v>3808</v>
      </c>
      <c r="R84" t="s">
        <v>3648</v>
      </c>
      <c r="S84" t="s">
        <v>17</v>
      </c>
      <c r="U84" t="s">
        <v>3603</v>
      </c>
      <c r="V84" t="s">
        <v>3809</v>
      </c>
      <c r="W84" t="s">
        <v>3616</v>
      </c>
      <c r="X84" t="s">
        <v>19</v>
      </c>
    </row>
    <row r="85" spans="8:24" x14ac:dyDescent="0.45">
      <c r="H85" t="s">
        <v>3703</v>
      </c>
      <c r="I85" t="s">
        <v>13</v>
      </c>
      <c r="J85">
        <v>5.0947350711847507E-2</v>
      </c>
      <c r="K85" t="s">
        <v>14</v>
      </c>
      <c r="P85" t="s">
        <v>3603</v>
      </c>
      <c r="Q85" t="s">
        <v>3810</v>
      </c>
      <c r="R85" t="s">
        <v>3652</v>
      </c>
      <c r="S85" t="s">
        <v>17</v>
      </c>
      <c r="U85" t="s">
        <v>3603</v>
      </c>
      <c r="V85" t="s">
        <v>3809</v>
      </c>
      <c r="W85" t="s">
        <v>3804</v>
      </c>
      <c r="X85" t="s">
        <v>19</v>
      </c>
    </row>
    <row r="86" spans="8:24" x14ac:dyDescent="0.45">
      <c r="H86" t="s">
        <v>3703</v>
      </c>
      <c r="I86" t="s">
        <v>27</v>
      </c>
      <c r="J86">
        <v>5.0947350711847507E-2</v>
      </c>
      <c r="K86" t="s">
        <v>14</v>
      </c>
      <c r="P86" t="s">
        <v>3603</v>
      </c>
      <c r="Q86" t="s">
        <v>3811</v>
      </c>
      <c r="R86" t="s">
        <v>3656</v>
      </c>
      <c r="S86" t="s">
        <v>17</v>
      </c>
      <c r="U86" t="s">
        <v>3603</v>
      </c>
      <c r="V86" t="s">
        <v>3812</v>
      </c>
      <c r="W86" t="s">
        <v>3804</v>
      </c>
      <c r="X86" t="s">
        <v>19</v>
      </c>
    </row>
    <row r="87" spans="8:24" x14ac:dyDescent="0.45">
      <c r="H87" t="s">
        <v>3703</v>
      </c>
      <c r="I87" t="s">
        <v>36</v>
      </c>
      <c r="J87">
        <v>5.0947350711847507E-2</v>
      </c>
      <c r="K87" t="s">
        <v>14</v>
      </c>
      <c r="P87" t="s">
        <v>3603</v>
      </c>
      <c r="Q87" t="s">
        <v>3813</v>
      </c>
      <c r="R87" t="s">
        <v>3659</v>
      </c>
      <c r="S87" t="s">
        <v>17</v>
      </c>
      <c r="U87" t="s">
        <v>3603</v>
      </c>
      <c r="V87" t="s">
        <v>3814</v>
      </c>
      <c r="W87" t="s">
        <v>3804</v>
      </c>
      <c r="X87" t="s">
        <v>19</v>
      </c>
    </row>
    <row r="88" spans="8:24" x14ac:dyDescent="0.45">
      <c r="H88" t="s">
        <v>3706</v>
      </c>
      <c r="I88" t="s">
        <v>13</v>
      </c>
      <c r="J88">
        <v>5.0898311721333585E-2</v>
      </c>
      <c r="K88" t="s">
        <v>14</v>
      </c>
      <c r="P88" t="s">
        <v>3603</v>
      </c>
      <c r="Q88" t="s">
        <v>3815</v>
      </c>
      <c r="R88" t="s">
        <v>3663</v>
      </c>
      <c r="S88" t="s">
        <v>17</v>
      </c>
      <c r="U88" t="s">
        <v>3603</v>
      </c>
      <c r="V88" t="s">
        <v>3816</v>
      </c>
      <c r="W88" t="s">
        <v>3804</v>
      </c>
      <c r="X88" t="s">
        <v>19</v>
      </c>
    </row>
    <row r="89" spans="8:24" x14ac:dyDescent="0.45">
      <c r="H89" t="s">
        <v>3706</v>
      </c>
      <c r="I89" t="s">
        <v>27</v>
      </c>
      <c r="J89">
        <v>5.0898311721333585E-2</v>
      </c>
      <c r="K89" t="s">
        <v>14</v>
      </c>
      <c r="P89" t="s">
        <v>3603</v>
      </c>
      <c r="Q89" t="s">
        <v>3817</v>
      </c>
      <c r="R89" t="s">
        <v>3666</v>
      </c>
      <c r="S89" t="s">
        <v>17</v>
      </c>
      <c r="U89" t="s">
        <v>3603</v>
      </c>
      <c r="V89" t="s">
        <v>3816</v>
      </c>
      <c r="W89" t="s">
        <v>3616</v>
      </c>
      <c r="X89" t="s">
        <v>17</v>
      </c>
    </row>
    <row r="90" spans="8:24" x14ac:dyDescent="0.45">
      <c r="H90" t="s">
        <v>3706</v>
      </c>
      <c r="I90" t="s">
        <v>36</v>
      </c>
      <c r="J90">
        <v>5.0898311721333585E-2</v>
      </c>
      <c r="K90" t="s">
        <v>14</v>
      </c>
      <c r="P90" t="s">
        <v>3603</v>
      </c>
      <c r="Q90" t="s">
        <v>3818</v>
      </c>
      <c r="R90" t="s">
        <v>3670</v>
      </c>
      <c r="S90" t="s">
        <v>17</v>
      </c>
      <c r="U90" t="s">
        <v>3603</v>
      </c>
      <c r="V90" t="s">
        <v>3819</v>
      </c>
      <c r="W90" t="s">
        <v>3804</v>
      </c>
      <c r="X90" t="s">
        <v>19</v>
      </c>
    </row>
    <row r="91" spans="8:24" x14ac:dyDescent="0.45">
      <c r="H91" t="s">
        <v>3709</v>
      </c>
      <c r="I91" t="s">
        <v>13</v>
      </c>
      <c r="J91">
        <v>2.4957833908988369E-2</v>
      </c>
      <c r="K91" t="s">
        <v>14</v>
      </c>
      <c r="P91" t="s">
        <v>3603</v>
      </c>
      <c r="Q91" t="s">
        <v>3820</v>
      </c>
      <c r="R91" t="s">
        <v>3674</v>
      </c>
      <c r="S91" t="s">
        <v>17</v>
      </c>
      <c r="U91" t="s">
        <v>3603</v>
      </c>
      <c r="V91" t="s">
        <v>3819</v>
      </c>
      <c r="W91" t="s">
        <v>3616</v>
      </c>
      <c r="X91" t="s">
        <v>17</v>
      </c>
    </row>
    <row r="92" spans="8:24" x14ac:dyDescent="0.45">
      <c r="H92" t="s">
        <v>3709</v>
      </c>
      <c r="I92" t="s">
        <v>27</v>
      </c>
      <c r="J92">
        <v>2.4957833908988369E-2</v>
      </c>
      <c r="K92" t="s">
        <v>14</v>
      </c>
      <c r="P92" t="s">
        <v>3603</v>
      </c>
      <c r="Q92" t="s">
        <v>3821</v>
      </c>
      <c r="R92" t="s">
        <v>3678</v>
      </c>
      <c r="S92" t="s">
        <v>17</v>
      </c>
      <c r="U92" t="s">
        <v>3603</v>
      </c>
      <c r="V92" t="s">
        <v>3822</v>
      </c>
      <c r="W92" t="s">
        <v>3620</v>
      </c>
      <c r="X92" t="s">
        <v>19</v>
      </c>
    </row>
    <row r="93" spans="8:24" x14ac:dyDescent="0.45">
      <c r="H93" t="s">
        <v>3709</v>
      </c>
      <c r="I93" t="s">
        <v>36</v>
      </c>
      <c r="J93">
        <v>2.4957833908988369E-2</v>
      </c>
      <c r="K93" t="s">
        <v>14</v>
      </c>
      <c r="P93" t="s">
        <v>3603</v>
      </c>
      <c r="Q93" t="s">
        <v>3823</v>
      </c>
      <c r="R93" t="s">
        <v>3681</v>
      </c>
      <c r="S93" t="s">
        <v>17</v>
      </c>
      <c r="U93" t="s">
        <v>3603</v>
      </c>
      <c r="V93" t="s">
        <v>3824</v>
      </c>
      <c r="W93" t="s">
        <v>3620</v>
      </c>
      <c r="X93" t="s">
        <v>19</v>
      </c>
    </row>
    <row r="94" spans="8:24" x14ac:dyDescent="0.45">
      <c r="H94" t="s">
        <v>3712</v>
      </c>
      <c r="I94" t="s">
        <v>13</v>
      </c>
      <c r="J94">
        <v>2.4955068157269208E-2</v>
      </c>
      <c r="K94" t="s">
        <v>14</v>
      </c>
      <c r="P94" t="s">
        <v>3603</v>
      </c>
      <c r="Q94" t="s">
        <v>3825</v>
      </c>
      <c r="R94" t="s">
        <v>3685</v>
      </c>
      <c r="S94" t="s">
        <v>17</v>
      </c>
      <c r="U94" t="s">
        <v>3603</v>
      </c>
      <c r="V94" t="s">
        <v>3826</v>
      </c>
      <c r="W94" t="s">
        <v>3620</v>
      </c>
      <c r="X94" t="s">
        <v>19</v>
      </c>
    </row>
    <row r="95" spans="8:24" x14ac:dyDescent="0.45">
      <c r="H95" t="s">
        <v>3712</v>
      </c>
      <c r="I95" t="s">
        <v>27</v>
      </c>
      <c r="J95">
        <v>2.4955068157269208E-2</v>
      </c>
      <c r="K95" t="s">
        <v>14</v>
      </c>
      <c r="P95" t="s">
        <v>3603</v>
      </c>
      <c r="Q95" t="s">
        <v>3827</v>
      </c>
      <c r="R95" t="s">
        <v>3688</v>
      </c>
      <c r="S95" t="s">
        <v>17</v>
      </c>
      <c r="U95" t="s">
        <v>3603</v>
      </c>
      <c r="V95" t="s">
        <v>3828</v>
      </c>
      <c r="W95" t="s">
        <v>3620</v>
      </c>
      <c r="X95" t="s">
        <v>19</v>
      </c>
    </row>
    <row r="96" spans="8:24" x14ac:dyDescent="0.45">
      <c r="H96" t="s">
        <v>3712</v>
      </c>
      <c r="I96" t="s">
        <v>36</v>
      </c>
      <c r="J96">
        <v>2.4955068157269208E-2</v>
      </c>
      <c r="K96" t="s">
        <v>14</v>
      </c>
      <c r="P96" t="s">
        <v>3603</v>
      </c>
      <c r="Q96" t="s">
        <v>3829</v>
      </c>
      <c r="R96" t="s">
        <v>3830</v>
      </c>
      <c r="S96" t="s">
        <v>17</v>
      </c>
      <c r="U96" t="s">
        <v>3603</v>
      </c>
      <c r="V96" t="s">
        <v>3831</v>
      </c>
      <c r="W96" t="s">
        <v>3620</v>
      </c>
      <c r="X96" t="s">
        <v>19</v>
      </c>
    </row>
    <row r="97" spans="8:24" x14ac:dyDescent="0.45">
      <c r="H97" t="s">
        <v>3715</v>
      </c>
      <c r="I97" t="s">
        <v>13</v>
      </c>
      <c r="J97">
        <v>0.1921878428316979</v>
      </c>
      <c r="K97" t="s">
        <v>14</v>
      </c>
      <c r="P97" t="s">
        <v>3603</v>
      </c>
      <c r="Q97" t="s">
        <v>3832</v>
      </c>
      <c r="R97" t="s">
        <v>3833</v>
      </c>
      <c r="S97" t="s">
        <v>17</v>
      </c>
      <c r="U97" t="s">
        <v>3603</v>
      </c>
      <c r="V97" t="s">
        <v>3834</v>
      </c>
      <c r="W97" t="s">
        <v>3620</v>
      </c>
      <c r="X97" t="s">
        <v>19</v>
      </c>
    </row>
    <row r="98" spans="8:24" x14ac:dyDescent="0.45">
      <c r="H98" t="s">
        <v>3715</v>
      </c>
      <c r="I98" t="s">
        <v>27</v>
      </c>
      <c r="J98">
        <v>0.1921878428316979</v>
      </c>
      <c r="K98" t="s">
        <v>14</v>
      </c>
      <c r="P98" t="s">
        <v>3603</v>
      </c>
      <c r="Q98" t="s">
        <v>3835</v>
      </c>
      <c r="R98" t="s">
        <v>3836</v>
      </c>
      <c r="S98" t="s">
        <v>17</v>
      </c>
      <c r="U98" t="s">
        <v>3603</v>
      </c>
      <c r="V98" t="s">
        <v>3837</v>
      </c>
      <c r="W98" t="s">
        <v>3620</v>
      </c>
      <c r="X98" t="s">
        <v>19</v>
      </c>
    </row>
    <row r="99" spans="8:24" x14ac:dyDescent="0.45">
      <c r="H99" t="s">
        <v>3715</v>
      </c>
      <c r="I99" t="s">
        <v>36</v>
      </c>
      <c r="J99">
        <v>0.1921878428316979</v>
      </c>
      <c r="K99" t="s">
        <v>14</v>
      </c>
      <c r="P99" t="s">
        <v>3603</v>
      </c>
      <c r="Q99" t="s">
        <v>3838</v>
      </c>
      <c r="R99" t="s">
        <v>3804</v>
      </c>
      <c r="S99" t="s">
        <v>17</v>
      </c>
      <c r="U99" t="s">
        <v>3603</v>
      </c>
      <c r="V99" t="s">
        <v>3839</v>
      </c>
      <c r="W99" t="s">
        <v>3620</v>
      </c>
      <c r="X99" t="s">
        <v>19</v>
      </c>
    </row>
    <row r="100" spans="8:24" x14ac:dyDescent="0.45">
      <c r="H100" t="s">
        <v>3718</v>
      </c>
      <c r="I100" t="s">
        <v>13</v>
      </c>
      <c r="J100">
        <v>6.107265290815049E-2</v>
      </c>
      <c r="K100" t="s">
        <v>14</v>
      </c>
      <c r="P100" t="s">
        <v>3603</v>
      </c>
      <c r="Q100" t="s">
        <v>3840</v>
      </c>
      <c r="R100" t="s">
        <v>3722</v>
      </c>
      <c r="S100" t="s">
        <v>17</v>
      </c>
      <c r="U100" t="s">
        <v>3603</v>
      </c>
      <c r="V100" t="s">
        <v>3841</v>
      </c>
      <c r="W100" t="s">
        <v>3620</v>
      </c>
      <c r="X100" t="s">
        <v>19</v>
      </c>
    </row>
    <row r="101" spans="8:24" x14ac:dyDescent="0.45">
      <c r="H101" t="s">
        <v>3718</v>
      </c>
      <c r="I101" t="s">
        <v>27</v>
      </c>
      <c r="J101">
        <v>6.107265290815049E-2</v>
      </c>
      <c r="K101" t="s">
        <v>14</v>
      </c>
      <c r="P101" t="s">
        <v>3603</v>
      </c>
      <c r="Q101" t="s">
        <v>3842</v>
      </c>
      <c r="R101" t="s">
        <v>3843</v>
      </c>
      <c r="S101" t="s">
        <v>17</v>
      </c>
      <c r="U101" t="s">
        <v>3603</v>
      </c>
      <c r="V101" t="s">
        <v>3844</v>
      </c>
      <c r="W101" t="s">
        <v>3620</v>
      </c>
      <c r="X101" t="s">
        <v>19</v>
      </c>
    </row>
    <row r="102" spans="8:24" x14ac:dyDescent="0.45">
      <c r="H102" t="s">
        <v>3718</v>
      </c>
      <c r="I102" t="s">
        <v>36</v>
      </c>
      <c r="J102">
        <v>6.107265290815049E-2</v>
      </c>
      <c r="K102" t="s">
        <v>14</v>
      </c>
      <c r="P102" t="s">
        <v>3603</v>
      </c>
      <c r="Q102" t="s">
        <v>3845</v>
      </c>
      <c r="R102" t="s">
        <v>3846</v>
      </c>
      <c r="S102" t="s">
        <v>17</v>
      </c>
      <c r="U102" t="s">
        <v>3603</v>
      </c>
      <c r="V102" t="s">
        <v>3847</v>
      </c>
      <c r="W102" t="s">
        <v>3620</v>
      </c>
      <c r="X102" t="s">
        <v>19</v>
      </c>
    </row>
    <row r="103" spans="8:24" x14ac:dyDescent="0.45">
      <c r="H103" t="s">
        <v>3721</v>
      </c>
      <c r="I103" t="s">
        <v>13</v>
      </c>
      <c r="J103">
        <v>1.355213492709734E-3</v>
      </c>
      <c r="K103" t="s">
        <v>14</v>
      </c>
      <c r="P103" t="s">
        <v>3603</v>
      </c>
      <c r="Q103" t="s">
        <v>3848</v>
      </c>
      <c r="R103" t="s">
        <v>3649</v>
      </c>
      <c r="S103" t="s">
        <v>17</v>
      </c>
      <c r="U103" t="s">
        <v>3603</v>
      </c>
      <c r="V103" t="s">
        <v>3847</v>
      </c>
      <c r="W103" t="s">
        <v>3849</v>
      </c>
      <c r="X103" t="s">
        <v>19</v>
      </c>
    </row>
    <row r="104" spans="8:24" x14ac:dyDescent="0.45">
      <c r="H104" t="s">
        <v>3721</v>
      </c>
      <c r="I104" t="s">
        <v>27</v>
      </c>
      <c r="J104">
        <v>1.355213492709734E-3</v>
      </c>
      <c r="K104" t="s">
        <v>14</v>
      </c>
      <c r="P104" t="s">
        <v>3603</v>
      </c>
      <c r="Q104" t="s">
        <v>3850</v>
      </c>
      <c r="R104" t="s">
        <v>3851</v>
      </c>
      <c r="S104" t="s">
        <v>17</v>
      </c>
      <c r="U104" t="s">
        <v>3603</v>
      </c>
      <c r="V104" t="s">
        <v>3852</v>
      </c>
      <c r="W104" t="s">
        <v>3620</v>
      </c>
      <c r="X104" t="s">
        <v>19</v>
      </c>
    </row>
    <row r="105" spans="8:24" x14ac:dyDescent="0.45">
      <c r="H105" t="s">
        <v>3721</v>
      </c>
      <c r="I105" t="s">
        <v>36</v>
      </c>
      <c r="J105">
        <v>1.355213492709734E-3</v>
      </c>
      <c r="K105" t="s">
        <v>14</v>
      </c>
      <c r="U105" t="s">
        <v>3603</v>
      </c>
      <c r="V105" t="s">
        <v>3852</v>
      </c>
      <c r="W105" t="s">
        <v>3849</v>
      </c>
      <c r="X105" t="s">
        <v>19</v>
      </c>
    </row>
    <row r="106" spans="8:24" x14ac:dyDescent="0.45">
      <c r="H106" t="s">
        <v>3724</v>
      </c>
      <c r="I106" t="s">
        <v>13</v>
      </c>
      <c r="J106">
        <v>1.1660379269469671E-2</v>
      </c>
      <c r="K106" t="s">
        <v>14</v>
      </c>
      <c r="U106" t="s">
        <v>3603</v>
      </c>
      <c r="V106" t="s">
        <v>3853</v>
      </c>
      <c r="W106" t="s">
        <v>3620</v>
      </c>
      <c r="X106" t="s">
        <v>19</v>
      </c>
    </row>
    <row r="107" spans="8:24" x14ac:dyDescent="0.45">
      <c r="H107" t="s">
        <v>3724</v>
      </c>
      <c r="I107" t="s">
        <v>27</v>
      </c>
      <c r="J107">
        <v>1.1660379269469671E-2</v>
      </c>
      <c r="K107" t="s">
        <v>14</v>
      </c>
      <c r="U107" t="s">
        <v>3603</v>
      </c>
      <c r="V107" t="s">
        <v>3853</v>
      </c>
      <c r="W107" t="s">
        <v>3849</v>
      </c>
      <c r="X107" t="s">
        <v>19</v>
      </c>
    </row>
    <row r="108" spans="8:24" x14ac:dyDescent="0.45">
      <c r="H108" t="s">
        <v>3724</v>
      </c>
      <c r="I108" t="s">
        <v>36</v>
      </c>
      <c r="J108">
        <v>1.1660379269469671E-2</v>
      </c>
      <c r="K108" t="s">
        <v>14</v>
      </c>
      <c r="U108" t="s">
        <v>3603</v>
      </c>
      <c r="V108" t="s">
        <v>3854</v>
      </c>
      <c r="W108" t="s">
        <v>3849</v>
      </c>
      <c r="X108" t="s">
        <v>19</v>
      </c>
    </row>
    <row r="109" spans="8:24" x14ac:dyDescent="0.45">
      <c r="H109" t="s">
        <v>3727</v>
      </c>
      <c r="I109" t="s">
        <v>13</v>
      </c>
      <c r="J109">
        <v>1.5690660699130422E-2</v>
      </c>
      <c r="K109" t="s">
        <v>14</v>
      </c>
      <c r="U109" t="s">
        <v>3603</v>
      </c>
      <c r="V109" t="s">
        <v>3855</v>
      </c>
      <c r="W109" t="s">
        <v>3849</v>
      </c>
      <c r="X109" t="s">
        <v>19</v>
      </c>
    </row>
    <row r="110" spans="8:24" x14ac:dyDescent="0.45">
      <c r="H110" t="s">
        <v>3727</v>
      </c>
      <c r="I110" t="s">
        <v>27</v>
      </c>
      <c r="J110">
        <v>1.5690660699130422E-2</v>
      </c>
      <c r="K110" t="s">
        <v>14</v>
      </c>
      <c r="U110" t="s">
        <v>3603</v>
      </c>
      <c r="V110" t="s">
        <v>3856</v>
      </c>
      <c r="W110" t="s">
        <v>3849</v>
      </c>
      <c r="X110" t="s">
        <v>19</v>
      </c>
    </row>
    <row r="111" spans="8:24" x14ac:dyDescent="0.45">
      <c r="H111" t="s">
        <v>3727</v>
      </c>
      <c r="I111" t="s">
        <v>36</v>
      </c>
      <c r="J111">
        <v>1.5690660699130422E-2</v>
      </c>
      <c r="K111" t="s">
        <v>14</v>
      </c>
      <c r="U111" t="s">
        <v>3603</v>
      </c>
      <c r="V111" t="s">
        <v>3856</v>
      </c>
      <c r="W111" t="s">
        <v>3620</v>
      </c>
      <c r="X111" t="s">
        <v>17</v>
      </c>
    </row>
    <row r="112" spans="8:24" x14ac:dyDescent="0.45">
      <c r="H112" t="s">
        <v>3728</v>
      </c>
      <c r="I112" t="s">
        <v>13</v>
      </c>
      <c r="J112">
        <v>5.236680113397894E-3</v>
      </c>
      <c r="K112" t="s">
        <v>14</v>
      </c>
      <c r="U112" t="s">
        <v>3603</v>
      </c>
      <c r="V112" t="s">
        <v>3857</v>
      </c>
      <c r="W112" t="s">
        <v>3849</v>
      </c>
      <c r="X112" t="s">
        <v>19</v>
      </c>
    </row>
    <row r="113" spans="8:24" x14ac:dyDescent="0.45">
      <c r="H113" t="s">
        <v>3728</v>
      </c>
      <c r="I113" t="s">
        <v>27</v>
      </c>
      <c r="J113">
        <v>5.236680113397894E-3</v>
      </c>
      <c r="K113" t="s">
        <v>14</v>
      </c>
      <c r="U113" t="s">
        <v>3603</v>
      </c>
      <c r="V113" t="s">
        <v>3857</v>
      </c>
      <c r="W113" t="s">
        <v>3620</v>
      </c>
      <c r="X113" t="s">
        <v>17</v>
      </c>
    </row>
    <row r="114" spans="8:24" x14ac:dyDescent="0.45">
      <c r="H114" t="s">
        <v>3728</v>
      </c>
      <c r="I114" t="s">
        <v>36</v>
      </c>
      <c r="J114">
        <v>5.236680113397894E-3</v>
      </c>
      <c r="K114" t="s">
        <v>14</v>
      </c>
      <c r="U114" t="s">
        <v>3603</v>
      </c>
      <c r="V114" t="s">
        <v>3858</v>
      </c>
      <c r="W114" t="s">
        <v>3624</v>
      </c>
      <c r="X114" t="s">
        <v>19</v>
      </c>
    </row>
    <row r="115" spans="8:24" x14ac:dyDescent="0.45">
      <c r="H115" t="s">
        <v>3730</v>
      </c>
      <c r="I115" t="s">
        <v>13</v>
      </c>
      <c r="J115">
        <v>2.4145242108719801E-2</v>
      </c>
      <c r="K115" t="s">
        <v>14</v>
      </c>
      <c r="U115" t="s">
        <v>3603</v>
      </c>
      <c r="V115" t="s">
        <v>3859</v>
      </c>
      <c r="W115" t="s">
        <v>3624</v>
      </c>
      <c r="X115" t="s">
        <v>19</v>
      </c>
    </row>
    <row r="116" spans="8:24" x14ac:dyDescent="0.45">
      <c r="H116" t="s">
        <v>3730</v>
      </c>
      <c r="I116" t="s">
        <v>27</v>
      </c>
      <c r="J116">
        <v>2.4145242108719801E-2</v>
      </c>
      <c r="K116" t="s">
        <v>14</v>
      </c>
      <c r="U116" t="s">
        <v>3603</v>
      </c>
      <c r="V116" t="s">
        <v>3860</v>
      </c>
      <c r="W116" t="s">
        <v>3624</v>
      </c>
      <c r="X116" t="s">
        <v>19</v>
      </c>
    </row>
    <row r="117" spans="8:24" x14ac:dyDescent="0.45">
      <c r="H117" t="s">
        <v>3730</v>
      </c>
      <c r="I117" t="s">
        <v>36</v>
      </c>
      <c r="J117">
        <v>2.4145242108719801E-2</v>
      </c>
      <c r="K117" t="s">
        <v>14</v>
      </c>
      <c r="U117" t="s">
        <v>3603</v>
      </c>
      <c r="V117" t="s">
        <v>3861</v>
      </c>
      <c r="W117" t="s">
        <v>3624</v>
      </c>
      <c r="X117" t="s">
        <v>19</v>
      </c>
    </row>
    <row r="118" spans="8:24" x14ac:dyDescent="0.45">
      <c r="H118" t="s">
        <v>3731</v>
      </c>
      <c r="I118" t="s">
        <v>13</v>
      </c>
      <c r="J118">
        <v>8.9175572138228437E-2</v>
      </c>
      <c r="K118" t="s">
        <v>14</v>
      </c>
      <c r="U118" t="s">
        <v>3603</v>
      </c>
      <c r="V118" t="s">
        <v>3862</v>
      </c>
      <c r="W118" t="s">
        <v>3624</v>
      </c>
      <c r="X118" t="s">
        <v>19</v>
      </c>
    </row>
    <row r="119" spans="8:24" x14ac:dyDescent="0.45">
      <c r="H119" t="s">
        <v>3731</v>
      </c>
      <c r="I119" t="s">
        <v>27</v>
      </c>
      <c r="J119">
        <v>8.9175572138228437E-2</v>
      </c>
      <c r="K119" t="s">
        <v>14</v>
      </c>
      <c r="U119" t="s">
        <v>3603</v>
      </c>
      <c r="V119" t="s">
        <v>3863</v>
      </c>
      <c r="W119" t="s">
        <v>3624</v>
      </c>
      <c r="X119" t="s">
        <v>19</v>
      </c>
    </row>
    <row r="120" spans="8:24" x14ac:dyDescent="0.45">
      <c r="H120" t="s">
        <v>3731</v>
      </c>
      <c r="I120" t="s">
        <v>36</v>
      </c>
      <c r="J120">
        <v>8.9175572138228437E-2</v>
      </c>
      <c r="K120" t="s">
        <v>14</v>
      </c>
      <c r="U120" t="s">
        <v>3603</v>
      </c>
      <c r="V120" t="s">
        <v>3864</v>
      </c>
      <c r="W120" t="s">
        <v>3624</v>
      </c>
      <c r="X120" t="s">
        <v>19</v>
      </c>
    </row>
    <row r="121" spans="8:24" x14ac:dyDescent="0.45">
      <c r="H121" t="s">
        <v>3733</v>
      </c>
      <c r="I121" t="s">
        <v>13</v>
      </c>
      <c r="J121">
        <v>7.9843797374323788E-3</v>
      </c>
      <c r="K121" t="s">
        <v>14</v>
      </c>
      <c r="U121" t="s">
        <v>3603</v>
      </c>
      <c r="V121" t="s">
        <v>3865</v>
      </c>
      <c r="W121" t="s">
        <v>3624</v>
      </c>
      <c r="X121" t="s">
        <v>19</v>
      </c>
    </row>
    <row r="122" spans="8:24" x14ac:dyDescent="0.45">
      <c r="H122" t="s">
        <v>3733</v>
      </c>
      <c r="I122" t="s">
        <v>27</v>
      </c>
      <c r="J122">
        <v>7.9843797374323788E-3</v>
      </c>
      <c r="K122" t="s">
        <v>14</v>
      </c>
      <c r="U122" t="s">
        <v>3603</v>
      </c>
      <c r="V122" t="s">
        <v>3866</v>
      </c>
      <c r="W122" t="s">
        <v>3624</v>
      </c>
      <c r="X122" t="s">
        <v>19</v>
      </c>
    </row>
    <row r="123" spans="8:24" x14ac:dyDescent="0.45">
      <c r="H123" t="s">
        <v>3733</v>
      </c>
      <c r="I123" t="s">
        <v>36</v>
      </c>
      <c r="J123">
        <v>7.9843797374323788E-3</v>
      </c>
      <c r="K123" t="s">
        <v>14</v>
      </c>
      <c r="U123" t="s">
        <v>3603</v>
      </c>
      <c r="V123" t="s">
        <v>3867</v>
      </c>
      <c r="W123" t="s">
        <v>3624</v>
      </c>
      <c r="X123" t="s">
        <v>19</v>
      </c>
    </row>
    <row r="124" spans="8:24" x14ac:dyDescent="0.45">
      <c r="H124" t="s">
        <v>3735</v>
      </c>
      <c r="I124" t="s">
        <v>13</v>
      </c>
      <c r="J124">
        <v>7.4806944016228588E-2</v>
      </c>
      <c r="K124" t="s">
        <v>14</v>
      </c>
      <c r="U124" t="s">
        <v>3603</v>
      </c>
      <c r="V124" t="s">
        <v>3868</v>
      </c>
      <c r="W124" t="s">
        <v>3624</v>
      </c>
      <c r="X124" t="s">
        <v>19</v>
      </c>
    </row>
    <row r="125" spans="8:24" x14ac:dyDescent="0.45">
      <c r="H125" t="s">
        <v>3735</v>
      </c>
      <c r="I125" t="s">
        <v>27</v>
      </c>
      <c r="J125">
        <v>7.4806944016228588E-2</v>
      </c>
      <c r="K125" t="s">
        <v>14</v>
      </c>
      <c r="U125" t="s">
        <v>3603</v>
      </c>
      <c r="V125" t="s">
        <v>3868</v>
      </c>
      <c r="W125" t="s">
        <v>3833</v>
      </c>
      <c r="X125" t="s">
        <v>19</v>
      </c>
    </row>
    <row r="126" spans="8:24" x14ac:dyDescent="0.45">
      <c r="H126" t="s">
        <v>3735</v>
      </c>
      <c r="I126" t="s">
        <v>36</v>
      </c>
      <c r="J126">
        <v>7.4806944016228588E-2</v>
      </c>
      <c r="K126" t="s">
        <v>14</v>
      </c>
      <c r="U126" t="s">
        <v>3603</v>
      </c>
      <c r="V126" t="s">
        <v>3869</v>
      </c>
      <c r="W126" t="s">
        <v>3624</v>
      </c>
      <c r="X126" t="s">
        <v>19</v>
      </c>
    </row>
    <row r="127" spans="8:24" x14ac:dyDescent="0.45">
      <c r="H127" t="s">
        <v>3737</v>
      </c>
      <c r="I127" t="s">
        <v>13</v>
      </c>
      <c r="J127">
        <v>3.8275538456637441E-2</v>
      </c>
      <c r="K127" t="s">
        <v>14</v>
      </c>
      <c r="U127" t="s">
        <v>3603</v>
      </c>
      <c r="V127" t="s">
        <v>3869</v>
      </c>
      <c r="W127" t="s">
        <v>3833</v>
      </c>
      <c r="X127" t="s">
        <v>19</v>
      </c>
    </row>
    <row r="128" spans="8:24" x14ac:dyDescent="0.45">
      <c r="H128" t="s">
        <v>3737</v>
      </c>
      <c r="I128" t="s">
        <v>27</v>
      </c>
      <c r="J128">
        <v>3.8275538456637441E-2</v>
      </c>
      <c r="K128" t="s">
        <v>14</v>
      </c>
      <c r="U128" t="s">
        <v>3603</v>
      </c>
      <c r="V128" t="s">
        <v>3870</v>
      </c>
      <c r="W128" t="s">
        <v>3624</v>
      </c>
      <c r="X128" t="s">
        <v>19</v>
      </c>
    </row>
    <row r="129" spans="8:24" x14ac:dyDescent="0.45">
      <c r="H129" t="s">
        <v>3737</v>
      </c>
      <c r="I129" t="s">
        <v>36</v>
      </c>
      <c r="J129">
        <v>3.8275538456637441E-2</v>
      </c>
      <c r="K129" t="s">
        <v>14</v>
      </c>
      <c r="U129" t="s">
        <v>3603</v>
      </c>
      <c r="V129" t="s">
        <v>3870</v>
      </c>
      <c r="W129" t="s">
        <v>3833</v>
      </c>
      <c r="X129" t="s">
        <v>19</v>
      </c>
    </row>
    <row r="130" spans="8:24" x14ac:dyDescent="0.45">
      <c r="H130" t="s">
        <v>3738</v>
      </c>
      <c r="I130" t="s">
        <v>13</v>
      </c>
      <c r="J130">
        <v>3.7671366167364891E-2</v>
      </c>
      <c r="K130" t="s">
        <v>14</v>
      </c>
      <c r="U130" t="s">
        <v>3603</v>
      </c>
      <c r="V130" t="s">
        <v>3871</v>
      </c>
      <c r="W130" t="s">
        <v>3833</v>
      </c>
      <c r="X130" t="s">
        <v>19</v>
      </c>
    </row>
    <row r="131" spans="8:24" x14ac:dyDescent="0.45">
      <c r="H131" t="s">
        <v>3738</v>
      </c>
      <c r="I131" t="s">
        <v>27</v>
      </c>
      <c r="J131">
        <v>3.7671366167364891E-2</v>
      </c>
      <c r="K131" t="s">
        <v>14</v>
      </c>
      <c r="U131" t="s">
        <v>3603</v>
      </c>
      <c r="V131" t="s">
        <v>3872</v>
      </c>
      <c r="W131" t="s">
        <v>3833</v>
      </c>
      <c r="X131" t="s">
        <v>19</v>
      </c>
    </row>
    <row r="132" spans="8:24" x14ac:dyDescent="0.45">
      <c r="H132" t="s">
        <v>3738</v>
      </c>
      <c r="I132" t="s">
        <v>36</v>
      </c>
      <c r="J132">
        <v>3.7671366167364891E-2</v>
      </c>
      <c r="K132" t="s">
        <v>14</v>
      </c>
      <c r="U132" t="s">
        <v>3603</v>
      </c>
      <c r="V132" t="s">
        <v>3873</v>
      </c>
      <c r="W132" t="s">
        <v>3833</v>
      </c>
      <c r="X132" t="s">
        <v>19</v>
      </c>
    </row>
    <row r="133" spans="8:24" x14ac:dyDescent="0.45">
      <c r="H133" t="s">
        <v>3740</v>
      </c>
      <c r="I133" t="s">
        <v>13</v>
      </c>
      <c r="J133">
        <v>3.7648527044076487E-2</v>
      </c>
      <c r="K133" t="s">
        <v>14</v>
      </c>
      <c r="U133" t="s">
        <v>3603</v>
      </c>
      <c r="V133" t="s">
        <v>3873</v>
      </c>
      <c r="W133" t="s">
        <v>3624</v>
      </c>
      <c r="X133" t="s">
        <v>17</v>
      </c>
    </row>
    <row r="134" spans="8:24" x14ac:dyDescent="0.45">
      <c r="H134" t="s">
        <v>3740</v>
      </c>
      <c r="I134" t="s">
        <v>27</v>
      </c>
      <c r="J134">
        <v>3.7648527044076487E-2</v>
      </c>
      <c r="K134" t="s">
        <v>14</v>
      </c>
      <c r="U134" t="s">
        <v>3603</v>
      </c>
      <c r="V134" t="s">
        <v>3874</v>
      </c>
      <c r="W134" t="s">
        <v>3833</v>
      </c>
      <c r="X134" t="s">
        <v>19</v>
      </c>
    </row>
    <row r="135" spans="8:24" x14ac:dyDescent="0.45">
      <c r="H135" t="s">
        <v>3740</v>
      </c>
      <c r="I135" t="s">
        <v>36</v>
      </c>
      <c r="J135">
        <v>3.7648527044076487E-2</v>
      </c>
      <c r="K135" t="s">
        <v>14</v>
      </c>
      <c r="U135" t="s">
        <v>3603</v>
      </c>
      <c r="V135" t="s">
        <v>3874</v>
      </c>
      <c r="W135" t="s">
        <v>3624</v>
      </c>
      <c r="X135" t="s">
        <v>17</v>
      </c>
    </row>
    <row r="136" spans="8:24" x14ac:dyDescent="0.45">
      <c r="H136" t="s">
        <v>3741</v>
      </c>
      <c r="I136" t="s">
        <v>13</v>
      </c>
      <c r="J136">
        <v>2.3860608717313089E-2</v>
      </c>
      <c r="K136" t="s">
        <v>14</v>
      </c>
      <c r="U136" t="s">
        <v>3603</v>
      </c>
      <c r="V136" t="s">
        <v>3875</v>
      </c>
      <c r="W136" t="s">
        <v>3628</v>
      </c>
      <c r="X136" t="s">
        <v>19</v>
      </c>
    </row>
    <row r="137" spans="8:24" x14ac:dyDescent="0.45">
      <c r="H137" t="s">
        <v>3741</v>
      </c>
      <c r="I137" t="s">
        <v>27</v>
      </c>
      <c r="J137">
        <v>2.3860608717313089E-2</v>
      </c>
      <c r="K137" t="s">
        <v>14</v>
      </c>
      <c r="U137" t="s">
        <v>3603</v>
      </c>
      <c r="V137" t="s">
        <v>3876</v>
      </c>
      <c r="W137" t="s">
        <v>3628</v>
      </c>
      <c r="X137" t="s">
        <v>19</v>
      </c>
    </row>
    <row r="138" spans="8:24" x14ac:dyDescent="0.45">
      <c r="H138" t="s">
        <v>3741</v>
      </c>
      <c r="I138" t="s">
        <v>36</v>
      </c>
      <c r="J138">
        <v>2.3860608717313089E-2</v>
      </c>
      <c r="K138" t="s">
        <v>14</v>
      </c>
      <c r="U138" t="s">
        <v>3603</v>
      </c>
      <c r="V138" t="s">
        <v>3877</v>
      </c>
      <c r="W138" t="s">
        <v>3628</v>
      </c>
      <c r="X138" t="s">
        <v>19</v>
      </c>
    </row>
    <row r="139" spans="8:24" x14ac:dyDescent="0.45">
      <c r="H139" t="s">
        <v>3743</v>
      </c>
      <c r="I139" t="s">
        <v>13</v>
      </c>
      <c r="J139">
        <v>6.2241866969211862E-3</v>
      </c>
      <c r="K139" t="s">
        <v>14</v>
      </c>
      <c r="U139" t="s">
        <v>3603</v>
      </c>
      <c r="V139" t="s">
        <v>3878</v>
      </c>
      <c r="W139" t="s">
        <v>3628</v>
      </c>
      <c r="X139" t="s">
        <v>19</v>
      </c>
    </row>
    <row r="140" spans="8:24" x14ac:dyDescent="0.45">
      <c r="H140" t="s">
        <v>3743</v>
      </c>
      <c r="I140" t="s">
        <v>27</v>
      </c>
      <c r="J140">
        <v>6.2241866969211862E-3</v>
      </c>
      <c r="K140" t="s">
        <v>14</v>
      </c>
      <c r="U140" t="s">
        <v>3603</v>
      </c>
      <c r="V140" t="s">
        <v>3879</v>
      </c>
      <c r="W140" t="s">
        <v>3628</v>
      </c>
      <c r="X140" t="s">
        <v>19</v>
      </c>
    </row>
    <row r="141" spans="8:24" x14ac:dyDescent="0.45">
      <c r="H141" t="s">
        <v>3743</v>
      </c>
      <c r="I141" t="s">
        <v>36</v>
      </c>
      <c r="J141">
        <v>6.2241866969211862E-3</v>
      </c>
      <c r="K141" t="s">
        <v>14</v>
      </c>
      <c r="U141" t="s">
        <v>3603</v>
      </c>
      <c r="V141" t="s">
        <v>3880</v>
      </c>
      <c r="W141" t="s">
        <v>3628</v>
      </c>
      <c r="X141" t="s">
        <v>19</v>
      </c>
    </row>
    <row r="142" spans="8:24" x14ac:dyDescent="0.45">
      <c r="H142" t="s">
        <v>3745</v>
      </c>
      <c r="I142" t="s">
        <v>13</v>
      </c>
      <c r="J142">
        <v>4.1028640452723086E-2</v>
      </c>
      <c r="K142" t="s">
        <v>14</v>
      </c>
      <c r="U142" t="s">
        <v>3603</v>
      </c>
      <c r="V142" t="s">
        <v>3881</v>
      </c>
      <c r="W142" t="s">
        <v>3628</v>
      </c>
      <c r="X142" t="s">
        <v>19</v>
      </c>
    </row>
    <row r="143" spans="8:24" x14ac:dyDescent="0.45">
      <c r="H143" t="s">
        <v>3745</v>
      </c>
      <c r="I143" t="s">
        <v>27</v>
      </c>
      <c r="J143">
        <v>4.1028640452723086E-2</v>
      </c>
      <c r="K143" t="s">
        <v>14</v>
      </c>
      <c r="U143" t="s">
        <v>3603</v>
      </c>
      <c r="V143" t="s">
        <v>3882</v>
      </c>
      <c r="W143" t="s">
        <v>3628</v>
      </c>
      <c r="X143" t="s">
        <v>19</v>
      </c>
    </row>
    <row r="144" spans="8:24" x14ac:dyDescent="0.45">
      <c r="H144" t="s">
        <v>3745</v>
      </c>
      <c r="I144" t="s">
        <v>36</v>
      </c>
      <c r="J144">
        <v>4.1028640452723086E-2</v>
      </c>
      <c r="K144" t="s">
        <v>14</v>
      </c>
      <c r="U144" t="s">
        <v>3603</v>
      </c>
      <c r="V144" t="s">
        <v>3883</v>
      </c>
      <c r="W144" t="s">
        <v>3628</v>
      </c>
      <c r="X144" t="s">
        <v>19</v>
      </c>
    </row>
    <row r="145" spans="8:24" x14ac:dyDescent="0.45">
      <c r="H145" t="s">
        <v>3747</v>
      </c>
      <c r="I145" t="s">
        <v>13</v>
      </c>
      <c r="J145">
        <v>9.7259849991474301E-2</v>
      </c>
      <c r="K145" t="s">
        <v>14</v>
      </c>
      <c r="U145" t="s">
        <v>3603</v>
      </c>
      <c r="V145" t="s">
        <v>3884</v>
      </c>
      <c r="W145" t="s">
        <v>3628</v>
      </c>
      <c r="X145" t="s">
        <v>19</v>
      </c>
    </row>
    <row r="146" spans="8:24" x14ac:dyDescent="0.45">
      <c r="H146" t="s">
        <v>3747</v>
      </c>
      <c r="I146" t="s">
        <v>27</v>
      </c>
      <c r="J146">
        <v>9.7259849991474301E-2</v>
      </c>
      <c r="K146" t="s">
        <v>14</v>
      </c>
      <c r="U146" t="s">
        <v>3603</v>
      </c>
      <c r="V146" t="s">
        <v>3885</v>
      </c>
      <c r="W146" t="s">
        <v>3628</v>
      </c>
      <c r="X146" t="s">
        <v>19</v>
      </c>
    </row>
    <row r="147" spans="8:24" x14ac:dyDescent="0.45">
      <c r="H147" t="s">
        <v>3747</v>
      </c>
      <c r="I147" t="s">
        <v>36</v>
      </c>
      <c r="J147">
        <v>9.7259849991474301E-2</v>
      </c>
      <c r="K147" t="s">
        <v>14</v>
      </c>
      <c r="U147" t="s">
        <v>3603</v>
      </c>
      <c r="V147" t="s">
        <v>3885</v>
      </c>
      <c r="W147" t="s">
        <v>3886</v>
      </c>
      <c r="X147" t="s">
        <v>19</v>
      </c>
    </row>
    <row r="148" spans="8:24" x14ac:dyDescent="0.45">
      <c r="H148" t="s">
        <v>3749</v>
      </c>
      <c r="I148" t="s">
        <v>13</v>
      </c>
      <c r="J148">
        <v>1.653818568295432E-3</v>
      </c>
      <c r="K148" t="s">
        <v>14</v>
      </c>
      <c r="U148" t="s">
        <v>3603</v>
      </c>
      <c r="V148" t="s">
        <v>3887</v>
      </c>
      <c r="W148" t="s">
        <v>3628</v>
      </c>
      <c r="X148" t="s">
        <v>19</v>
      </c>
    </row>
    <row r="149" spans="8:24" x14ac:dyDescent="0.45">
      <c r="H149" t="s">
        <v>3749</v>
      </c>
      <c r="I149" t="s">
        <v>27</v>
      </c>
      <c r="J149">
        <v>1.653818568295432E-3</v>
      </c>
      <c r="K149" t="s">
        <v>14</v>
      </c>
      <c r="U149" t="s">
        <v>3603</v>
      </c>
      <c r="V149" t="s">
        <v>3887</v>
      </c>
      <c r="W149" t="s">
        <v>3886</v>
      </c>
      <c r="X149" t="s">
        <v>19</v>
      </c>
    </row>
    <row r="150" spans="8:24" x14ac:dyDescent="0.45">
      <c r="H150" t="s">
        <v>3749</v>
      </c>
      <c r="I150" t="s">
        <v>36</v>
      </c>
      <c r="J150">
        <v>1.653818568295432E-3</v>
      </c>
      <c r="K150" t="s">
        <v>14</v>
      </c>
      <c r="U150" t="s">
        <v>3603</v>
      </c>
      <c r="V150" t="s">
        <v>3888</v>
      </c>
      <c r="W150" t="s">
        <v>3628</v>
      </c>
      <c r="X150" t="s">
        <v>19</v>
      </c>
    </row>
    <row r="151" spans="8:24" x14ac:dyDescent="0.45">
      <c r="H151" t="s">
        <v>3751</v>
      </c>
      <c r="I151" t="s">
        <v>13</v>
      </c>
      <c r="J151">
        <v>6.1303332090588587E-2</v>
      </c>
      <c r="K151" t="s">
        <v>14</v>
      </c>
      <c r="U151" t="s">
        <v>3603</v>
      </c>
      <c r="V151" t="s">
        <v>3888</v>
      </c>
      <c r="W151" t="s">
        <v>3886</v>
      </c>
      <c r="X151" t="s">
        <v>19</v>
      </c>
    </row>
    <row r="152" spans="8:24" x14ac:dyDescent="0.45">
      <c r="H152" t="s">
        <v>3751</v>
      </c>
      <c r="I152" t="s">
        <v>27</v>
      </c>
      <c r="J152">
        <v>6.1303332090588587E-2</v>
      </c>
      <c r="K152" t="s">
        <v>14</v>
      </c>
      <c r="U152" t="s">
        <v>3603</v>
      </c>
      <c r="V152" t="s">
        <v>3889</v>
      </c>
      <c r="W152" t="s">
        <v>3886</v>
      </c>
      <c r="X152" t="s">
        <v>19</v>
      </c>
    </row>
    <row r="153" spans="8:24" x14ac:dyDescent="0.45">
      <c r="H153" t="s">
        <v>3751</v>
      </c>
      <c r="I153" t="s">
        <v>36</v>
      </c>
      <c r="J153">
        <v>6.1303332090588587E-2</v>
      </c>
      <c r="K153" t="s">
        <v>14</v>
      </c>
      <c r="U153" t="s">
        <v>3603</v>
      </c>
      <c r="V153" t="s">
        <v>3890</v>
      </c>
      <c r="W153" t="s">
        <v>3886</v>
      </c>
      <c r="X153" t="s">
        <v>19</v>
      </c>
    </row>
    <row r="154" spans="8:24" x14ac:dyDescent="0.45">
      <c r="H154" t="s">
        <v>3753</v>
      </c>
      <c r="I154" t="s">
        <v>13</v>
      </c>
      <c r="J154">
        <v>5.0947350711847507E-2</v>
      </c>
      <c r="K154" t="s">
        <v>14</v>
      </c>
      <c r="U154" t="s">
        <v>3603</v>
      </c>
      <c r="V154" t="s">
        <v>3891</v>
      </c>
      <c r="W154" t="s">
        <v>3886</v>
      </c>
      <c r="X154" t="s">
        <v>19</v>
      </c>
    </row>
    <row r="155" spans="8:24" x14ac:dyDescent="0.45">
      <c r="H155" t="s">
        <v>3753</v>
      </c>
      <c r="I155" t="s">
        <v>27</v>
      </c>
      <c r="J155">
        <v>5.0947350711847507E-2</v>
      </c>
      <c r="K155" t="s">
        <v>14</v>
      </c>
      <c r="U155" t="s">
        <v>3603</v>
      </c>
      <c r="V155" t="s">
        <v>3891</v>
      </c>
      <c r="W155" t="s">
        <v>3628</v>
      </c>
      <c r="X155" t="s">
        <v>17</v>
      </c>
    </row>
    <row r="156" spans="8:24" x14ac:dyDescent="0.45">
      <c r="H156" t="s">
        <v>3753</v>
      </c>
      <c r="I156" t="s">
        <v>36</v>
      </c>
      <c r="J156">
        <v>5.0947350711847507E-2</v>
      </c>
      <c r="K156" t="s">
        <v>14</v>
      </c>
      <c r="U156" t="s">
        <v>3603</v>
      </c>
      <c r="V156" t="s">
        <v>3892</v>
      </c>
      <c r="W156" t="s">
        <v>3886</v>
      </c>
      <c r="X156" t="s">
        <v>19</v>
      </c>
    </row>
    <row r="157" spans="8:24" x14ac:dyDescent="0.45">
      <c r="H157" t="s">
        <v>3755</v>
      </c>
      <c r="I157" t="s">
        <v>13</v>
      </c>
      <c r="J157">
        <v>5.0898311721333585E-2</v>
      </c>
      <c r="K157" t="s">
        <v>14</v>
      </c>
      <c r="U157" t="s">
        <v>3603</v>
      </c>
      <c r="V157" t="s">
        <v>3892</v>
      </c>
      <c r="W157" t="s">
        <v>3628</v>
      </c>
      <c r="X157" t="s">
        <v>17</v>
      </c>
    </row>
    <row r="158" spans="8:24" x14ac:dyDescent="0.45">
      <c r="H158" t="s">
        <v>3755</v>
      </c>
      <c r="I158" t="s">
        <v>27</v>
      </c>
      <c r="J158">
        <v>5.0898311721333585E-2</v>
      </c>
      <c r="K158" t="s">
        <v>14</v>
      </c>
      <c r="U158" t="s">
        <v>3603</v>
      </c>
      <c r="V158" t="s">
        <v>3893</v>
      </c>
      <c r="W158" t="s">
        <v>3632</v>
      </c>
      <c r="X158" t="s">
        <v>19</v>
      </c>
    </row>
    <row r="159" spans="8:24" x14ac:dyDescent="0.45">
      <c r="H159" t="s">
        <v>3755</v>
      </c>
      <c r="I159" t="s">
        <v>36</v>
      </c>
      <c r="J159">
        <v>5.0898311721333585E-2</v>
      </c>
      <c r="K159" t="s">
        <v>14</v>
      </c>
      <c r="U159" t="s">
        <v>3603</v>
      </c>
      <c r="V159" t="s">
        <v>3894</v>
      </c>
      <c r="W159" t="s">
        <v>3632</v>
      </c>
      <c r="X159" t="s">
        <v>19</v>
      </c>
    </row>
    <row r="160" spans="8:24" x14ac:dyDescent="0.45">
      <c r="H160" t="s">
        <v>3757</v>
      </c>
      <c r="I160" t="s">
        <v>13</v>
      </c>
      <c r="J160">
        <v>2.4957833908988369E-2</v>
      </c>
      <c r="K160" t="s">
        <v>14</v>
      </c>
      <c r="U160" t="s">
        <v>3603</v>
      </c>
      <c r="V160" t="s">
        <v>3895</v>
      </c>
      <c r="W160" t="s">
        <v>3632</v>
      </c>
      <c r="X160" t="s">
        <v>19</v>
      </c>
    </row>
    <row r="161" spans="8:24" x14ac:dyDescent="0.45">
      <c r="H161" t="s">
        <v>3757</v>
      </c>
      <c r="I161" t="s">
        <v>27</v>
      </c>
      <c r="J161">
        <v>2.4957833908988369E-2</v>
      </c>
      <c r="K161" t="s">
        <v>14</v>
      </c>
      <c r="U161" t="s">
        <v>3603</v>
      </c>
      <c r="V161" t="s">
        <v>3896</v>
      </c>
      <c r="W161" t="s">
        <v>3632</v>
      </c>
      <c r="X161" t="s">
        <v>19</v>
      </c>
    </row>
    <row r="162" spans="8:24" x14ac:dyDescent="0.45">
      <c r="H162" t="s">
        <v>3757</v>
      </c>
      <c r="I162" t="s">
        <v>36</v>
      </c>
      <c r="J162">
        <v>2.4957833908988369E-2</v>
      </c>
      <c r="K162" t="s">
        <v>14</v>
      </c>
      <c r="U162" t="s">
        <v>3603</v>
      </c>
      <c r="V162" t="s">
        <v>3897</v>
      </c>
      <c r="W162" t="s">
        <v>3632</v>
      </c>
      <c r="X162" t="s">
        <v>19</v>
      </c>
    </row>
    <row r="163" spans="8:24" x14ac:dyDescent="0.45">
      <c r="H163" t="s">
        <v>3759</v>
      </c>
      <c r="I163" t="s">
        <v>13</v>
      </c>
      <c r="J163">
        <v>2.4955068157269208E-2</v>
      </c>
      <c r="K163" t="s">
        <v>14</v>
      </c>
      <c r="U163" t="s">
        <v>3603</v>
      </c>
      <c r="V163" t="s">
        <v>3898</v>
      </c>
      <c r="W163" t="s">
        <v>3632</v>
      </c>
      <c r="X163" t="s">
        <v>19</v>
      </c>
    </row>
    <row r="164" spans="8:24" x14ac:dyDescent="0.45">
      <c r="H164" t="s">
        <v>3759</v>
      </c>
      <c r="I164" t="s">
        <v>27</v>
      </c>
      <c r="J164">
        <v>2.4955068157269208E-2</v>
      </c>
      <c r="K164" t="s">
        <v>14</v>
      </c>
      <c r="U164" t="s">
        <v>3603</v>
      </c>
      <c r="V164" t="s">
        <v>3899</v>
      </c>
      <c r="W164" t="s">
        <v>3632</v>
      </c>
      <c r="X164" t="s">
        <v>19</v>
      </c>
    </row>
    <row r="165" spans="8:24" x14ac:dyDescent="0.45">
      <c r="H165" t="s">
        <v>3759</v>
      </c>
      <c r="I165" t="s">
        <v>36</v>
      </c>
      <c r="J165">
        <v>2.4955068157269208E-2</v>
      </c>
      <c r="K165" t="s">
        <v>14</v>
      </c>
      <c r="U165" t="s">
        <v>3603</v>
      </c>
      <c r="V165" t="s">
        <v>3900</v>
      </c>
      <c r="W165" t="s">
        <v>3632</v>
      </c>
      <c r="X165" t="s">
        <v>19</v>
      </c>
    </row>
    <row r="166" spans="8:24" x14ac:dyDescent="0.45">
      <c r="H166" t="s">
        <v>3761</v>
      </c>
      <c r="I166" t="s">
        <v>13</v>
      </c>
      <c r="J166">
        <v>0.1921878428316979</v>
      </c>
      <c r="K166" t="s">
        <v>14</v>
      </c>
      <c r="U166" t="s">
        <v>3603</v>
      </c>
      <c r="V166" t="s">
        <v>3901</v>
      </c>
      <c r="W166" t="s">
        <v>3632</v>
      </c>
      <c r="X166" t="s">
        <v>19</v>
      </c>
    </row>
    <row r="167" spans="8:24" x14ac:dyDescent="0.45">
      <c r="H167" t="s">
        <v>3761</v>
      </c>
      <c r="I167" t="s">
        <v>27</v>
      </c>
      <c r="J167">
        <v>0.1921878428316979</v>
      </c>
      <c r="K167" t="s">
        <v>14</v>
      </c>
      <c r="U167" t="s">
        <v>3603</v>
      </c>
      <c r="V167" t="s">
        <v>3902</v>
      </c>
      <c r="W167" t="s">
        <v>3632</v>
      </c>
      <c r="X167" t="s">
        <v>19</v>
      </c>
    </row>
    <row r="168" spans="8:24" x14ac:dyDescent="0.45">
      <c r="H168" t="s">
        <v>3761</v>
      </c>
      <c r="I168" t="s">
        <v>36</v>
      </c>
      <c r="J168">
        <v>0.1921878428316979</v>
      </c>
      <c r="K168" t="s">
        <v>14</v>
      </c>
      <c r="U168" t="s">
        <v>3603</v>
      </c>
      <c r="V168" t="s">
        <v>3903</v>
      </c>
      <c r="W168" t="s">
        <v>3632</v>
      </c>
      <c r="X168" t="s">
        <v>19</v>
      </c>
    </row>
    <row r="169" spans="8:24" x14ac:dyDescent="0.45">
      <c r="H169" t="s">
        <v>3763</v>
      </c>
      <c r="I169" t="s">
        <v>13</v>
      </c>
      <c r="J169">
        <v>6.107265290815049E-2</v>
      </c>
      <c r="K169" t="s">
        <v>14</v>
      </c>
      <c r="U169" t="s">
        <v>3603</v>
      </c>
      <c r="V169" t="s">
        <v>3903</v>
      </c>
      <c r="W169" t="s">
        <v>3904</v>
      </c>
      <c r="X169" t="s">
        <v>19</v>
      </c>
    </row>
    <row r="170" spans="8:24" x14ac:dyDescent="0.45">
      <c r="H170" t="s">
        <v>3763</v>
      </c>
      <c r="I170" t="s">
        <v>27</v>
      </c>
      <c r="J170">
        <v>6.107265290815049E-2</v>
      </c>
      <c r="K170" t="s">
        <v>14</v>
      </c>
      <c r="U170" t="s">
        <v>3603</v>
      </c>
      <c r="V170" t="s">
        <v>3905</v>
      </c>
      <c r="W170" t="s">
        <v>3632</v>
      </c>
      <c r="X170" t="s">
        <v>19</v>
      </c>
    </row>
    <row r="171" spans="8:24" x14ac:dyDescent="0.45">
      <c r="H171" t="s">
        <v>3763</v>
      </c>
      <c r="I171" t="s">
        <v>36</v>
      </c>
      <c r="J171">
        <v>6.107265290815049E-2</v>
      </c>
      <c r="K171" t="s">
        <v>14</v>
      </c>
      <c r="U171" t="s">
        <v>3603</v>
      </c>
      <c r="V171" t="s">
        <v>3905</v>
      </c>
      <c r="W171" t="s">
        <v>3904</v>
      </c>
      <c r="X171" t="s">
        <v>19</v>
      </c>
    </row>
    <row r="172" spans="8:24" x14ac:dyDescent="0.45">
      <c r="H172" t="s">
        <v>3765</v>
      </c>
      <c r="I172" t="s">
        <v>13</v>
      </c>
      <c r="J172">
        <v>1.355213492709734E-3</v>
      </c>
      <c r="K172" t="s">
        <v>14</v>
      </c>
      <c r="U172" t="s">
        <v>3603</v>
      </c>
      <c r="V172" t="s">
        <v>3906</v>
      </c>
      <c r="W172" t="s">
        <v>3632</v>
      </c>
      <c r="X172" t="s">
        <v>19</v>
      </c>
    </row>
    <row r="173" spans="8:24" x14ac:dyDescent="0.45">
      <c r="H173" t="s">
        <v>3765</v>
      </c>
      <c r="I173" t="s">
        <v>27</v>
      </c>
      <c r="J173">
        <v>1.355213492709734E-3</v>
      </c>
      <c r="K173" t="s">
        <v>14</v>
      </c>
      <c r="U173" t="s">
        <v>3603</v>
      </c>
      <c r="V173" t="s">
        <v>3906</v>
      </c>
      <c r="W173" t="s">
        <v>3904</v>
      </c>
      <c r="X173" t="s">
        <v>19</v>
      </c>
    </row>
    <row r="174" spans="8:24" x14ac:dyDescent="0.45">
      <c r="H174" t="s">
        <v>3765</v>
      </c>
      <c r="I174" t="s">
        <v>36</v>
      </c>
      <c r="J174">
        <v>1.355213492709734E-3</v>
      </c>
      <c r="K174" t="s">
        <v>14</v>
      </c>
      <c r="U174" t="s">
        <v>3603</v>
      </c>
      <c r="V174" t="s">
        <v>3907</v>
      </c>
      <c r="W174" t="s">
        <v>3904</v>
      </c>
      <c r="X174" t="s">
        <v>19</v>
      </c>
    </row>
    <row r="175" spans="8:24" x14ac:dyDescent="0.45">
      <c r="H175" t="s">
        <v>3767</v>
      </c>
      <c r="I175" t="s">
        <v>13</v>
      </c>
      <c r="J175">
        <v>1.1660379269469671E-2</v>
      </c>
      <c r="K175" t="s">
        <v>14</v>
      </c>
      <c r="U175" t="s">
        <v>3603</v>
      </c>
      <c r="V175" t="s">
        <v>3908</v>
      </c>
      <c r="W175" t="s">
        <v>3904</v>
      </c>
      <c r="X175" t="s">
        <v>19</v>
      </c>
    </row>
    <row r="176" spans="8:24" x14ac:dyDescent="0.45">
      <c r="H176" t="s">
        <v>3767</v>
      </c>
      <c r="I176" t="s">
        <v>27</v>
      </c>
      <c r="J176">
        <v>1.1660379269469671E-2</v>
      </c>
      <c r="K176" t="s">
        <v>14</v>
      </c>
      <c r="U176" t="s">
        <v>3603</v>
      </c>
      <c r="V176" t="s">
        <v>3909</v>
      </c>
      <c r="W176" t="s">
        <v>3904</v>
      </c>
      <c r="X176" t="s">
        <v>19</v>
      </c>
    </row>
    <row r="177" spans="8:24" x14ac:dyDescent="0.45">
      <c r="H177" t="s">
        <v>3767</v>
      </c>
      <c r="I177" t="s">
        <v>36</v>
      </c>
      <c r="J177">
        <v>1.1660379269469671E-2</v>
      </c>
      <c r="K177" t="s">
        <v>14</v>
      </c>
      <c r="U177" t="s">
        <v>3603</v>
      </c>
      <c r="V177" t="s">
        <v>3909</v>
      </c>
      <c r="W177" t="s">
        <v>3632</v>
      </c>
      <c r="X177" t="s">
        <v>17</v>
      </c>
    </row>
    <row r="178" spans="8:24" x14ac:dyDescent="0.45">
      <c r="H178" t="s">
        <v>3768</v>
      </c>
      <c r="I178" t="s">
        <v>13</v>
      </c>
      <c r="J178">
        <v>1.5690660699130422E-2</v>
      </c>
      <c r="K178" t="s">
        <v>14</v>
      </c>
      <c r="U178" t="s">
        <v>3603</v>
      </c>
      <c r="V178" t="s">
        <v>3910</v>
      </c>
      <c r="W178" t="s">
        <v>3904</v>
      </c>
      <c r="X178" t="s">
        <v>19</v>
      </c>
    </row>
    <row r="179" spans="8:24" x14ac:dyDescent="0.45">
      <c r="H179" t="s">
        <v>3768</v>
      </c>
      <c r="I179" t="s">
        <v>27</v>
      </c>
      <c r="J179">
        <v>1.5690660699130422E-2</v>
      </c>
      <c r="K179" t="s">
        <v>14</v>
      </c>
      <c r="U179" t="s">
        <v>3603</v>
      </c>
      <c r="V179" t="s">
        <v>3910</v>
      </c>
      <c r="W179" t="s">
        <v>3632</v>
      </c>
      <c r="X179" t="s">
        <v>17</v>
      </c>
    </row>
    <row r="180" spans="8:24" x14ac:dyDescent="0.45">
      <c r="H180" t="s">
        <v>3768</v>
      </c>
      <c r="I180" t="s">
        <v>36</v>
      </c>
      <c r="J180">
        <v>1.5690660699130422E-2</v>
      </c>
      <c r="K180" t="s">
        <v>14</v>
      </c>
      <c r="U180" t="s">
        <v>3603</v>
      </c>
      <c r="V180" t="s">
        <v>3911</v>
      </c>
      <c r="W180" t="s">
        <v>3636</v>
      </c>
      <c r="X180" t="s">
        <v>19</v>
      </c>
    </row>
    <row r="181" spans="8:24" x14ac:dyDescent="0.45">
      <c r="H181" t="s">
        <v>3770</v>
      </c>
      <c r="I181" t="s">
        <v>13</v>
      </c>
      <c r="J181">
        <v>5.236680113397894E-3</v>
      </c>
      <c r="K181" t="s">
        <v>14</v>
      </c>
      <c r="U181" t="s">
        <v>3603</v>
      </c>
      <c r="V181" t="s">
        <v>3912</v>
      </c>
      <c r="W181" t="s">
        <v>3636</v>
      </c>
      <c r="X181" t="s">
        <v>19</v>
      </c>
    </row>
    <row r="182" spans="8:24" x14ac:dyDescent="0.45">
      <c r="H182" t="s">
        <v>3770</v>
      </c>
      <c r="I182" t="s">
        <v>27</v>
      </c>
      <c r="J182">
        <v>5.236680113397894E-3</v>
      </c>
      <c r="K182" t="s">
        <v>14</v>
      </c>
      <c r="U182" t="s">
        <v>3603</v>
      </c>
      <c r="V182" t="s">
        <v>3913</v>
      </c>
      <c r="W182" t="s">
        <v>3636</v>
      </c>
      <c r="X182" t="s">
        <v>19</v>
      </c>
    </row>
    <row r="183" spans="8:24" x14ac:dyDescent="0.45">
      <c r="H183" t="s">
        <v>3770</v>
      </c>
      <c r="I183" t="s">
        <v>36</v>
      </c>
      <c r="J183">
        <v>5.236680113397894E-3</v>
      </c>
      <c r="K183" t="s">
        <v>14</v>
      </c>
      <c r="U183" t="s">
        <v>3603</v>
      </c>
      <c r="V183" t="s">
        <v>3914</v>
      </c>
      <c r="W183" t="s">
        <v>3636</v>
      </c>
      <c r="X183" t="s">
        <v>19</v>
      </c>
    </row>
    <row r="184" spans="8:24" x14ac:dyDescent="0.45">
      <c r="H184" t="s">
        <v>3771</v>
      </c>
      <c r="I184" t="s">
        <v>13</v>
      </c>
      <c r="J184">
        <v>2.4145242108719801E-2</v>
      </c>
      <c r="K184" t="s">
        <v>14</v>
      </c>
      <c r="U184" t="s">
        <v>3603</v>
      </c>
      <c r="V184" t="s">
        <v>3915</v>
      </c>
      <c r="W184" t="s">
        <v>3636</v>
      </c>
      <c r="X184" t="s">
        <v>19</v>
      </c>
    </row>
    <row r="185" spans="8:24" x14ac:dyDescent="0.45">
      <c r="H185" t="s">
        <v>3771</v>
      </c>
      <c r="I185" t="s">
        <v>27</v>
      </c>
      <c r="J185">
        <v>2.4145242108719801E-2</v>
      </c>
      <c r="K185" t="s">
        <v>14</v>
      </c>
      <c r="U185" t="s">
        <v>3603</v>
      </c>
      <c r="V185" t="s">
        <v>3916</v>
      </c>
      <c r="W185" t="s">
        <v>3636</v>
      </c>
      <c r="X185" t="s">
        <v>19</v>
      </c>
    </row>
    <row r="186" spans="8:24" x14ac:dyDescent="0.45">
      <c r="H186" t="s">
        <v>3771</v>
      </c>
      <c r="I186" t="s">
        <v>36</v>
      </c>
      <c r="J186">
        <v>2.4145242108719801E-2</v>
      </c>
      <c r="K186" t="s">
        <v>14</v>
      </c>
      <c r="U186" t="s">
        <v>3603</v>
      </c>
      <c r="V186" t="s">
        <v>3917</v>
      </c>
      <c r="W186" t="s">
        <v>3636</v>
      </c>
      <c r="X186" t="s">
        <v>19</v>
      </c>
    </row>
    <row r="187" spans="8:24" x14ac:dyDescent="0.45">
      <c r="H187" t="s">
        <v>3773</v>
      </c>
      <c r="I187" t="s">
        <v>13</v>
      </c>
      <c r="J187">
        <v>8.9175572138228437E-2</v>
      </c>
      <c r="K187" t="s">
        <v>14</v>
      </c>
      <c r="U187" t="s">
        <v>3603</v>
      </c>
      <c r="V187" t="s">
        <v>3918</v>
      </c>
      <c r="W187" t="s">
        <v>3636</v>
      </c>
      <c r="X187" t="s">
        <v>19</v>
      </c>
    </row>
    <row r="188" spans="8:24" x14ac:dyDescent="0.45">
      <c r="H188" t="s">
        <v>3773</v>
      </c>
      <c r="I188" t="s">
        <v>27</v>
      </c>
      <c r="J188">
        <v>8.9175572138228437E-2</v>
      </c>
      <c r="K188" t="s">
        <v>14</v>
      </c>
      <c r="U188" t="s">
        <v>3603</v>
      </c>
      <c r="V188" t="s">
        <v>3919</v>
      </c>
      <c r="W188" t="s">
        <v>3636</v>
      </c>
      <c r="X188" t="s">
        <v>19</v>
      </c>
    </row>
    <row r="189" spans="8:24" x14ac:dyDescent="0.45">
      <c r="H189" t="s">
        <v>3773</v>
      </c>
      <c r="I189" t="s">
        <v>36</v>
      </c>
      <c r="J189">
        <v>8.9175572138228437E-2</v>
      </c>
      <c r="K189" t="s">
        <v>14</v>
      </c>
      <c r="U189" t="s">
        <v>3603</v>
      </c>
      <c r="V189" t="s">
        <v>3920</v>
      </c>
      <c r="W189" t="s">
        <v>3636</v>
      </c>
      <c r="X189" t="s">
        <v>19</v>
      </c>
    </row>
    <row r="190" spans="8:24" x14ac:dyDescent="0.45">
      <c r="H190" t="s">
        <v>3775</v>
      </c>
      <c r="I190" t="s">
        <v>13</v>
      </c>
      <c r="J190">
        <v>7.9843797374323788E-3</v>
      </c>
      <c r="K190" t="s">
        <v>14</v>
      </c>
      <c r="U190" t="s">
        <v>3603</v>
      </c>
      <c r="V190" t="s">
        <v>3921</v>
      </c>
      <c r="W190" t="s">
        <v>3636</v>
      </c>
      <c r="X190" t="s">
        <v>19</v>
      </c>
    </row>
    <row r="191" spans="8:24" x14ac:dyDescent="0.45">
      <c r="H191" t="s">
        <v>3775</v>
      </c>
      <c r="I191" t="s">
        <v>27</v>
      </c>
      <c r="J191">
        <v>7.9843797374323788E-3</v>
      </c>
      <c r="K191" t="s">
        <v>14</v>
      </c>
      <c r="U191" t="s">
        <v>3603</v>
      </c>
      <c r="V191" t="s">
        <v>3921</v>
      </c>
      <c r="W191" t="s">
        <v>3836</v>
      </c>
      <c r="X191" t="s">
        <v>19</v>
      </c>
    </row>
    <row r="192" spans="8:24" x14ac:dyDescent="0.45">
      <c r="H192" t="s">
        <v>3775</v>
      </c>
      <c r="I192" t="s">
        <v>36</v>
      </c>
      <c r="J192">
        <v>7.9843797374323788E-3</v>
      </c>
      <c r="K192" t="s">
        <v>14</v>
      </c>
      <c r="U192" t="s">
        <v>3603</v>
      </c>
      <c r="V192" t="s">
        <v>3922</v>
      </c>
      <c r="W192" t="s">
        <v>3636</v>
      </c>
      <c r="X192" t="s">
        <v>19</v>
      </c>
    </row>
    <row r="193" spans="8:24" x14ac:dyDescent="0.45">
      <c r="H193" t="s">
        <v>3777</v>
      </c>
      <c r="I193" t="s">
        <v>13</v>
      </c>
      <c r="J193">
        <v>7.4806944016228588E-2</v>
      </c>
      <c r="K193" t="s">
        <v>14</v>
      </c>
      <c r="U193" t="s">
        <v>3603</v>
      </c>
      <c r="V193" t="s">
        <v>3922</v>
      </c>
      <c r="W193" t="s">
        <v>3836</v>
      </c>
      <c r="X193" t="s">
        <v>19</v>
      </c>
    </row>
    <row r="194" spans="8:24" x14ac:dyDescent="0.45">
      <c r="H194" t="s">
        <v>3777</v>
      </c>
      <c r="I194" t="s">
        <v>27</v>
      </c>
      <c r="J194">
        <v>7.4806944016228588E-2</v>
      </c>
      <c r="K194" t="s">
        <v>14</v>
      </c>
      <c r="U194" t="s">
        <v>3603</v>
      </c>
      <c r="V194" t="s">
        <v>3923</v>
      </c>
      <c r="W194" t="s">
        <v>3636</v>
      </c>
      <c r="X194" t="s">
        <v>19</v>
      </c>
    </row>
    <row r="195" spans="8:24" x14ac:dyDescent="0.45">
      <c r="H195" t="s">
        <v>3777</v>
      </c>
      <c r="I195" t="s">
        <v>36</v>
      </c>
      <c r="J195">
        <v>7.4806944016228588E-2</v>
      </c>
      <c r="K195" t="s">
        <v>14</v>
      </c>
      <c r="U195" t="s">
        <v>3603</v>
      </c>
      <c r="V195" t="s">
        <v>3923</v>
      </c>
      <c r="W195" t="s">
        <v>3836</v>
      </c>
      <c r="X195" t="s">
        <v>19</v>
      </c>
    </row>
    <row r="196" spans="8:24" x14ac:dyDescent="0.45">
      <c r="H196" t="s">
        <v>3778</v>
      </c>
      <c r="I196" t="s">
        <v>13</v>
      </c>
      <c r="J196">
        <v>3.8275538456637441E-2</v>
      </c>
      <c r="K196" t="s">
        <v>14</v>
      </c>
      <c r="U196" t="s">
        <v>3603</v>
      </c>
      <c r="V196" t="s">
        <v>3924</v>
      </c>
      <c r="W196" t="s">
        <v>3836</v>
      </c>
      <c r="X196" t="s">
        <v>19</v>
      </c>
    </row>
    <row r="197" spans="8:24" x14ac:dyDescent="0.45">
      <c r="H197" t="s">
        <v>3778</v>
      </c>
      <c r="I197" t="s">
        <v>27</v>
      </c>
      <c r="J197">
        <v>3.8275538456637441E-2</v>
      </c>
      <c r="K197" t="s">
        <v>14</v>
      </c>
      <c r="U197" t="s">
        <v>3603</v>
      </c>
      <c r="V197" t="s">
        <v>3925</v>
      </c>
      <c r="W197" t="s">
        <v>3836</v>
      </c>
      <c r="X197" t="s">
        <v>19</v>
      </c>
    </row>
    <row r="198" spans="8:24" x14ac:dyDescent="0.45">
      <c r="H198" t="s">
        <v>3778</v>
      </c>
      <c r="I198" t="s">
        <v>36</v>
      </c>
      <c r="J198">
        <v>3.8275538456637441E-2</v>
      </c>
      <c r="K198" t="s">
        <v>14</v>
      </c>
      <c r="U198" t="s">
        <v>3603</v>
      </c>
      <c r="V198" t="s">
        <v>3926</v>
      </c>
      <c r="W198" t="s">
        <v>3836</v>
      </c>
      <c r="X198" t="s">
        <v>19</v>
      </c>
    </row>
    <row r="199" spans="8:24" x14ac:dyDescent="0.45">
      <c r="H199" t="s">
        <v>3780</v>
      </c>
      <c r="I199" t="s">
        <v>13</v>
      </c>
      <c r="J199">
        <v>3.7671366167364891E-2</v>
      </c>
      <c r="K199" t="s">
        <v>14</v>
      </c>
      <c r="U199" t="s">
        <v>3603</v>
      </c>
      <c r="V199" t="s">
        <v>3926</v>
      </c>
      <c r="W199" t="s">
        <v>3636</v>
      </c>
      <c r="X199" t="s">
        <v>17</v>
      </c>
    </row>
    <row r="200" spans="8:24" x14ac:dyDescent="0.45">
      <c r="H200" t="s">
        <v>3780</v>
      </c>
      <c r="I200" t="s">
        <v>27</v>
      </c>
      <c r="J200">
        <v>3.7671366167364891E-2</v>
      </c>
      <c r="K200" t="s">
        <v>14</v>
      </c>
      <c r="U200" t="s">
        <v>3603</v>
      </c>
      <c r="V200" t="s">
        <v>3927</v>
      </c>
      <c r="W200" t="s">
        <v>3836</v>
      </c>
      <c r="X200" t="s">
        <v>19</v>
      </c>
    </row>
    <row r="201" spans="8:24" x14ac:dyDescent="0.45">
      <c r="H201" t="s">
        <v>3780</v>
      </c>
      <c r="I201" t="s">
        <v>36</v>
      </c>
      <c r="J201">
        <v>3.7671366167364891E-2</v>
      </c>
      <c r="K201" t="s">
        <v>14</v>
      </c>
      <c r="U201" t="s">
        <v>3603</v>
      </c>
      <c r="V201" t="s">
        <v>3927</v>
      </c>
      <c r="W201" t="s">
        <v>3636</v>
      </c>
      <c r="X201" t="s">
        <v>17</v>
      </c>
    </row>
    <row r="202" spans="8:24" x14ac:dyDescent="0.45">
      <c r="H202" t="s">
        <v>3781</v>
      </c>
      <c r="I202" t="s">
        <v>13</v>
      </c>
      <c r="J202">
        <v>3.7648527044076487E-2</v>
      </c>
      <c r="K202" t="s">
        <v>14</v>
      </c>
      <c r="U202" t="s">
        <v>3603</v>
      </c>
      <c r="V202" t="s">
        <v>3928</v>
      </c>
      <c r="W202" t="s">
        <v>3640</v>
      </c>
      <c r="X202" t="s">
        <v>19</v>
      </c>
    </row>
    <row r="203" spans="8:24" x14ac:dyDescent="0.45">
      <c r="H203" t="s">
        <v>3781</v>
      </c>
      <c r="I203" t="s">
        <v>27</v>
      </c>
      <c r="J203">
        <v>3.7648527044076487E-2</v>
      </c>
      <c r="K203" t="s">
        <v>14</v>
      </c>
      <c r="U203" t="s">
        <v>3603</v>
      </c>
      <c r="V203" t="s">
        <v>3929</v>
      </c>
      <c r="W203" t="s">
        <v>3640</v>
      </c>
      <c r="X203" t="s">
        <v>19</v>
      </c>
    </row>
    <row r="204" spans="8:24" x14ac:dyDescent="0.45">
      <c r="H204" t="s">
        <v>3781</v>
      </c>
      <c r="I204" t="s">
        <v>36</v>
      </c>
      <c r="J204">
        <v>3.7648527044076487E-2</v>
      </c>
      <c r="K204" t="s">
        <v>14</v>
      </c>
      <c r="U204" t="s">
        <v>3603</v>
      </c>
      <c r="V204" t="s">
        <v>3930</v>
      </c>
      <c r="W204" t="s">
        <v>3640</v>
      </c>
      <c r="X204" t="s">
        <v>19</v>
      </c>
    </row>
    <row r="205" spans="8:24" x14ac:dyDescent="0.45">
      <c r="H205" t="s">
        <v>3783</v>
      </c>
      <c r="I205" t="s">
        <v>13</v>
      </c>
      <c r="J205">
        <v>2.3860608717313089E-2</v>
      </c>
      <c r="K205" t="s">
        <v>14</v>
      </c>
      <c r="U205" t="s">
        <v>3603</v>
      </c>
      <c r="V205" t="s">
        <v>3931</v>
      </c>
      <c r="W205" t="s">
        <v>3640</v>
      </c>
      <c r="X205" t="s">
        <v>19</v>
      </c>
    </row>
    <row r="206" spans="8:24" x14ac:dyDescent="0.45">
      <c r="H206" t="s">
        <v>3783</v>
      </c>
      <c r="I206" t="s">
        <v>27</v>
      </c>
      <c r="J206">
        <v>2.3860608717313089E-2</v>
      </c>
      <c r="K206" t="s">
        <v>14</v>
      </c>
      <c r="U206" t="s">
        <v>3603</v>
      </c>
      <c r="V206" t="s">
        <v>3932</v>
      </c>
      <c r="W206" t="s">
        <v>3640</v>
      </c>
      <c r="X206" t="s">
        <v>19</v>
      </c>
    </row>
    <row r="207" spans="8:24" x14ac:dyDescent="0.45">
      <c r="H207" t="s">
        <v>3783</v>
      </c>
      <c r="I207" t="s">
        <v>36</v>
      </c>
      <c r="J207">
        <v>2.3860608717313089E-2</v>
      </c>
      <c r="K207" t="s">
        <v>14</v>
      </c>
      <c r="U207" t="s">
        <v>3603</v>
      </c>
      <c r="V207" t="s">
        <v>3933</v>
      </c>
      <c r="W207" t="s">
        <v>3640</v>
      </c>
      <c r="X207" t="s">
        <v>19</v>
      </c>
    </row>
    <row r="208" spans="8:24" x14ac:dyDescent="0.45">
      <c r="H208" t="s">
        <v>3785</v>
      </c>
      <c r="I208" t="s">
        <v>13</v>
      </c>
      <c r="J208">
        <v>6.2241866969211862E-3</v>
      </c>
      <c r="K208" t="s">
        <v>14</v>
      </c>
      <c r="U208" t="s">
        <v>3603</v>
      </c>
      <c r="V208" t="s">
        <v>3934</v>
      </c>
      <c r="W208" t="s">
        <v>3640</v>
      </c>
      <c r="X208" t="s">
        <v>19</v>
      </c>
    </row>
    <row r="209" spans="8:24" x14ac:dyDescent="0.45">
      <c r="H209" t="s">
        <v>3785</v>
      </c>
      <c r="I209" t="s">
        <v>27</v>
      </c>
      <c r="J209">
        <v>6.2241866969211862E-3</v>
      </c>
      <c r="K209" t="s">
        <v>14</v>
      </c>
      <c r="U209" t="s">
        <v>3603</v>
      </c>
      <c r="V209" t="s">
        <v>3935</v>
      </c>
      <c r="W209" t="s">
        <v>3640</v>
      </c>
      <c r="X209" t="s">
        <v>19</v>
      </c>
    </row>
    <row r="210" spans="8:24" x14ac:dyDescent="0.45">
      <c r="H210" t="s">
        <v>3785</v>
      </c>
      <c r="I210" t="s">
        <v>36</v>
      </c>
      <c r="J210">
        <v>6.2241866969211862E-3</v>
      </c>
      <c r="K210" t="s">
        <v>14</v>
      </c>
      <c r="U210" t="s">
        <v>3603</v>
      </c>
      <c r="V210" t="s">
        <v>3936</v>
      </c>
      <c r="W210" t="s">
        <v>3640</v>
      </c>
      <c r="X210" t="s">
        <v>19</v>
      </c>
    </row>
    <row r="211" spans="8:24" x14ac:dyDescent="0.45">
      <c r="H211" t="s">
        <v>3787</v>
      </c>
      <c r="I211" t="s">
        <v>13</v>
      </c>
      <c r="J211">
        <v>4.1028640452723086E-2</v>
      </c>
      <c r="K211" t="s">
        <v>14</v>
      </c>
      <c r="U211" t="s">
        <v>3603</v>
      </c>
      <c r="V211" t="s">
        <v>3937</v>
      </c>
      <c r="W211" t="s">
        <v>3640</v>
      </c>
      <c r="X211" t="s">
        <v>19</v>
      </c>
    </row>
    <row r="212" spans="8:24" x14ac:dyDescent="0.45">
      <c r="H212" t="s">
        <v>3787</v>
      </c>
      <c r="I212" t="s">
        <v>27</v>
      </c>
      <c r="J212">
        <v>4.1028640452723086E-2</v>
      </c>
      <c r="K212" t="s">
        <v>14</v>
      </c>
      <c r="U212" t="s">
        <v>3603</v>
      </c>
      <c r="V212" t="s">
        <v>3938</v>
      </c>
      <c r="W212" t="s">
        <v>3640</v>
      </c>
      <c r="X212" t="s">
        <v>19</v>
      </c>
    </row>
    <row r="213" spans="8:24" x14ac:dyDescent="0.45">
      <c r="H213" t="s">
        <v>3787</v>
      </c>
      <c r="I213" t="s">
        <v>36</v>
      </c>
      <c r="J213">
        <v>4.1028640452723086E-2</v>
      </c>
      <c r="K213" t="s">
        <v>14</v>
      </c>
      <c r="U213" t="s">
        <v>3603</v>
      </c>
      <c r="V213" t="s">
        <v>3938</v>
      </c>
      <c r="W213" t="s">
        <v>3843</v>
      </c>
      <c r="X213" t="s">
        <v>19</v>
      </c>
    </row>
    <row r="214" spans="8:24" x14ac:dyDescent="0.45">
      <c r="H214" t="s">
        <v>3789</v>
      </c>
      <c r="I214" t="s">
        <v>13</v>
      </c>
      <c r="J214">
        <v>9.7259849991474301E-2</v>
      </c>
      <c r="K214" t="s">
        <v>14</v>
      </c>
      <c r="U214" t="s">
        <v>3603</v>
      </c>
      <c r="V214" t="s">
        <v>3939</v>
      </c>
      <c r="W214" t="s">
        <v>3640</v>
      </c>
      <c r="X214" t="s">
        <v>19</v>
      </c>
    </row>
    <row r="215" spans="8:24" x14ac:dyDescent="0.45">
      <c r="H215" t="s">
        <v>3789</v>
      </c>
      <c r="I215" t="s">
        <v>27</v>
      </c>
      <c r="J215">
        <v>9.7259849991474301E-2</v>
      </c>
      <c r="K215" t="s">
        <v>14</v>
      </c>
      <c r="U215" t="s">
        <v>3603</v>
      </c>
      <c r="V215" t="s">
        <v>3939</v>
      </c>
      <c r="W215" t="s">
        <v>3843</v>
      </c>
      <c r="X215" t="s">
        <v>19</v>
      </c>
    </row>
    <row r="216" spans="8:24" x14ac:dyDescent="0.45">
      <c r="H216" t="s">
        <v>3789</v>
      </c>
      <c r="I216" t="s">
        <v>36</v>
      </c>
      <c r="J216">
        <v>9.7259849991474301E-2</v>
      </c>
      <c r="K216" t="s">
        <v>14</v>
      </c>
      <c r="U216" t="s">
        <v>3603</v>
      </c>
      <c r="V216" t="s">
        <v>3940</v>
      </c>
      <c r="W216" t="s">
        <v>3640</v>
      </c>
      <c r="X216" t="s">
        <v>19</v>
      </c>
    </row>
    <row r="217" spans="8:24" x14ac:dyDescent="0.45">
      <c r="H217" t="s">
        <v>3791</v>
      </c>
      <c r="I217" t="s">
        <v>13</v>
      </c>
      <c r="J217">
        <v>1.653818568295432E-3</v>
      </c>
      <c r="K217" t="s">
        <v>14</v>
      </c>
      <c r="U217" t="s">
        <v>3603</v>
      </c>
      <c r="V217" t="s">
        <v>3940</v>
      </c>
      <c r="W217" t="s">
        <v>3843</v>
      </c>
      <c r="X217" t="s">
        <v>19</v>
      </c>
    </row>
    <row r="218" spans="8:24" x14ac:dyDescent="0.45">
      <c r="H218" t="s">
        <v>3791</v>
      </c>
      <c r="I218" t="s">
        <v>27</v>
      </c>
      <c r="J218">
        <v>1.653818568295432E-3</v>
      </c>
      <c r="K218" t="s">
        <v>14</v>
      </c>
      <c r="U218" t="s">
        <v>3603</v>
      </c>
      <c r="V218" t="s">
        <v>3941</v>
      </c>
      <c r="W218" t="s">
        <v>3843</v>
      </c>
      <c r="X218" t="s">
        <v>19</v>
      </c>
    </row>
    <row r="219" spans="8:24" x14ac:dyDescent="0.45">
      <c r="H219" t="s">
        <v>3791</v>
      </c>
      <c r="I219" t="s">
        <v>36</v>
      </c>
      <c r="J219">
        <v>1.653818568295432E-3</v>
      </c>
      <c r="K219" t="s">
        <v>14</v>
      </c>
      <c r="U219" t="s">
        <v>3603</v>
      </c>
      <c r="V219" t="s">
        <v>3942</v>
      </c>
      <c r="W219" t="s">
        <v>3843</v>
      </c>
      <c r="X219" t="s">
        <v>19</v>
      </c>
    </row>
    <row r="220" spans="8:24" x14ac:dyDescent="0.45">
      <c r="H220" t="s">
        <v>3793</v>
      </c>
      <c r="I220" t="s">
        <v>13</v>
      </c>
      <c r="J220">
        <v>6.1303332090588587E-2</v>
      </c>
      <c r="K220" t="s">
        <v>14</v>
      </c>
      <c r="U220" t="s">
        <v>3603</v>
      </c>
      <c r="V220" t="s">
        <v>3943</v>
      </c>
      <c r="W220" t="s">
        <v>3843</v>
      </c>
      <c r="X220" t="s">
        <v>19</v>
      </c>
    </row>
    <row r="221" spans="8:24" x14ac:dyDescent="0.45">
      <c r="H221" t="s">
        <v>3793</v>
      </c>
      <c r="I221" t="s">
        <v>27</v>
      </c>
      <c r="J221">
        <v>6.1303332090588587E-2</v>
      </c>
      <c r="K221" t="s">
        <v>14</v>
      </c>
      <c r="U221" t="s">
        <v>3603</v>
      </c>
      <c r="V221" t="s">
        <v>3943</v>
      </c>
      <c r="W221" t="s">
        <v>3640</v>
      </c>
      <c r="X221" t="s">
        <v>17</v>
      </c>
    </row>
    <row r="222" spans="8:24" x14ac:dyDescent="0.45">
      <c r="H222" t="s">
        <v>3793</v>
      </c>
      <c r="I222" t="s">
        <v>36</v>
      </c>
      <c r="J222">
        <v>6.1303332090588587E-2</v>
      </c>
      <c r="K222" t="s">
        <v>14</v>
      </c>
      <c r="U222" t="s">
        <v>3603</v>
      </c>
      <c r="V222" t="s">
        <v>3944</v>
      </c>
      <c r="W222" t="s">
        <v>3843</v>
      </c>
      <c r="X222" t="s">
        <v>19</v>
      </c>
    </row>
    <row r="223" spans="8:24" x14ac:dyDescent="0.45">
      <c r="H223" t="s">
        <v>3795</v>
      </c>
      <c r="I223" t="s">
        <v>13</v>
      </c>
      <c r="J223">
        <v>5.0947350711847507E-2</v>
      </c>
      <c r="K223" t="s">
        <v>14</v>
      </c>
      <c r="U223" t="s">
        <v>3603</v>
      </c>
      <c r="V223" t="s">
        <v>3944</v>
      </c>
      <c r="W223" t="s">
        <v>3640</v>
      </c>
      <c r="X223" t="s">
        <v>17</v>
      </c>
    </row>
    <row r="224" spans="8:24" x14ac:dyDescent="0.45">
      <c r="H224" t="s">
        <v>3795</v>
      </c>
      <c r="I224" t="s">
        <v>27</v>
      </c>
      <c r="J224">
        <v>5.0947350711847507E-2</v>
      </c>
      <c r="K224" t="s">
        <v>14</v>
      </c>
      <c r="U224" t="s">
        <v>3603</v>
      </c>
      <c r="V224" t="s">
        <v>3945</v>
      </c>
      <c r="W224" t="s">
        <v>3644</v>
      </c>
      <c r="X224" t="s">
        <v>19</v>
      </c>
    </row>
    <row r="225" spans="8:24" x14ac:dyDescent="0.45">
      <c r="H225" t="s">
        <v>3795</v>
      </c>
      <c r="I225" t="s">
        <v>36</v>
      </c>
      <c r="J225">
        <v>5.0947350711847507E-2</v>
      </c>
      <c r="K225" t="s">
        <v>14</v>
      </c>
      <c r="U225" t="s">
        <v>3603</v>
      </c>
      <c r="V225" t="s">
        <v>3946</v>
      </c>
      <c r="W225" t="s">
        <v>3644</v>
      </c>
      <c r="X225" t="s">
        <v>19</v>
      </c>
    </row>
    <row r="226" spans="8:24" x14ac:dyDescent="0.45">
      <c r="H226" t="s">
        <v>3797</v>
      </c>
      <c r="I226" t="s">
        <v>13</v>
      </c>
      <c r="J226">
        <v>5.0898311721333585E-2</v>
      </c>
      <c r="K226" t="s">
        <v>14</v>
      </c>
      <c r="U226" t="s">
        <v>3603</v>
      </c>
      <c r="V226" t="s">
        <v>3947</v>
      </c>
      <c r="W226" t="s">
        <v>3644</v>
      </c>
      <c r="X226" t="s">
        <v>19</v>
      </c>
    </row>
    <row r="227" spans="8:24" x14ac:dyDescent="0.45">
      <c r="H227" t="s">
        <v>3797</v>
      </c>
      <c r="I227" t="s">
        <v>27</v>
      </c>
      <c r="J227">
        <v>5.0898311721333585E-2</v>
      </c>
      <c r="K227" t="s">
        <v>14</v>
      </c>
      <c r="U227" t="s">
        <v>3603</v>
      </c>
      <c r="V227" t="s">
        <v>3948</v>
      </c>
      <c r="W227" t="s">
        <v>3644</v>
      </c>
      <c r="X227" t="s">
        <v>19</v>
      </c>
    </row>
    <row r="228" spans="8:24" x14ac:dyDescent="0.45">
      <c r="H228" t="s">
        <v>3797</v>
      </c>
      <c r="I228" t="s">
        <v>36</v>
      </c>
      <c r="J228">
        <v>5.0898311721333585E-2</v>
      </c>
      <c r="K228" t="s">
        <v>14</v>
      </c>
      <c r="U228" t="s">
        <v>3603</v>
      </c>
      <c r="V228" t="s">
        <v>3949</v>
      </c>
      <c r="W228" t="s">
        <v>3644</v>
      </c>
      <c r="X228" t="s">
        <v>19</v>
      </c>
    </row>
    <row r="229" spans="8:24" x14ac:dyDescent="0.45">
      <c r="H229" t="s">
        <v>3799</v>
      </c>
      <c r="I229" t="s">
        <v>13</v>
      </c>
      <c r="J229">
        <v>2.4957833908988369E-2</v>
      </c>
      <c r="K229" t="s">
        <v>14</v>
      </c>
      <c r="U229" t="s">
        <v>3603</v>
      </c>
      <c r="V229" t="s">
        <v>3950</v>
      </c>
      <c r="W229" t="s">
        <v>3644</v>
      </c>
      <c r="X229" t="s">
        <v>19</v>
      </c>
    </row>
    <row r="230" spans="8:24" x14ac:dyDescent="0.45">
      <c r="H230" t="s">
        <v>3799</v>
      </c>
      <c r="I230" t="s">
        <v>27</v>
      </c>
      <c r="J230">
        <v>2.4957833908988369E-2</v>
      </c>
      <c r="K230" t="s">
        <v>14</v>
      </c>
      <c r="U230" t="s">
        <v>3603</v>
      </c>
      <c r="V230" t="s">
        <v>3951</v>
      </c>
      <c r="W230" t="s">
        <v>3644</v>
      </c>
      <c r="X230" t="s">
        <v>19</v>
      </c>
    </row>
    <row r="231" spans="8:24" x14ac:dyDescent="0.45">
      <c r="H231" t="s">
        <v>3799</v>
      </c>
      <c r="I231" t="s">
        <v>36</v>
      </c>
      <c r="J231">
        <v>2.4957833908988369E-2</v>
      </c>
      <c r="K231" t="s">
        <v>14</v>
      </c>
      <c r="U231" t="s">
        <v>3603</v>
      </c>
      <c r="V231" t="s">
        <v>3952</v>
      </c>
      <c r="W231" t="s">
        <v>3644</v>
      </c>
      <c r="X231" t="s">
        <v>19</v>
      </c>
    </row>
    <row r="232" spans="8:24" x14ac:dyDescent="0.45">
      <c r="H232" t="s">
        <v>3801</v>
      </c>
      <c r="I232" t="s">
        <v>13</v>
      </c>
      <c r="J232">
        <v>2.4955068157269208E-2</v>
      </c>
      <c r="K232" t="s">
        <v>14</v>
      </c>
      <c r="U232" t="s">
        <v>3603</v>
      </c>
      <c r="V232" t="s">
        <v>3953</v>
      </c>
      <c r="W232" t="s">
        <v>3644</v>
      </c>
      <c r="X232" t="s">
        <v>19</v>
      </c>
    </row>
    <row r="233" spans="8:24" x14ac:dyDescent="0.45">
      <c r="H233" t="s">
        <v>3801</v>
      </c>
      <c r="I233" t="s">
        <v>27</v>
      </c>
      <c r="J233">
        <v>2.4955068157269208E-2</v>
      </c>
      <c r="K233" t="s">
        <v>14</v>
      </c>
      <c r="U233" t="s">
        <v>3603</v>
      </c>
      <c r="V233" t="s">
        <v>3954</v>
      </c>
      <c r="W233" t="s">
        <v>3644</v>
      </c>
      <c r="X233" t="s">
        <v>19</v>
      </c>
    </row>
    <row r="234" spans="8:24" x14ac:dyDescent="0.45">
      <c r="H234" t="s">
        <v>3801</v>
      </c>
      <c r="I234" t="s">
        <v>36</v>
      </c>
      <c r="J234">
        <v>2.4955068157269208E-2</v>
      </c>
      <c r="K234" t="s">
        <v>14</v>
      </c>
      <c r="U234" t="s">
        <v>3603</v>
      </c>
      <c r="V234" t="s">
        <v>3955</v>
      </c>
      <c r="W234" t="s">
        <v>3644</v>
      </c>
      <c r="X234" t="s">
        <v>19</v>
      </c>
    </row>
    <row r="235" spans="8:24" x14ac:dyDescent="0.45">
      <c r="H235" t="s">
        <v>3803</v>
      </c>
      <c r="I235" t="s">
        <v>13</v>
      </c>
      <c r="J235">
        <v>0.1921878428316979</v>
      </c>
      <c r="K235" t="s">
        <v>14</v>
      </c>
      <c r="U235" t="s">
        <v>3603</v>
      </c>
      <c r="V235" t="s">
        <v>3955</v>
      </c>
      <c r="W235" t="s">
        <v>3956</v>
      </c>
      <c r="X235" t="s">
        <v>19</v>
      </c>
    </row>
    <row r="236" spans="8:24" x14ac:dyDescent="0.45">
      <c r="H236" t="s">
        <v>3803</v>
      </c>
      <c r="I236" t="s">
        <v>27</v>
      </c>
      <c r="J236">
        <v>0.1921878428316979</v>
      </c>
      <c r="K236" t="s">
        <v>14</v>
      </c>
      <c r="U236" t="s">
        <v>3603</v>
      </c>
      <c r="V236" t="s">
        <v>3957</v>
      </c>
      <c r="W236" t="s">
        <v>3644</v>
      </c>
      <c r="X236" t="s">
        <v>19</v>
      </c>
    </row>
    <row r="237" spans="8:24" x14ac:dyDescent="0.45">
      <c r="H237" t="s">
        <v>3803</v>
      </c>
      <c r="I237" t="s">
        <v>36</v>
      </c>
      <c r="J237">
        <v>0.1921878428316979</v>
      </c>
      <c r="K237" t="s">
        <v>14</v>
      </c>
      <c r="U237" t="s">
        <v>3603</v>
      </c>
      <c r="V237" t="s">
        <v>3957</v>
      </c>
      <c r="W237" t="s">
        <v>3956</v>
      </c>
      <c r="X237" t="s">
        <v>19</v>
      </c>
    </row>
    <row r="238" spans="8:24" x14ac:dyDescent="0.45">
      <c r="H238" t="s">
        <v>3805</v>
      </c>
      <c r="I238" t="s">
        <v>13</v>
      </c>
      <c r="J238">
        <v>6.107265290815049E-2</v>
      </c>
      <c r="K238" t="s">
        <v>14</v>
      </c>
      <c r="U238" t="s">
        <v>3603</v>
      </c>
      <c r="V238" t="s">
        <v>3958</v>
      </c>
      <c r="W238" t="s">
        <v>3644</v>
      </c>
      <c r="X238" t="s">
        <v>19</v>
      </c>
    </row>
    <row r="239" spans="8:24" x14ac:dyDescent="0.45">
      <c r="H239" t="s">
        <v>3805</v>
      </c>
      <c r="I239" t="s">
        <v>27</v>
      </c>
      <c r="J239">
        <v>6.107265290815049E-2</v>
      </c>
      <c r="K239" t="s">
        <v>14</v>
      </c>
      <c r="U239" t="s">
        <v>3603</v>
      </c>
      <c r="V239" t="s">
        <v>3958</v>
      </c>
      <c r="W239" t="s">
        <v>3956</v>
      </c>
      <c r="X239" t="s">
        <v>19</v>
      </c>
    </row>
    <row r="240" spans="8:24" x14ac:dyDescent="0.45">
      <c r="H240" t="s">
        <v>3805</v>
      </c>
      <c r="I240" t="s">
        <v>36</v>
      </c>
      <c r="J240">
        <v>6.107265290815049E-2</v>
      </c>
      <c r="K240" t="s">
        <v>14</v>
      </c>
      <c r="U240" t="s">
        <v>3603</v>
      </c>
      <c r="V240" t="s">
        <v>3959</v>
      </c>
      <c r="W240" t="s">
        <v>3956</v>
      </c>
      <c r="X240" t="s">
        <v>19</v>
      </c>
    </row>
    <row r="241" spans="8:24" x14ac:dyDescent="0.45">
      <c r="H241" t="s">
        <v>3807</v>
      </c>
      <c r="I241" t="s">
        <v>13</v>
      </c>
      <c r="J241">
        <v>1.355213492709734E-3</v>
      </c>
      <c r="K241" t="s">
        <v>14</v>
      </c>
      <c r="U241" t="s">
        <v>3603</v>
      </c>
      <c r="V241" t="s">
        <v>3960</v>
      </c>
      <c r="W241" t="s">
        <v>3956</v>
      </c>
      <c r="X241" t="s">
        <v>19</v>
      </c>
    </row>
    <row r="242" spans="8:24" x14ac:dyDescent="0.45">
      <c r="H242" t="s">
        <v>3807</v>
      </c>
      <c r="I242" t="s">
        <v>27</v>
      </c>
      <c r="J242">
        <v>1.355213492709734E-3</v>
      </c>
      <c r="K242" t="s">
        <v>14</v>
      </c>
      <c r="U242" t="s">
        <v>3603</v>
      </c>
      <c r="V242" t="s">
        <v>3961</v>
      </c>
      <c r="W242" t="s">
        <v>3956</v>
      </c>
      <c r="X242" t="s">
        <v>19</v>
      </c>
    </row>
    <row r="243" spans="8:24" x14ac:dyDescent="0.45">
      <c r="H243" t="s">
        <v>3807</v>
      </c>
      <c r="I243" t="s">
        <v>36</v>
      </c>
      <c r="J243">
        <v>1.355213492709734E-3</v>
      </c>
      <c r="K243" t="s">
        <v>14</v>
      </c>
      <c r="U243" t="s">
        <v>3603</v>
      </c>
      <c r="V243" t="s">
        <v>3961</v>
      </c>
      <c r="W243" t="s">
        <v>3644</v>
      </c>
      <c r="X243" t="s">
        <v>17</v>
      </c>
    </row>
    <row r="244" spans="8:24" x14ac:dyDescent="0.45">
      <c r="H244" t="s">
        <v>3808</v>
      </c>
      <c r="I244" t="s">
        <v>13</v>
      </c>
      <c r="J244">
        <v>1.1660379269469671E-2</v>
      </c>
      <c r="K244" t="s">
        <v>14</v>
      </c>
      <c r="U244" t="s">
        <v>3603</v>
      </c>
      <c r="V244" t="s">
        <v>3962</v>
      </c>
      <c r="W244" t="s">
        <v>3956</v>
      </c>
      <c r="X244" t="s">
        <v>19</v>
      </c>
    </row>
    <row r="245" spans="8:24" x14ac:dyDescent="0.45">
      <c r="H245" t="s">
        <v>3808</v>
      </c>
      <c r="I245" t="s">
        <v>27</v>
      </c>
      <c r="J245">
        <v>1.1660379269469671E-2</v>
      </c>
      <c r="K245" t="s">
        <v>14</v>
      </c>
      <c r="U245" t="s">
        <v>3603</v>
      </c>
      <c r="V245" t="s">
        <v>3962</v>
      </c>
      <c r="W245" t="s">
        <v>3644</v>
      </c>
      <c r="X245" t="s">
        <v>17</v>
      </c>
    </row>
    <row r="246" spans="8:24" x14ac:dyDescent="0.45">
      <c r="H246" t="s">
        <v>3808</v>
      </c>
      <c r="I246" t="s">
        <v>36</v>
      </c>
      <c r="J246">
        <v>1.1660379269469671E-2</v>
      </c>
      <c r="K246" t="s">
        <v>14</v>
      </c>
      <c r="U246" t="s">
        <v>3603</v>
      </c>
      <c r="V246" t="s">
        <v>3963</v>
      </c>
      <c r="W246" t="s">
        <v>3648</v>
      </c>
      <c r="X246" t="s">
        <v>19</v>
      </c>
    </row>
    <row r="247" spans="8:24" x14ac:dyDescent="0.45">
      <c r="H247" t="s">
        <v>3810</v>
      </c>
      <c r="I247" t="s">
        <v>13</v>
      </c>
      <c r="J247">
        <v>1.5690660699130422E-2</v>
      </c>
      <c r="K247" t="s">
        <v>14</v>
      </c>
      <c r="U247" t="s">
        <v>3603</v>
      </c>
      <c r="V247" t="s">
        <v>3964</v>
      </c>
      <c r="W247" t="s">
        <v>3648</v>
      </c>
      <c r="X247" t="s">
        <v>19</v>
      </c>
    </row>
    <row r="248" spans="8:24" x14ac:dyDescent="0.45">
      <c r="H248" t="s">
        <v>3810</v>
      </c>
      <c r="I248" t="s">
        <v>27</v>
      </c>
      <c r="J248">
        <v>1.5690660699130422E-2</v>
      </c>
      <c r="K248" t="s">
        <v>14</v>
      </c>
      <c r="U248" t="s">
        <v>3603</v>
      </c>
      <c r="V248" t="s">
        <v>3965</v>
      </c>
      <c r="W248" t="s">
        <v>3648</v>
      </c>
      <c r="X248" t="s">
        <v>19</v>
      </c>
    </row>
    <row r="249" spans="8:24" x14ac:dyDescent="0.45">
      <c r="H249" t="s">
        <v>3810</v>
      </c>
      <c r="I249" t="s">
        <v>36</v>
      </c>
      <c r="J249">
        <v>1.5690660699130422E-2</v>
      </c>
      <c r="K249" t="s">
        <v>14</v>
      </c>
      <c r="U249" t="s">
        <v>3603</v>
      </c>
      <c r="V249" t="s">
        <v>3966</v>
      </c>
      <c r="W249" t="s">
        <v>3648</v>
      </c>
      <c r="X249" t="s">
        <v>19</v>
      </c>
    </row>
    <row r="250" spans="8:24" x14ac:dyDescent="0.45">
      <c r="H250" t="s">
        <v>3811</v>
      </c>
      <c r="I250" t="s">
        <v>13</v>
      </c>
      <c r="J250">
        <v>5.236680113397894E-3</v>
      </c>
      <c r="K250" t="s">
        <v>14</v>
      </c>
      <c r="U250" t="s">
        <v>3603</v>
      </c>
      <c r="V250" t="s">
        <v>3967</v>
      </c>
      <c r="W250" t="s">
        <v>3648</v>
      </c>
      <c r="X250" t="s">
        <v>19</v>
      </c>
    </row>
    <row r="251" spans="8:24" x14ac:dyDescent="0.45">
      <c r="H251" t="s">
        <v>3811</v>
      </c>
      <c r="I251" t="s">
        <v>27</v>
      </c>
      <c r="J251">
        <v>5.236680113397894E-3</v>
      </c>
      <c r="K251" t="s">
        <v>14</v>
      </c>
      <c r="U251" t="s">
        <v>3603</v>
      </c>
      <c r="V251" t="s">
        <v>3968</v>
      </c>
      <c r="W251" t="s">
        <v>3648</v>
      </c>
      <c r="X251" t="s">
        <v>19</v>
      </c>
    </row>
    <row r="252" spans="8:24" x14ac:dyDescent="0.45">
      <c r="H252" t="s">
        <v>3811</v>
      </c>
      <c r="I252" t="s">
        <v>36</v>
      </c>
      <c r="J252">
        <v>5.236680113397894E-3</v>
      </c>
      <c r="K252" t="s">
        <v>14</v>
      </c>
      <c r="U252" t="s">
        <v>3603</v>
      </c>
      <c r="V252" t="s">
        <v>3969</v>
      </c>
      <c r="W252" t="s">
        <v>3648</v>
      </c>
      <c r="X252" t="s">
        <v>19</v>
      </c>
    </row>
    <row r="253" spans="8:24" x14ac:dyDescent="0.45">
      <c r="H253" t="s">
        <v>3813</v>
      </c>
      <c r="I253" t="s">
        <v>13</v>
      </c>
      <c r="J253">
        <v>2.4145242108719801E-2</v>
      </c>
      <c r="K253" t="s">
        <v>14</v>
      </c>
      <c r="U253" t="s">
        <v>3603</v>
      </c>
      <c r="V253" t="s">
        <v>3970</v>
      </c>
      <c r="W253" t="s">
        <v>3648</v>
      </c>
      <c r="X253" t="s">
        <v>19</v>
      </c>
    </row>
    <row r="254" spans="8:24" x14ac:dyDescent="0.45">
      <c r="H254" t="s">
        <v>3813</v>
      </c>
      <c r="I254" t="s">
        <v>27</v>
      </c>
      <c r="J254">
        <v>2.4145242108719801E-2</v>
      </c>
      <c r="K254" t="s">
        <v>14</v>
      </c>
      <c r="U254" t="s">
        <v>3603</v>
      </c>
      <c r="V254" t="s">
        <v>3971</v>
      </c>
      <c r="W254" t="s">
        <v>3648</v>
      </c>
      <c r="X254" t="s">
        <v>19</v>
      </c>
    </row>
    <row r="255" spans="8:24" x14ac:dyDescent="0.45">
      <c r="H255" t="s">
        <v>3813</v>
      </c>
      <c r="I255" t="s">
        <v>36</v>
      </c>
      <c r="J255">
        <v>2.4145242108719801E-2</v>
      </c>
      <c r="K255" t="s">
        <v>14</v>
      </c>
      <c r="U255" t="s">
        <v>3603</v>
      </c>
      <c r="V255" t="s">
        <v>3972</v>
      </c>
      <c r="W255" t="s">
        <v>3648</v>
      </c>
      <c r="X255" t="s">
        <v>19</v>
      </c>
    </row>
    <row r="256" spans="8:24" x14ac:dyDescent="0.45">
      <c r="H256" t="s">
        <v>3815</v>
      </c>
      <c r="I256" t="s">
        <v>13</v>
      </c>
      <c r="J256">
        <v>8.9175572138228437E-2</v>
      </c>
      <c r="K256" t="s">
        <v>14</v>
      </c>
      <c r="U256" t="s">
        <v>3603</v>
      </c>
      <c r="V256" t="s">
        <v>3973</v>
      </c>
      <c r="W256" t="s">
        <v>3648</v>
      </c>
      <c r="X256" t="s">
        <v>19</v>
      </c>
    </row>
    <row r="257" spans="8:24" x14ac:dyDescent="0.45">
      <c r="H257" t="s">
        <v>3815</v>
      </c>
      <c r="I257" t="s">
        <v>27</v>
      </c>
      <c r="J257">
        <v>8.9175572138228437E-2</v>
      </c>
      <c r="K257" t="s">
        <v>14</v>
      </c>
      <c r="U257" t="s">
        <v>3603</v>
      </c>
      <c r="V257" t="s">
        <v>3973</v>
      </c>
      <c r="W257" t="s">
        <v>3974</v>
      </c>
      <c r="X257" t="s">
        <v>19</v>
      </c>
    </row>
    <row r="258" spans="8:24" x14ac:dyDescent="0.45">
      <c r="H258" t="s">
        <v>3815</v>
      </c>
      <c r="I258" t="s">
        <v>36</v>
      </c>
      <c r="J258">
        <v>8.9175572138228437E-2</v>
      </c>
      <c r="K258" t="s">
        <v>14</v>
      </c>
      <c r="U258" t="s">
        <v>3603</v>
      </c>
      <c r="V258" t="s">
        <v>3975</v>
      </c>
      <c r="W258" t="s">
        <v>3648</v>
      </c>
      <c r="X258" t="s">
        <v>19</v>
      </c>
    </row>
    <row r="259" spans="8:24" x14ac:dyDescent="0.45">
      <c r="H259" t="s">
        <v>3817</v>
      </c>
      <c r="I259" t="s">
        <v>13</v>
      </c>
      <c r="J259">
        <v>7.9843797374323788E-3</v>
      </c>
      <c r="K259" t="s">
        <v>14</v>
      </c>
      <c r="U259" t="s">
        <v>3603</v>
      </c>
      <c r="V259" t="s">
        <v>3975</v>
      </c>
      <c r="W259" t="s">
        <v>3974</v>
      </c>
      <c r="X259" t="s">
        <v>19</v>
      </c>
    </row>
    <row r="260" spans="8:24" x14ac:dyDescent="0.45">
      <c r="H260" t="s">
        <v>3817</v>
      </c>
      <c r="I260" t="s">
        <v>27</v>
      </c>
      <c r="J260">
        <v>7.9843797374323788E-3</v>
      </c>
      <c r="K260" t="s">
        <v>14</v>
      </c>
      <c r="U260" t="s">
        <v>3603</v>
      </c>
      <c r="V260" t="s">
        <v>3976</v>
      </c>
      <c r="W260" t="s">
        <v>3648</v>
      </c>
      <c r="X260" t="s">
        <v>19</v>
      </c>
    </row>
    <row r="261" spans="8:24" x14ac:dyDescent="0.45">
      <c r="H261" t="s">
        <v>3817</v>
      </c>
      <c r="I261" t="s">
        <v>36</v>
      </c>
      <c r="J261">
        <v>7.9843797374323788E-3</v>
      </c>
      <c r="K261" t="s">
        <v>14</v>
      </c>
      <c r="U261" t="s">
        <v>3603</v>
      </c>
      <c r="V261" t="s">
        <v>3976</v>
      </c>
      <c r="W261" t="s">
        <v>3974</v>
      </c>
      <c r="X261" t="s">
        <v>19</v>
      </c>
    </row>
    <row r="262" spans="8:24" x14ac:dyDescent="0.45">
      <c r="H262" t="s">
        <v>3818</v>
      </c>
      <c r="I262" t="s">
        <v>13</v>
      </c>
      <c r="J262">
        <v>7.4806944016228588E-2</v>
      </c>
      <c r="K262" t="s">
        <v>14</v>
      </c>
      <c r="U262" t="s">
        <v>3603</v>
      </c>
      <c r="V262" t="s">
        <v>3977</v>
      </c>
      <c r="W262" t="s">
        <v>3974</v>
      </c>
      <c r="X262" t="s">
        <v>19</v>
      </c>
    </row>
    <row r="263" spans="8:24" x14ac:dyDescent="0.45">
      <c r="H263" t="s">
        <v>3818</v>
      </c>
      <c r="I263" t="s">
        <v>27</v>
      </c>
      <c r="J263">
        <v>7.4806944016228588E-2</v>
      </c>
      <c r="K263" t="s">
        <v>14</v>
      </c>
      <c r="U263" t="s">
        <v>3603</v>
      </c>
      <c r="V263" t="s">
        <v>3978</v>
      </c>
      <c r="W263" t="s">
        <v>3974</v>
      </c>
      <c r="X263" t="s">
        <v>19</v>
      </c>
    </row>
    <row r="264" spans="8:24" x14ac:dyDescent="0.45">
      <c r="H264" t="s">
        <v>3818</v>
      </c>
      <c r="I264" t="s">
        <v>36</v>
      </c>
      <c r="J264">
        <v>7.4806944016228588E-2</v>
      </c>
      <c r="K264" t="s">
        <v>14</v>
      </c>
      <c r="U264" t="s">
        <v>3603</v>
      </c>
      <c r="V264" t="s">
        <v>3979</v>
      </c>
      <c r="W264" t="s">
        <v>3974</v>
      </c>
      <c r="X264" t="s">
        <v>19</v>
      </c>
    </row>
    <row r="265" spans="8:24" x14ac:dyDescent="0.45">
      <c r="H265" t="s">
        <v>3820</v>
      </c>
      <c r="I265" t="s">
        <v>13</v>
      </c>
      <c r="J265">
        <v>3.8275538456637441E-2</v>
      </c>
      <c r="K265" t="s">
        <v>14</v>
      </c>
      <c r="U265" t="s">
        <v>3603</v>
      </c>
      <c r="V265" t="s">
        <v>3979</v>
      </c>
      <c r="W265" t="s">
        <v>3648</v>
      </c>
      <c r="X265" t="s">
        <v>17</v>
      </c>
    </row>
    <row r="266" spans="8:24" x14ac:dyDescent="0.45">
      <c r="H266" t="s">
        <v>3820</v>
      </c>
      <c r="I266" t="s">
        <v>27</v>
      </c>
      <c r="J266">
        <v>3.8275538456637441E-2</v>
      </c>
      <c r="K266" t="s">
        <v>14</v>
      </c>
      <c r="U266" t="s">
        <v>3603</v>
      </c>
      <c r="V266" t="s">
        <v>3980</v>
      </c>
      <c r="W266" t="s">
        <v>3974</v>
      </c>
      <c r="X266" t="s">
        <v>19</v>
      </c>
    </row>
    <row r="267" spans="8:24" x14ac:dyDescent="0.45">
      <c r="H267" t="s">
        <v>3820</v>
      </c>
      <c r="I267" t="s">
        <v>36</v>
      </c>
      <c r="J267">
        <v>3.8275538456637441E-2</v>
      </c>
      <c r="K267" t="s">
        <v>14</v>
      </c>
      <c r="U267" t="s">
        <v>3603</v>
      </c>
      <c r="V267" t="s">
        <v>3980</v>
      </c>
      <c r="W267" t="s">
        <v>3648</v>
      </c>
      <c r="X267" t="s">
        <v>17</v>
      </c>
    </row>
    <row r="268" spans="8:24" x14ac:dyDescent="0.45">
      <c r="H268" t="s">
        <v>3821</v>
      </c>
      <c r="I268" t="s">
        <v>13</v>
      </c>
      <c r="J268">
        <v>3.7671366167364891E-2</v>
      </c>
      <c r="K268" t="s">
        <v>14</v>
      </c>
      <c r="U268" t="s">
        <v>3603</v>
      </c>
      <c r="V268" t="s">
        <v>3981</v>
      </c>
      <c r="W268" t="s">
        <v>3652</v>
      </c>
      <c r="X268" t="s">
        <v>19</v>
      </c>
    </row>
    <row r="269" spans="8:24" x14ac:dyDescent="0.45">
      <c r="H269" t="s">
        <v>3821</v>
      </c>
      <c r="I269" t="s">
        <v>27</v>
      </c>
      <c r="J269">
        <v>3.7671366167364891E-2</v>
      </c>
      <c r="K269" t="s">
        <v>14</v>
      </c>
      <c r="U269" t="s">
        <v>3603</v>
      </c>
      <c r="V269" t="s">
        <v>3982</v>
      </c>
      <c r="W269" t="s">
        <v>3652</v>
      </c>
      <c r="X269" t="s">
        <v>19</v>
      </c>
    </row>
    <row r="270" spans="8:24" x14ac:dyDescent="0.45">
      <c r="H270" t="s">
        <v>3821</v>
      </c>
      <c r="I270" t="s">
        <v>36</v>
      </c>
      <c r="J270">
        <v>3.7671366167364891E-2</v>
      </c>
      <c r="K270" t="s">
        <v>14</v>
      </c>
      <c r="U270" t="s">
        <v>3603</v>
      </c>
      <c r="V270" t="s">
        <v>3983</v>
      </c>
      <c r="W270" t="s">
        <v>3652</v>
      </c>
      <c r="X270" t="s">
        <v>19</v>
      </c>
    </row>
    <row r="271" spans="8:24" x14ac:dyDescent="0.45">
      <c r="H271" t="s">
        <v>3823</v>
      </c>
      <c r="I271" t="s">
        <v>13</v>
      </c>
      <c r="J271">
        <v>3.7648527044076487E-2</v>
      </c>
      <c r="K271" t="s">
        <v>14</v>
      </c>
      <c r="U271" t="s">
        <v>3603</v>
      </c>
      <c r="V271" t="s">
        <v>3984</v>
      </c>
      <c r="W271" t="s">
        <v>3652</v>
      </c>
      <c r="X271" t="s">
        <v>19</v>
      </c>
    </row>
    <row r="272" spans="8:24" x14ac:dyDescent="0.45">
      <c r="H272" t="s">
        <v>3823</v>
      </c>
      <c r="I272" t="s">
        <v>27</v>
      </c>
      <c r="J272">
        <v>3.7648527044076487E-2</v>
      </c>
      <c r="K272" t="s">
        <v>14</v>
      </c>
      <c r="U272" t="s">
        <v>3603</v>
      </c>
      <c r="V272" t="s">
        <v>3985</v>
      </c>
      <c r="W272" t="s">
        <v>3652</v>
      </c>
      <c r="X272" t="s">
        <v>19</v>
      </c>
    </row>
    <row r="273" spans="8:24" x14ac:dyDescent="0.45">
      <c r="H273" t="s">
        <v>3823</v>
      </c>
      <c r="I273" t="s">
        <v>36</v>
      </c>
      <c r="J273">
        <v>3.7648527044076487E-2</v>
      </c>
      <c r="K273" t="s">
        <v>14</v>
      </c>
      <c r="U273" t="s">
        <v>3603</v>
      </c>
      <c r="V273" t="s">
        <v>3986</v>
      </c>
      <c r="W273" t="s">
        <v>3652</v>
      </c>
      <c r="X273" t="s">
        <v>19</v>
      </c>
    </row>
    <row r="274" spans="8:24" x14ac:dyDescent="0.45">
      <c r="H274" t="s">
        <v>3825</v>
      </c>
      <c r="I274" t="s">
        <v>13</v>
      </c>
      <c r="J274">
        <v>2.3860608717313089E-2</v>
      </c>
      <c r="K274" t="s">
        <v>14</v>
      </c>
      <c r="U274" t="s">
        <v>3603</v>
      </c>
      <c r="V274" t="s">
        <v>3987</v>
      </c>
      <c r="W274" t="s">
        <v>3652</v>
      </c>
      <c r="X274" t="s">
        <v>19</v>
      </c>
    </row>
    <row r="275" spans="8:24" x14ac:dyDescent="0.45">
      <c r="H275" t="s">
        <v>3825</v>
      </c>
      <c r="I275" t="s">
        <v>27</v>
      </c>
      <c r="J275">
        <v>2.3860608717313089E-2</v>
      </c>
      <c r="K275" t="s">
        <v>14</v>
      </c>
      <c r="U275" t="s">
        <v>3603</v>
      </c>
      <c r="V275" t="s">
        <v>3988</v>
      </c>
      <c r="W275" t="s">
        <v>3652</v>
      </c>
      <c r="X275" t="s">
        <v>19</v>
      </c>
    </row>
    <row r="276" spans="8:24" x14ac:dyDescent="0.45">
      <c r="H276" t="s">
        <v>3825</v>
      </c>
      <c r="I276" t="s">
        <v>36</v>
      </c>
      <c r="J276">
        <v>2.3860608717313089E-2</v>
      </c>
      <c r="K276" t="s">
        <v>14</v>
      </c>
      <c r="U276" t="s">
        <v>3603</v>
      </c>
      <c r="V276" t="s">
        <v>3989</v>
      </c>
      <c r="W276" t="s">
        <v>3652</v>
      </c>
      <c r="X276" t="s">
        <v>19</v>
      </c>
    </row>
    <row r="277" spans="8:24" x14ac:dyDescent="0.45">
      <c r="H277" t="s">
        <v>3827</v>
      </c>
      <c r="I277" t="s">
        <v>13</v>
      </c>
      <c r="J277">
        <v>6.2241866969211862E-3</v>
      </c>
      <c r="K277" t="s">
        <v>14</v>
      </c>
      <c r="U277" t="s">
        <v>3603</v>
      </c>
      <c r="V277" t="s">
        <v>3990</v>
      </c>
      <c r="W277" t="s">
        <v>3652</v>
      </c>
      <c r="X277" t="s">
        <v>19</v>
      </c>
    </row>
    <row r="278" spans="8:24" x14ac:dyDescent="0.45">
      <c r="H278" t="s">
        <v>3827</v>
      </c>
      <c r="I278" t="s">
        <v>27</v>
      </c>
      <c r="J278">
        <v>6.2241866969211862E-3</v>
      </c>
      <c r="K278" t="s">
        <v>14</v>
      </c>
      <c r="U278" t="s">
        <v>3603</v>
      </c>
      <c r="V278" t="s">
        <v>3991</v>
      </c>
      <c r="W278" t="s">
        <v>3652</v>
      </c>
      <c r="X278" t="s">
        <v>19</v>
      </c>
    </row>
    <row r="279" spans="8:24" x14ac:dyDescent="0.45">
      <c r="H279" t="s">
        <v>3827</v>
      </c>
      <c r="I279" t="s">
        <v>36</v>
      </c>
      <c r="J279">
        <v>6.2241866969211862E-3</v>
      </c>
      <c r="K279" t="s">
        <v>14</v>
      </c>
      <c r="U279" t="s">
        <v>3603</v>
      </c>
      <c r="V279" t="s">
        <v>3991</v>
      </c>
      <c r="W279" t="s">
        <v>3992</v>
      </c>
      <c r="X279" t="s">
        <v>19</v>
      </c>
    </row>
    <row r="280" spans="8:24" x14ac:dyDescent="0.45">
      <c r="H280" t="s">
        <v>3602</v>
      </c>
      <c r="I280" t="s">
        <v>632</v>
      </c>
      <c r="J280">
        <v>9.9660572137912073E-2</v>
      </c>
      <c r="K280" t="s">
        <v>14</v>
      </c>
      <c r="U280" t="s">
        <v>3603</v>
      </c>
      <c r="V280" t="s">
        <v>3993</v>
      </c>
      <c r="W280" t="s">
        <v>3652</v>
      </c>
      <c r="X280" t="s">
        <v>19</v>
      </c>
    </row>
    <row r="281" spans="8:24" x14ac:dyDescent="0.45">
      <c r="H281" t="s">
        <v>3607</v>
      </c>
      <c r="I281" t="s">
        <v>632</v>
      </c>
      <c r="J281">
        <v>3.3220079979037455E-7</v>
      </c>
      <c r="K281" t="s">
        <v>14</v>
      </c>
      <c r="U281" t="s">
        <v>3603</v>
      </c>
      <c r="V281" t="s">
        <v>3993</v>
      </c>
      <c r="W281" t="s">
        <v>3992</v>
      </c>
      <c r="X281" t="s">
        <v>19</v>
      </c>
    </row>
    <row r="282" spans="8:24" x14ac:dyDescent="0.45">
      <c r="H282" t="s">
        <v>3611</v>
      </c>
      <c r="I282" t="s">
        <v>632</v>
      </c>
      <c r="J282">
        <v>3.3220079979037455E-7</v>
      </c>
      <c r="K282" t="s">
        <v>14</v>
      </c>
      <c r="U282" t="s">
        <v>3603</v>
      </c>
      <c r="V282" t="s">
        <v>3994</v>
      </c>
      <c r="W282" t="s">
        <v>3652</v>
      </c>
      <c r="X282" t="s">
        <v>19</v>
      </c>
    </row>
    <row r="283" spans="8:24" x14ac:dyDescent="0.45">
      <c r="H283" t="s">
        <v>3615</v>
      </c>
      <c r="I283" t="s">
        <v>632</v>
      </c>
      <c r="J283">
        <v>9.9660572137912073E-2</v>
      </c>
      <c r="K283" t="s">
        <v>14</v>
      </c>
      <c r="U283" t="s">
        <v>3603</v>
      </c>
      <c r="V283" t="s">
        <v>3994</v>
      </c>
      <c r="W283" t="s">
        <v>3992</v>
      </c>
      <c r="X283" t="s">
        <v>19</v>
      </c>
    </row>
    <row r="284" spans="8:24" x14ac:dyDescent="0.45">
      <c r="H284" t="s">
        <v>3619</v>
      </c>
      <c r="I284" t="s">
        <v>632</v>
      </c>
      <c r="J284">
        <v>6.6440492158874695E-2</v>
      </c>
      <c r="K284" t="s">
        <v>14</v>
      </c>
      <c r="U284" t="s">
        <v>3603</v>
      </c>
      <c r="V284" t="s">
        <v>3995</v>
      </c>
      <c r="W284" t="s">
        <v>3992</v>
      </c>
      <c r="X284" t="s">
        <v>19</v>
      </c>
    </row>
    <row r="285" spans="8:24" x14ac:dyDescent="0.45">
      <c r="H285" t="s">
        <v>3623</v>
      </c>
      <c r="I285" t="s">
        <v>632</v>
      </c>
      <c r="J285">
        <v>3.3220079979037455E-7</v>
      </c>
      <c r="K285" t="s">
        <v>14</v>
      </c>
      <c r="U285" t="s">
        <v>3603</v>
      </c>
      <c r="V285" t="s">
        <v>3996</v>
      </c>
      <c r="W285" t="s">
        <v>3992</v>
      </c>
      <c r="X285" t="s">
        <v>19</v>
      </c>
    </row>
    <row r="286" spans="8:24" x14ac:dyDescent="0.45">
      <c r="H286" t="s">
        <v>3627</v>
      </c>
      <c r="I286" t="s">
        <v>632</v>
      </c>
      <c r="J286">
        <v>6.6440492158874695E-2</v>
      </c>
      <c r="K286" t="s">
        <v>14</v>
      </c>
      <c r="U286" t="s">
        <v>3603</v>
      </c>
      <c r="V286" t="s">
        <v>3997</v>
      </c>
      <c r="W286" t="s">
        <v>3992</v>
      </c>
      <c r="X286" t="s">
        <v>19</v>
      </c>
    </row>
    <row r="287" spans="8:24" x14ac:dyDescent="0.45">
      <c r="H287" t="s">
        <v>3631</v>
      </c>
      <c r="I287" t="s">
        <v>632</v>
      </c>
      <c r="J287">
        <v>0.16610073209598702</v>
      </c>
      <c r="K287" t="s">
        <v>14</v>
      </c>
      <c r="U287" t="s">
        <v>3603</v>
      </c>
      <c r="V287" t="s">
        <v>3997</v>
      </c>
      <c r="W287" t="s">
        <v>3652</v>
      </c>
      <c r="X287" t="s">
        <v>17</v>
      </c>
    </row>
    <row r="288" spans="8:24" x14ac:dyDescent="0.45">
      <c r="H288" t="s">
        <v>3635</v>
      </c>
      <c r="I288" t="s">
        <v>632</v>
      </c>
      <c r="J288">
        <v>3.3220079979037455E-7</v>
      </c>
      <c r="K288" t="s">
        <v>14</v>
      </c>
      <c r="U288" t="s">
        <v>3603</v>
      </c>
      <c r="V288" t="s">
        <v>3998</v>
      </c>
      <c r="W288" t="s">
        <v>3992</v>
      </c>
      <c r="X288" t="s">
        <v>19</v>
      </c>
    </row>
    <row r="289" spans="8:24" x14ac:dyDescent="0.45">
      <c r="H289" t="s">
        <v>3639</v>
      </c>
      <c r="I289" t="s">
        <v>632</v>
      </c>
      <c r="J289">
        <v>3.3220079979037455E-7</v>
      </c>
      <c r="K289" t="s">
        <v>14</v>
      </c>
      <c r="U289" t="s">
        <v>3603</v>
      </c>
      <c r="V289" t="s">
        <v>3998</v>
      </c>
      <c r="W289" t="s">
        <v>3652</v>
      </c>
      <c r="X289" t="s">
        <v>17</v>
      </c>
    </row>
    <row r="290" spans="8:24" x14ac:dyDescent="0.45">
      <c r="H290" t="s">
        <v>3643</v>
      </c>
      <c r="I290" t="s">
        <v>632</v>
      </c>
      <c r="J290">
        <v>3.3220079979037455E-7</v>
      </c>
      <c r="K290" t="s">
        <v>14</v>
      </c>
      <c r="U290" t="s">
        <v>3603</v>
      </c>
      <c r="V290" t="s">
        <v>3999</v>
      </c>
      <c r="W290" t="s">
        <v>3656</v>
      </c>
      <c r="X290" t="s">
        <v>19</v>
      </c>
    </row>
    <row r="291" spans="8:24" x14ac:dyDescent="0.45">
      <c r="H291" t="s">
        <v>3647</v>
      </c>
      <c r="I291" t="s">
        <v>632</v>
      </c>
      <c r="J291">
        <v>6.6440492158874695E-2</v>
      </c>
      <c r="K291" t="s">
        <v>14</v>
      </c>
      <c r="U291" t="s">
        <v>3603</v>
      </c>
      <c r="V291" t="s">
        <v>4000</v>
      </c>
      <c r="W291" t="s">
        <v>3656</v>
      </c>
      <c r="X291" t="s">
        <v>19</v>
      </c>
    </row>
    <row r="292" spans="8:24" x14ac:dyDescent="0.45">
      <c r="H292" t="s">
        <v>3651</v>
      </c>
      <c r="I292" t="s">
        <v>632</v>
      </c>
      <c r="J292">
        <v>3.3220079979037455E-7</v>
      </c>
      <c r="K292" t="s">
        <v>14</v>
      </c>
      <c r="U292" t="s">
        <v>3603</v>
      </c>
      <c r="V292" t="s">
        <v>4001</v>
      </c>
      <c r="W292" t="s">
        <v>3656</v>
      </c>
      <c r="X292" t="s">
        <v>19</v>
      </c>
    </row>
    <row r="293" spans="8:24" x14ac:dyDescent="0.45">
      <c r="H293" t="s">
        <v>3655</v>
      </c>
      <c r="I293" t="s">
        <v>632</v>
      </c>
      <c r="J293">
        <v>3.3220079979037455E-7</v>
      </c>
      <c r="K293" t="s">
        <v>14</v>
      </c>
      <c r="U293" t="s">
        <v>3603</v>
      </c>
      <c r="V293" t="s">
        <v>4002</v>
      </c>
      <c r="W293" t="s">
        <v>3656</v>
      </c>
      <c r="X293" t="s">
        <v>19</v>
      </c>
    </row>
    <row r="294" spans="8:24" x14ac:dyDescent="0.45">
      <c r="H294" t="s">
        <v>3658</v>
      </c>
      <c r="I294" t="s">
        <v>632</v>
      </c>
      <c r="J294">
        <v>3.3220079979037455E-7</v>
      </c>
      <c r="K294" t="s">
        <v>14</v>
      </c>
      <c r="U294" t="s">
        <v>3603</v>
      </c>
      <c r="V294" t="s">
        <v>4003</v>
      </c>
      <c r="W294" t="s">
        <v>3656</v>
      </c>
      <c r="X294" t="s">
        <v>19</v>
      </c>
    </row>
    <row r="295" spans="8:24" x14ac:dyDescent="0.45">
      <c r="H295" t="s">
        <v>3662</v>
      </c>
      <c r="I295" t="s">
        <v>632</v>
      </c>
      <c r="J295">
        <v>3.3220079979037455E-7</v>
      </c>
      <c r="K295" t="s">
        <v>14</v>
      </c>
      <c r="U295" t="s">
        <v>3603</v>
      </c>
      <c r="V295" t="s">
        <v>4004</v>
      </c>
      <c r="W295" t="s">
        <v>3656</v>
      </c>
      <c r="X295" t="s">
        <v>19</v>
      </c>
    </row>
    <row r="296" spans="8:24" x14ac:dyDescent="0.45">
      <c r="H296" t="s">
        <v>3665</v>
      </c>
      <c r="I296" t="s">
        <v>632</v>
      </c>
      <c r="J296">
        <v>3.3220079979037455E-7</v>
      </c>
      <c r="K296" t="s">
        <v>14</v>
      </c>
      <c r="U296" t="s">
        <v>3603</v>
      </c>
      <c r="V296" t="s">
        <v>4005</v>
      </c>
      <c r="W296" t="s">
        <v>3656</v>
      </c>
      <c r="X296" t="s">
        <v>19</v>
      </c>
    </row>
    <row r="297" spans="8:24" x14ac:dyDescent="0.45">
      <c r="H297" t="s">
        <v>3669</v>
      </c>
      <c r="I297" t="s">
        <v>632</v>
      </c>
      <c r="J297">
        <v>8.3050532148393336E-2</v>
      </c>
      <c r="K297" t="s">
        <v>14</v>
      </c>
      <c r="U297" t="s">
        <v>3603</v>
      </c>
      <c r="V297" t="s">
        <v>4006</v>
      </c>
      <c r="W297" t="s">
        <v>3656</v>
      </c>
      <c r="X297" t="s">
        <v>19</v>
      </c>
    </row>
    <row r="298" spans="8:24" x14ac:dyDescent="0.45">
      <c r="H298" t="s">
        <v>3673</v>
      </c>
      <c r="I298" t="s">
        <v>632</v>
      </c>
      <c r="J298">
        <v>0.16610073209598702</v>
      </c>
      <c r="K298" t="s">
        <v>14</v>
      </c>
      <c r="U298" t="s">
        <v>3603</v>
      </c>
      <c r="V298" t="s">
        <v>4007</v>
      </c>
      <c r="W298" t="s">
        <v>3656</v>
      </c>
      <c r="X298" t="s">
        <v>19</v>
      </c>
    </row>
    <row r="299" spans="8:24" x14ac:dyDescent="0.45">
      <c r="H299" t="s">
        <v>3677</v>
      </c>
      <c r="I299" t="s">
        <v>632</v>
      </c>
      <c r="J299">
        <v>6.6440492158874695E-2</v>
      </c>
      <c r="K299" t="s">
        <v>14</v>
      </c>
      <c r="U299" t="s">
        <v>3603</v>
      </c>
      <c r="V299" t="s">
        <v>4008</v>
      </c>
      <c r="W299" t="s">
        <v>3656</v>
      </c>
      <c r="X299" t="s">
        <v>19</v>
      </c>
    </row>
    <row r="300" spans="8:24" x14ac:dyDescent="0.45">
      <c r="H300" t="s">
        <v>3680</v>
      </c>
      <c r="I300" t="s">
        <v>632</v>
      </c>
      <c r="J300">
        <v>6.6440492158874695E-2</v>
      </c>
      <c r="K300" t="s">
        <v>14</v>
      </c>
      <c r="U300" t="s">
        <v>3603</v>
      </c>
      <c r="V300" t="s">
        <v>4009</v>
      </c>
      <c r="W300" t="s">
        <v>3656</v>
      </c>
      <c r="X300" t="s">
        <v>19</v>
      </c>
    </row>
    <row r="301" spans="8:24" x14ac:dyDescent="0.45">
      <c r="H301" t="s">
        <v>3684</v>
      </c>
      <c r="I301" t="s">
        <v>632</v>
      </c>
      <c r="J301">
        <v>3.3220412179837219E-2</v>
      </c>
      <c r="K301" t="s">
        <v>14</v>
      </c>
      <c r="U301" t="s">
        <v>3603</v>
      </c>
      <c r="V301" t="s">
        <v>4009</v>
      </c>
      <c r="W301" t="s">
        <v>4010</v>
      </c>
      <c r="X301" t="s">
        <v>19</v>
      </c>
    </row>
    <row r="302" spans="8:24" x14ac:dyDescent="0.45">
      <c r="H302" t="s">
        <v>3687</v>
      </c>
      <c r="I302" t="s">
        <v>632</v>
      </c>
      <c r="J302">
        <v>3.3220079979037455E-7</v>
      </c>
      <c r="K302" t="s">
        <v>14</v>
      </c>
      <c r="U302" t="s">
        <v>3603</v>
      </c>
      <c r="V302" t="s">
        <v>4011</v>
      </c>
      <c r="W302" t="s">
        <v>3656</v>
      </c>
      <c r="X302" t="s">
        <v>19</v>
      </c>
    </row>
    <row r="303" spans="8:24" x14ac:dyDescent="0.45">
      <c r="H303" t="s">
        <v>3691</v>
      </c>
      <c r="I303" t="s">
        <v>632</v>
      </c>
      <c r="J303">
        <v>9.9660572137912073E-2</v>
      </c>
      <c r="K303" t="s">
        <v>14</v>
      </c>
      <c r="U303" t="s">
        <v>3603</v>
      </c>
      <c r="V303" t="s">
        <v>4011</v>
      </c>
      <c r="W303" t="s">
        <v>4010</v>
      </c>
      <c r="X303" t="s">
        <v>19</v>
      </c>
    </row>
    <row r="304" spans="8:24" x14ac:dyDescent="0.45">
      <c r="H304" t="s">
        <v>3694</v>
      </c>
      <c r="I304" t="s">
        <v>632</v>
      </c>
      <c r="J304">
        <v>3.3220079979037455E-7</v>
      </c>
      <c r="K304" t="s">
        <v>14</v>
      </c>
      <c r="U304" t="s">
        <v>3603</v>
      </c>
      <c r="V304" t="s">
        <v>4012</v>
      </c>
      <c r="W304" t="s">
        <v>3656</v>
      </c>
      <c r="X304" t="s">
        <v>19</v>
      </c>
    </row>
    <row r="305" spans="8:24" x14ac:dyDescent="0.45">
      <c r="H305" t="s">
        <v>3697</v>
      </c>
      <c r="I305" t="s">
        <v>632</v>
      </c>
      <c r="J305">
        <v>3.3220079979037455E-7</v>
      </c>
      <c r="K305" t="s">
        <v>14</v>
      </c>
      <c r="U305" t="s">
        <v>3603</v>
      </c>
      <c r="V305" t="s">
        <v>4012</v>
      </c>
      <c r="W305" t="s">
        <v>4010</v>
      </c>
      <c r="X305" t="s">
        <v>19</v>
      </c>
    </row>
    <row r="306" spans="8:24" x14ac:dyDescent="0.45">
      <c r="H306" t="s">
        <v>3700</v>
      </c>
      <c r="I306" t="s">
        <v>632</v>
      </c>
      <c r="J306">
        <v>9.9660572137912073E-2</v>
      </c>
      <c r="K306" t="s">
        <v>14</v>
      </c>
      <c r="U306" t="s">
        <v>3603</v>
      </c>
      <c r="V306" t="s">
        <v>4013</v>
      </c>
      <c r="W306" t="s">
        <v>4010</v>
      </c>
      <c r="X306" t="s">
        <v>19</v>
      </c>
    </row>
    <row r="307" spans="8:24" x14ac:dyDescent="0.45">
      <c r="H307" t="s">
        <v>3703</v>
      </c>
      <c r="I307" t="s">
        <v>632</v>
      </c>
      <c r="J307">
        <v>6.6440492158874695E-2</v>
      </c>
      <c r="K307" t="s">
        <v>14</v>
      </c>
      <c r="U307" t="s">
        <v>3603</v>
      </c>
      <c r="V307" t="s">
        <v>4014</v>
      </c>
      <c r="W307" t="s">
        <v>4010</v>
      </c>
      <c r="X307" t="s">
        <v>19</v>
      </c>
    </row>
    <row r="308" spans="8:24" x14ac:dyDescent="0.45">
      <c r="H308" t="s">
        <v>3706</v>
      </c>
      <c r="I308" t="s">
        <v>632</v>
      </c>
      <c r="J308">
        <v>3.3220079979037455E-7</v>
      </c>
      <c r="K308" t="s">
        <v>14</v>
      </c>
      <c r="U308" t="s">
        <v>3603</v>
      </c>
      <c r="V308" t="s">
        <v>4015</v>
      </c>
      <c r="W308" t="s">
        <v>4010</v>
      </c>
      <c r="X308" t="s">
        <v>19</v>
      </c>
    </row>
    <row r="309" spans="8:24" x14ac:dyDescent="0.45">
      <c r="H309" t="s">
        <v>3709</v>
      </c>
      <c r="I309" t="s">
        <v>632</v>
      </c>
      <c r="J309">
        <v>6.6440492158874695E-2</v>
      </c>
      <c r="K309" t="s">
        <v>14</v>
      </c>
      <c r="U309" t="s">
        <v>3603</v>
      </c>
      <c r="V309" t="s">
        <v>4015</v>
      </c>
      <c r="W309" t="s">
        <v>3656</v>
      </c>
      <c r="X309" t="s">
        <v>17</v>
      </c>
    </row>
    <row r="310" spans="8:24" x14ac:dyDescent="0.45">
      <c r="H310" t="s">
        <v>3712</v>
      </c>
      <c r="I310" t="s">
        <v>632</v>
      </c>
      <c r="J310">
        <v>0.16610073209598702</v>
      </c>
      <c r="K310" t="s">
        <v>14</v>
      </c>
      <c r="U310" t="s">
        <v>3603</v>
      </c>
      <c r="V310" t="s">
        <v>4016</v>
      </c>
      <c r="W310" t="s">
        <v>4010</v>
      </c>
      <c r="X310" t="s">
        <v>19</v>
      </c>
    </row>
    <row r="311" spans="8:24" x14ac:dyDescent="0.45">
      <c r="H311" t="s">
        <v>3715</v>
      </c>
      <c r="I311" t="s">
        <v>632</v>
      </c>
      <c r="J311">
        <v>3.3220079979037455E-7</v>
      </c>
      <c r="K311" t="s">
        <v>14</v>
      </c>
      <c r="U311" t="s">
        <v>3603</v>
      </c>
      <c r="V311" t="s">
        <v>4016</v>
      </c>
      <c r="W311" t="s">
        <v>3656</v>
      </c>
      <c r="X311" t="s">
        <v>17</v>
      </c>
    </row>
    <row r="312" spans="8:24" x14ac:dyDescent="0.45">
      <c r="H312" t="s">
        <v>3718</v>
      </c>
      <c r="I312" t="s">
        <v>632</v>
      </c>
      <c r="J312">
        <v>3.3220079979037455E-7</v>
      </c>
      <c r="K312" t="s">
        <v>14</v>
      </c>
      <c r="U312" t="s">
        <v>3603</v>
      </c>
      <c r="V312" t="s">
        <v>4017</v>
      </c>
      <c r="W312" t="s">
        <v>3659</v>
      </c>
      <c r="X312" t="s">
        <v>19</v>
      </c>
    </row>
    <row r="313" spans="8:24" x14ac:dyDescent="0.45">
      <c r="H313" t="s">
        <v>3721</v>
      </c>
      <c r="I313" t="s">
        <v>632</v>
      </c>
      <c r="J313">
        <v>3.3220079979037455E-7</v>
      </c>
      <c r="K313" t="s">
        <v>14</v>
      </c>
      <c r="U313" t="s">
        <v>3603</v>
      </c>
      <c r="V313" t="s">
        <v>4018</v>
      </c>
      <c r="W313" t="s">
        <v>3659</v>
      </c>
      <c r="X313" t="s">
        <v>19</v>
      </c>
    </row>
    <row r="314" spans="8:24" x14ac:dyDescent="0.45">
      <c r="H314" t="s">
        <v>3724</v>
      </c>
      <c r="I314" t="s">
        <v>632</v>
      </c>
      <c r="J314">
        <v>6.6440492158874695E-2</v>
      </c>
      <c r="K314" t="s">
        <v>14</v>
      </c>
      <c r="U314" t="s">
        <v>3603</v>
      </c>
      <c r="V314" t="s">
        <v>4019</v>
      </c>
      <c r="W314" t="s">
        <v>3659</v>
      </c>
      <c r="X314" t="s">
        <v>19</v>
      </c>
    </row>
    <row r="315" spans="8:24" x14ac:dyDescent="0.45">
      <c r="H315" t="s">
        <v>3727</v>
      </c>
      <c r="I315" t="s">
        <v>632</v>
      </c>
      <c r="J315">
        <v>3.3220079979037455E-7</v>
      </c>
      <c r="K315" t="s">
        <v>14</v>
      </c>
      <c r="U315" t="s">
        <v>3603</v>
      </c>
      <c r="V315" t="s">
        <v>4020</v>
      </c>
      <c r="W315" t="s">
        <v>3659</v>
      </c>
      <c r="X315" t="s">
        <v>19</v>
      </c>
    </row>
    <row r="316" spans="8:24" x14ac:dyDescent="0.45">
      <c r="H316" t="s">
        <v>3728</v>
      </c>
      <c r="I316" t="s">
        <v>632</v>
      </c>
      <c r="J316">
        <v>3.3220079979037455E-7</v>
      </c>
      <c r="K316" t="s">
        <v>14</v>
      </c>
      <c r="U316" t="s">
        <v>3603</v>
      </c>
      <c r="V316" t="s">
        <v>4021</v>
      </c>
      <c r="W316" t="s">
        <v>3659</v>
      </c>
      <c r="X316" t="s">
        <v>19</v>
      </c>
    </row>
    <row r="317" spans="8:24" x14ac:dyDescent="0.45">
      <c r="H317" t="s">
        <v>3730</v>
      </c>
      <c r="I317" t="s">
        <v>632</v>
      </c>
      <c r="J317">
        <v>3.3220079979037455E-7</v>
      </c>
      <c r="K317" t="s">
        <v>14</v>
      </c>
      <c r="U317" t="s">
        <v>3603</v>
      </c>
      <c r="V317" t="s">
        <v>4022</v>
      </c>
      <c r="W317" t="s">
        <v>3659</v>
      </c>
      <c r="X317" t="s">
        <v>19</v>
      </c>
    </row>
    <row r="318" spans="8:24" x14ac:dyDescent="0.45">
      <c r="H318" t="s">
        <v>3731</v>
      </c>
      <c r="I318" t="s">
        <v>632</v>
      </c>
      <c r="J318">
        <v>3.3220079979037455E-7</v>
      </c>
      <c r="K318" t="s">
        <v>14</v>
      </c>
      <c r="U318" t="s">
        <v>3603</v>
      </c>
      <c r="V318" t="s">
        <v>4023</v>
      </c>
      <c r="W318" t="s">
        <v>3659</v>
      </c>
      <c r="X318" t="s">
        <v>19</v>
      </c>
    </row>
    <row r="319" spans="8:24" x14ac:dyDescent="0.45">
      <c r="H319" t="s">
        <v>3733</v>
      </c>
      <c r="I319" t="s">
        <v>632</v>
      </c>
      <c r="J319">
        <v>3.3220079979037455E-7</v>
      </c>
      <c r="K319" t="s">
        <v>14</v>
      </c>
      <c r="U319" t="s">
        <v>3603</v>
      </c>
      <c r="V319" t="s">
        <v>4024</v>
      </c>
      <c r="W319" t="s">
        <v>3659</v>
      </c>
      <c r="X319" t="s">
        <v>19</v>
      </c>
    </row>
    <row r="320" spans="8:24" x14ac:dyDescent="0.45">
      <c r="H320" t="s">
        <v>3735</v>
      </c>
      <c r="I320" t="s">
        <v>632</v>
      </c>
      <c r="J320">
        <v>8.3050532148393336E-2</v>
      </c>
      <c r="K320" t="s">
        <v>14</v>
      </c>
      <c r="U320" t="s">
        <v>3603</v>
      </c>
      <c r="V320" t="s">
        <v>4025</v>
      </c>
      <c r="W320" t="s">
        <v>3659</v>
      </c>
      <c r="X320" t="s">
        <v>19</v>
      </c>
    </row>
    <row r="321" spans="8:24" x14ac:dyDescent="0.45">
      <c r="H321" t="s">
        <v>3737</v>
      </c>
      <c r="I321" t="s">
        <v>632</v>
      </c>
      <c r="J321">
        <v>0.16610073209598702</v>
      </c>
      <c r="K321" t="s">
        <v>14</v>
      </c>
      <c r="U321" t="s">
        <v>3603</v>
      </c>
      <c r="V321" t="s">
        <v>4026</v>
      </c>
      <c r="W321" t="s">
        <v>3659</v>
      </c>
      <c r="X321" t="s">
        <v>19</v>
      </c>
    </row>
    <row r="322" spans="8:24" x14ac:dyDescent="0.45">
      <c r="H322" t="s">
        <v>3738</v>
      </c>
      <c r="I322" t="s">
        <v>632</v>
      </c>
      <c r="J322">
        <v>6.6440492158874695E-2</v>
      </c>
      <c r="K322" t="s">
        <v>14</v>
      </c>
      <c r="U322" t="s">
        <v>3603</v>
      </c>
      <c r="V322" t="s">
        <v>4027</v>
      </c>
      <c r="W322" t="s">
        <v>3659</v>
      </c>
      <c r="X322" t="s">
        <v>19</v>
      </c>
    </row>
    <row r="323" spans="8:24" x14ac:dyDescent="0.45">
      <c r="H323" t="s">
        <v>3740</v>
      </c>
      <c r="I323" t="s">
        <v>632</v>
      </c>
      <c r="J323">
        <v>6.6440492158874695E-2</v>
      </c>
      <c r="K323" t="s">
        <v>14</v>
      </c>
      <c r="U323" t="s">
        <v>3603</v>
      </c>
      <c r="V323" t="s">
        <v>4027</v>
      </c>
      <c r="W323" t="s">
        <v>4028</v>
      </c>
      <c r="X323" t="s">
        <v>19</v>
      </c>
    </row>
    <row r="324" spans="8:24" x14ac:dyDescent="0.45">
      <c r="H324" t="s">
        <v>3741</v>
      </c>
      <c r="I324" t="s">
        <v>632</v>
      </c>
      <c r="J324">
        <v>3.3220412179837219E-2</v>
      </c>
      <c r="K324" t="s">
        <v>14</v>
      </c>
      <c r="U324" t="s">
        <v>3603</v>
      </c>
      <c r="V324" t="s">
        <v>4029</v>
      </c>
      <c r="W324" t="s">
        <v>3659</v>
      </c>
      <c r="X324" t="s">
        <v>19</v>
      </c>
    </row>
    <row r="325" spans="8:24" x14ac:dyDescent="0.45">
      <c r="H325" t="s">
        <v>3743</v>
      </c>
      <c r="I325" t="s">
        <v>632</v>
      </c>
      <c r="J325">
        <v>3.3220079979037455E-7</v>
      </c>
      <c r="K325" t="s">
        <v>14</v>
      </c>
      <c r="U325" t="s">
        <v>3603</v>
      </c>
      <c r="V325" t="s">
        <v>4029</v>
      </c>
      <c r="W325" t="s">
        <v>4028</v>
      </c>
      <c r="X325" t="s">
        <v>19</v>
      </c>
    </row>
    <row r="326" spans="8:24" x14ac:dyDescent="0.45">
      <c r="H326" t="s">
        <v>3745</v>
      </c>
      <c r="I326" t="s">
        <v>632</v>
      </c>
      <c r="J326">
        <v>9.9660572137912073E-2</v>
      </c>
      <c r="K326" t="s">
        <v>14</v>
      </c>
      <c r="U326" t="s">
        <v>3603</v>
      </c>
      <c r="V326" t="s">
        <v>4030</v>
      </c>
      <c r="W326" t="s">
        <v>3659</v>
      </c>
      <c r="X326" t="s">
        <v>19</v>
      </c>
    </row>
    <row r="327" spans="8:24" x14ac:dyDescent="0.45">
      <c r="H327" t="s">
        <v>3747</v>
      </c>
      <c r="I327" t="s">
        <v>632</v>
      </c>
      <c r="J327">
        <v>3.3220079979037455E-7</v>
      </c>
      <c r="K327" t="s">
        <v>14</v>
      </c>
      <c r="U327" t="s">
        <v>3603</v>
      </c>
      <c r="V327" t="s">
        <v>4030</v>
      </c>
      <c r="W327" t="s">
        <v>4028</v>
      </c>
      <c r="X327" t="s">
        <v>19</v>
      </c>
    </row>
    <row r="328" spans="8:24" x14ac:dyDescent="0.45">
      <c r="H328" t="s">
        <v>3749</v>
      </c>
      <c r="I328" t="s">
        <v>632</v>
      </c>
      <c r="J328">
        <v>3.3220079979037455E-7</v>
      </c>
      <c r="K328" t="s">
        <v>14</v>
      </c>
      <c r="U328" t="s">
        <v>3603</v>
      </c>
      <c r="V328" t="s">
        <v>4031</v>
      </c>
      <c r="W328" t="s">
        <v>4028</v>
      </c>
      <c r="X328" t="s">
        <v>19</v>
      </c>
    </row>
    <row r="329" spans="8:24" x14ac:dyDescent="0.45">
      <c r="H329" t="s">
        <v>3751</v>
      </c>
      <c r="I329" t="s">
        <v>632</v>
      </c>
      <c r="J329">
        <v>9.9660572137912073E-2</v>
      </c>
      <c r="K329" t="s">
        <v>14</v>
      </c>
      <c r="U329" t="s">
        <v>3603</v>
      </c>
      <c r="V329" t="s">
        <v>4032</v>
      </c>
      <c r="W329" t="s">
        <v>4028</v>
      </c>
      <c r="X329" t="s">
        <v>19</v>
      </c>
    </row>
    <row r="330" spans="8:24" x14ac:dyDescent="0.45">
      <c r="H330" t="s">
        <v>3753</v>
      </c>
      <c r="I330" t="s">
        <v>632</v>
      </c>
      <c r="J330">
        <v>6.6440492158874695E-2</v>
      </c>
      <c r="K330" t="s">
        <v>14</v>
      </c>
      <c r="U330" t="s">
        <v>3603</v>
      </c>
      <c r="V330" t="s">
        <v>4033</v>
      </c>
      <c r="W330" t="s">
        <v>4028</v>
      </c>
      <c r="X330" t="s">
        <v>19</v>
      </c>
    </row>
    <row r="331" spans="8:24" x14ac:dyDescent="0.45">
      <c r="H331" t="s">
        <v>3755</v>
      </c>
      <c r="I331" t="s">
        <v>632</v>
      </c>
      <c r="J331">
        <v>3.3220079979037455E-7</v>
      </c>
      <c r="K331" t="s">
        <v>14</v>
      </c>
      <c r="U331" t="s">
        <v>3603</v>
      </c>
      <c r="V331" t="s">
        <v>4033</v>
      </c>
      <c r="W331" t="s">
        <v>3659</v>
      </c>
      <c r="X331" t="s">
        <v>17</v>
      </c>
    </row>
    <row r="332" spans="8:24" x14ac:dyDescent="0.45">
      <c r="H332" t="s">
        <v>3757</v>
      </c>
      <c r="I332" t="s">
        <v>632</v>
      </c>
      <c r="J332">
        <v>6.6440492158874695E-2</v>
      </c>
      <c r="K332" t="s">
        <v>14</v>
      </c>
      <c r="U332" t="s">
        <v>3603</v>
      </c>
      <c r="V332" t="s">
        <v>4034</v>
      </c>
      <c r="W332" t="s">
        <v>4028</v>
      </c>
      <c r="X332" t="s">
        <v>19</v>
      </c>
    </row>
    <row r="333" spans="8:24" x14ac:dyDescent="0.45">
      <c r="H333" t="s">
        <v>3759</v>
      </c>
      <c r="I333" t="s">
        <v>632</v>
      </c>
      <c r="J333">
        <v>0.16610073209598702</v>
      </c>
      <c r="K333" t="s">
        <v>14</v>
      </c>
      <c r="U333" t="s">
        <v>3603</v>
      </c>
      <c r="V333" t="s">
        <v>4034</v>
      </c>
      <c r="W333" t="s">
        <v>3659</v>
      </c>
      <c r="X333" t="s">
        <v>17</v>
      </c>
    </row>
    <row r="334" spans="8:24" x14ac:dyDescent="0.45">
      <c r="H334" t="s">
        <v>3761</v>
      </c>
      <c r="I334" t="s">
        <v>632</v>
      </c>
      <c r="J334">
        <v>3.3220079979037455E-7</v>
      </c>
      <c r="K334" t="s">
        <v>14</v>
      </c>
      <c r="U334" t="s">
        <v>3603</v>
      </c>
      <c r="V334" t="s">
        <v>4035</v>
      </c>
      <c r="W334" t="s">
        <v>3663</v>
      </c>
      <c r="X334" t="s">
        <v>19</v>
      </c>
    </row>
    <row r="335" spans="8:24" x14ac:dyDescent="0.45">
      <c r="H335" t="s">
        <v>3763</v>
      </c>
      <c r="I335" t="s">
        <v>632</v>
      </c>
      <c r="J335">
        <v>3.3220079979037455E-7</v>
      </c>
      <c r="K335" t="s">
        <v>14</v>
      </c>
      <c r="U335" t="s">
        <v>3603</v>
      </c>
      <c r="V335" t="s">
        <v>4036</v>
      </c>
      <c r="W335" t="s">
        <v>3663</v>
      </c>
      <c r="X335" t="s">
        <v>19</v>
      </c>
    </row>
    <row r="336" spans="8:24" x14ac:dyDescent="0.45">
      <c r="H336" t="s">
        <v>3765</v>
      </c>
      <c r="I336" t="s">
        <v>632</v>
      </c>
      <c r="J336">
        <v>3.3220079979037455E-7</v>
      </c>
      <c r="K336" t="s">
        <v>14</v>
      </c>
      <c r="U336" t="s">
        <v>3603</v>
      </c>
      <c r="V336" t="s">
        <v>4037</v>
      </c>
      <c r="W336" t="s">
        <v>3663</v>
      </c>
      <c r="X336" t="s">
        <v>19</v>
      </c>
    </row>
    <row r="337" spans="8:24" x14ac:dyDescent="0.45">
      <c r="H337" t="s">
        <v>3767</v>
      </c>
      <c r="I337" t="s">
        <v>632</v>
      </c>
      <c r="J337">
        <v>6.6440492158874695E-2</v>
      </c>
      <c r="K337" t="s">
        <v>14</v>
      </c>
      <c r="U337" t="s">
        <v>3603</v>
      </c>
      <c r="V337" t="s">
        <v>4038</v>
      </c>
      <c r="W337" t="s">
        <v>3663</v>
      </c>
      <c r="X337" t="s">
        <v>19</v>
      </c>
    </row>
    <row r="338" spans="8:24" x14ac:dyDescent="0.45">
      <c r="H338" t="s">
        <v>3768</v>
      </c>
      <c r="I338" t="s">
        <v>632</v>
      </c>
      <c r="J338">
        <v>3.3220079979037455E-7</v>
      </c>
      <c r="K338" t="s">
        <v>14</v>
      </c>
      <c r="U338" t="s">
        <v>3603</v>
      </c>
      <c r="V338" t="s">
        <v>4039</v>
      </c>
      <c r="W338" t="s">
        <v>3663</v>
      </c>
      <c r="X338" t="s">
        <v>19</v>
      </c>
    </row>
    <row r="339" spans="8:24" x14ac:dyDescent="0.45">
      <c r="H339" t="s">
        <v>3770</v>
      </c>
      <c r="I339" t="s">
        <v>632</v>
      </c>
      <c r="J339">
        <v>3.3220079979037455E-7</v>
      </c>
      <c r="K339" t="s">
        <v>14</v>
      </c>
      <c r="U339" t="s">
        <v>3603</v>
      </c>
      <c r="V339" t="s">
        <v>4040</v>
      </c>
      <c r="W339" t="s">
        <v>3663</v>
      </c>
      <c r="X339" t="s">
        <v>19</v>
      </c>
    </row>
    <row r="340" spans="8:24" x14ac:dyDescent="0.45">
      <c r="H340" t="s">
        <v>3771</v>
      </c>
      <c r="I340" t="s">
        <v>632</v>
      </c>
      <c r="J340">
        <v>3.3220079979037455E-7</v>
      </c>
      <c r="K340" t="s">
        <v>14</v>
      </c>
      <c r="U340" t="s">
        <v>3603</v>
      </c>
      <c r="V340" t="s">
        <v>4041</v>
      </c>
      <c r="W340" t="s">
        <v>3663</v>
      </c>
      <c r="X340" t="s">
        <v>19</v>
      </c>
    </row>
    <row r="341" spans="8:24" x14ac:dyDescent="0.45">
      <c r="H341" t="s">
        <v>3773</v>
      </c>
      <c r="I341" t="s">
        <v>632</v>
      </c>
      <c r="J341">
        <v>3.3220079979037455E-7</v>
      </c>
      <c r="K341" t="s">
        <v>14</v>
      </c>
      <c r="U341" t="s">
        <v>3603</v>
      </c>
      <c r="V341" t="s">
        <v>4042</v>
      </c>
      <c r="W341" t="s">
        <v>3663</v>
      </c>
      <c r="X341" t="s">
        <v>19</v>
      </c>
    </row>
    <row r="342" spans="8:24" x14ac:dyDescent="0.45">
      <c r="H342" t="s">
        <v>3775</v>
      </c>
      <c r="I342" t="s">
        <v>632</v>
      </c>
      <c r="J342">
        <v>3.3220079979037455E-7</v>
      </c>
      <c r="K342" t="s">
        <v>14</v>
      </c>
      <c r="U342" t="s">
        <v>3603</v>
      </c>
      <c r="V342" t="s">
        <v>4043</v>
      </c>
      <c r="W342" t="s">
        <v>3663</v>
      </c>
      <c r="X342" t="s">
        <v>19</v>
      </c>
    </row>
    <row r="343" spans="8:24" x14ac:dyDescent="0.45">
      <c r="H343" t="s">
        <v>3777</v>
      </c>
      <c r="I343" t="s">
        <v>632</v>
      </c>
      <c r="J343">
        <v>8.3050532148393336E-2</v>
      </c>
      <c r="K343" t="s">
        <v>14</v>
      </c>
      <c r="U343" t="s">
        <v>3603</v>
      </c>
      <c r="V343" t="s">
        <v>4044</v>
      </c>
      <c r="W343" t="s">
        <v>3663</v>
      </c>
      <c r="X343" t="s">
        <v>19</v>
      </c>
    </row>
    <row r="344" spans="8:24" x14ac:dyDescent="0.45">
      <c r="H344" t="s">
        <v>3778</v>
      </c>
      <c r="I344" t="s">
        <v>632</v>
      </c>
      <c r="J344">
        <v>0.16610073209598702</v>
      </c>
      <c r="K344" t="s">
        <v>14</v>
      </c>
      <c r="U344" t="s">
        <v>3603</v>
      </c>
      <c r="V344" t="s">
        <v>4045</v>
      </c>
      <c r="W344" t="s">
        <v>3663</v>
      </c>
      <c r="X344" t="s">
        <v>19</v>
      </c>
    </row>
    <row r="345" spans="8:24" x14ac:dyDescent="0.45">
      <c r="H345" t="s">
        <v>3780</v>
      </c>
      <c r="I345" t="s">
        <v>632</v>
      </c>
      <c r="J345">
        <v>6.6440492158874695E-2</v>
      </c>
      <c r="K345" t="s">
        <v>14</v>
      </c>
      <c r="U345" t="s">
        <v>3603</v>
      </c>
      <c r="V345" t="s">
        <v>4045</v>
      </c>
      <c r="W345" t="s">
        <v>3846</v>
      </c>
      <c r="X345" t="s">
        <v>19</v>
      </c>
    </row>
    <row r="346" spans="8:24" x14ac:dyDescent="0.45">
      <c r="H346" t="s">
        <v>3781</v>
      </c>
      <c r="I346" t="s">
        <v>632</v>
      </c>
      <c r="J346">
        <v>6.6440492158874695E-2</v>
      </c>
      <c r="K346" t="s">
        <v>14</v>
      </c>
      <c r="U346" t="s">
        <v>3603</v>
      </c>
      <c r="V346" t="s">
        <v>4046</v>
      </c>
      <c r="W346" t="s">
        <v>3663</v>
      </c>
      <c r="X346" t="s">
        <v>19</v>
      </c>
    </row>
    <row r="347" spans="8:24" x14ac:dyDescent="0.45">
      <c r="H347" t="s">
        <v>3783</v>
      </c>
      <c r="I347" t="s">
        <v>632</v>
      </c>
      <c r="J347">
        <v>3.3220412179837219E-2</v>
      </c>
      <c r="K347" t="s">
        <v>14</v>
      </c>
      <c r="U347" t="s">
        <v>3603</v>
      </c>
      <c r="V347" t="s">
        <v>4046</v>
      </c>
      <c r="W347" t="s">
        <v>3846</v>
      </c>
      <c r="X347" t="s">
        <v>19</v>
      </c>
    </row>
    <row r="348" spans="8:24" x14ac:dyDescent="0.45">
      <c r="H348" t="s">
        <v>3785</v>
      </c>
      <c r="I348" t="s">
        <v>632</v>
      </c>
      <c r="J348">
        <v>3.3220079979037455E-7</v>
      </c>
      <c r="K348" t="s">
        <v>14</v>
      </c>
      <c r="U348" t="s">
        <v>3603</v>
      </c>
      <c r="V348" t="s">
        <v>4047</v>
      </c>
      <c r="W348" t="s">
        <v>3663</v>
      </c>
      <c r="X348" t="s">
        <v>19</v>
      </c>
    </row>
    <row r="349" spans="8:24" x14ac:dyDescent="0.45">
      <c r="H349" t="s">
        <v>3787</v>
      </c>
      <c r="I349" t="s">
        <v>632</v>
      </c>
      <c r="J349">
        <v>9.9660572137912073E-2</v>
      </c>
      <c r="K349" t="s">
        <v>14</v>
      </c>
      <c r="U349" t="s">
        <v>3603</v>
      </c>
      <c r="V349" t="s">
        <v>4047</v>
      </c>
      <c r="W349" t="s">
        <v>3846</v>
      </c>
      <c r="X349" t="s">
        <v>19</v>
      </c>
    </row>
    <row r="350" spans="8:24" x14ac:dyDescent="0.45">
      <c r="H350" t="s">
        <v>3789</v>
      </c>
      <c r="I350" t="s">
        <v>632</v>
      </c>
      <c r="J350">
        <v>3.3220079979037455E-7</v>
      </c>
      <c r="K350" t="s">
        <v>14</v>
      </c>
      <c r="U350" t="s">
        <v>3603</v>
      </c>
      <c r="V350" t="s">
        <v>4048</v>
      </c>
      <c r="W350" t="s">
        <v>3846</v>
      </c>
      <c r="X350" t="s">
        <v>19</v>
      </c>
    </row>
    <row r="351" spans="8:24" x14ac:dyDescent="0.45">
      <c r="H351" t="s">
        <v>3791</v>
      </c>
      <c r="I351" t="s">
        <v>632</v>
      </c>
      <c r="J351">
        <v>3.3220079979037455E-7</v>
      </c>
      <c r="K351" t="s">
        <v>14</v>
      </c>
      <c r="U351" t="s">
        <v>3603</v>
      </c>
      <c r="V351" t="s">
        <v>4049</v>
      </c>
      <c r="W351" t="s">
        <v>3846</v>
      </c>
      <c r="X351" t="s">
        <v>19</v>
      </c>
    </row>
    <row r="352" spans="8:24" x14ac:dyDescent="0.45">
      <c r="H352" t="s">
        <v>3793</v>
      </c>
      <c r="I352" t="s">
        <v>632</v>
      </c>
      <c r="J352">
        <v>9.9660572137912073E-2</v>
      </c>
      <c r="K352" t="s">
        <v>14</v>
      </c>
      <c r="U352" t="s">
        <v>3603</v>
      </c>
      <c r="V352" t="s">
        <v>4050</v>
      </c>
      <c r="W352" t="s">
        <v>3846</v>
      </c>
      <c r="X352" t="s">
        <v>19</v>
      </c>
    </row>
    <row r="353" spans="8:24" x14ac:dyDescent="0.45">
      <c r="H353" t="s">
        <v>3795</v>
      </c>
      <c r="I353" t="s">
        <v>632</v>
      </c>
      <c r="J353">
        <v>6.6440492158874695E-2</v>
      </c>
      <c r="K353" t="s">
        <v>14</v>
      </c>
      <c r="U353" t="s">
        <v>3603</v>
      </c>
      <c r="V353" t="s">
        <v>4050</v>
      </c>
      <c r="W353" t="s">
        <v>3663</v>
      </c>
      <c r="X353" t="s">
        <v>17</v>
      </c>
    </row>
    <row r="354" spans="8:24" x14ac:dyDescent="0.45">
      <c r="H354" t="s">
        <v>3797</v>
      </c>
      <c r="I354" t="s">
        <v>632</v>
      </c>
      <c r="J354">
        <v>3.3220079979037455E-7</v>
      </c>
      <c r="K354" t="s">
        <v>14</v>
      </c>
      <c r="U354" t="s">
        <v>3603</v>
      </c>
      <c r="V354" t="s">
        <v>4051</v>
      </c>
      <c r="W354" t="s">
        <v>3846</v>
      </c>
      <c r="X354" t="s">
        <v>19</v>
      </c>
    </row>
    <row r="355" spans="8:24" x14ac:dyDescent="0.45">
      <c r="H355" t="s">
        <v>3799</v>
      </c>
      <c r="I355" t="s">
        <v>632</v>
      </c>
      <c r="J355">
        <v>6.6440492158874695E-2</v>
      </c>
      <c r="K355" t="s">
        <v>14</v>
      </c>
      <c r="U355" t="s">
        <v>3603</v>
      </c>
      <c r="V355" t="s">
        <v>4051</v>
      </c>
      <c r="W355" t="s">
        <v>3663</v>
      </c>
      <c r="X355" t="s">
        <v>17</v>
      </c>
    </row>
    <row r="356" spans="8:24" x14ac:dyDescent="0.45">
      <c r="H356" t="s">
        <v>3801</v>
      </c>
      <c r="I356" t="s">
        <v>632</v>
      </c>
      <c r="J356">
        <v>0.16610073209598702</v>
      </c>
      <c r="K356" t="s">
        <v>14</v>
      </c>
      <c r="U356" t="s">
        <v>3603</v>
      </c>
      <c r="V356" t="s">
        <v>4052</v>
      </c>
      <c r="W356" t="s">
        <v>3666</v>
      </c>
      <c r="X356" t="s">
        <v>19</v>
      </c>
    </row>
    <row r="357" spans="8:24" x14ac:dyDescent="0.45">
      <c r="H357" t="s">
        <v>3803</v>
      </c>
      <c r="I357" t="s">
        <v>632</v>
      </c>
      <c r="J357">
        <v>3.3220079979037455E-7</v>
      </c>
      <c r="K357" t="s">
        <v>14</v>
      </c>
      <c r="U357" t="s">
        <v>3603</v>
      </c>
      <c r="V357" t="s">
        <v>4053</v>
      </c>
      <c r="W357" t="s">
        <v>3666</v>
      </c>
      <c r="X357" t="s">
        <v>19</v>
      </c>
    </row>
    <row r="358" spans="8:24" x14ac:dyDescent="0.45">
      <c r="H358" t="s">
        <v>3805</v>
      </c>
      <c r="I358" t="s">
        <v>632</v>
      </c>
      <c r="J358">
        <v>3.3220079979037455E-7</v>
      </c>
      <c r="K358" t="s">
        <v>14</v>
      </c>
      <c r="U358" t="s">
        <v>3603</v>
      </c>
      <c r="V358" t="s">
        <v>4054</v>
      </c>
      <c r="W358" t="s">
        <v>3666</v>
      </c>
      <c r="X358" t="s">
        <v>19</v>
      </c>
    </row>
    <row r="359" spans="8:24" x14ac:dyDescent="0.45">
      <c r="H359" t="s">
        <v>3807</v>
      </c>
      <c r="I359" t="s">
        <v>632</v>
      </c>
      <c r="J359">
        <v>3.3220079979037455E-7</v>
      </c>
      <c r="K359" t="s">
        <v>14</v>
      </c>
      <c r="U359" t="s">
        <v>3603</v>
      </c>
      <c r="V359" t="s">
        <v>4055</v>
      </c>
      <c r="W359" t="s">
        <v>3666</v>
      </c>
      <c r="X359" t="s">
        <v>19</v>
      </c>
    </row>
    <row r="360" spans="8:24" x14ac:dyDescent="0.45">
      <c r="H360" t="s">
        <v>3808</v>
      </c>
      <c r="I360" t="s">
        <v>632</v>
      </c>
      <c r="J360">
        <v>6.6440492158874695E-2</v>
      </c>
      <c r="K360" t="s">
        <v>14</v>
      </c>
      <c r="U360" t="s">
        <v>3603</v>
      </c>
      <c r="V360" t="s">
        <v>4056</v>
      </c>
      <c r="W360" t="s">
        <v>3666</v>
      </c>
      <c r="X360" t="s">
        <v>19</v>
      </c>
    </row>
    <row r="361" spans="8:24" x14ac:dyDescent="0.45">
      <c r="H361" t="s">
        <v>3810</v>
      </c>
      <c r="I361" t="s">
        <v>632</v>
      </c>
      <c r="J361">
        <v>3.3220079979037455E-7</v>
      </c>
      <c r="K361" t="s">
        <v>14</v>
      </c>
      <c r="U361" t="s">
        <v>3603</v>
      </c>
      <c r="V361" t="s">
        <v>4057</v>
      </c>
      <c r="W361" t="s">
        <v>3666</v>
      </c>
      <c r="X361" t="s">
        <v>19</v>
      </c>
    </row>
    <row r="362" spans="8:24" x14ac:dyDescent="0.45">
      <c r="H362" t="s">
        <v>3811</v>
      </c>
      <c r="I362" t="s">
        <v>632</v>
      </c>
      <c r="J362">
        <v>3.3220079979037455E-7</v>
      </c>
      <c r="K362" t="s">
        <v>14</v>
      </c>
      <c r="U362" t="s">
        <v>3603</v>
      </c>
      <c r="V362" t="s">
        <v>4058</v>
      </c>
      <c r="W362" t="s">
        <v>3666</v>
      </c>
      <c r="X362" t="s">
        <v>19</v>
      </c>
    </row>
    <row r="363" spans="8:24" x14ac:dyDescent="0.45">
      <c r="H363" t="s">
        <v>3813</v>
      </c>
      <c r="I363" t="s">
        <v>632</v>
      </c>
      <c r="J363">
        <v>3.3220079979037455E-7</v>
      </c>
      <c r="K363" t="s">
        <v>14</v>
      </c>
      <c r="U363" t="s">
        <v>3603</v>
      </c>
      <c r="V363" t="s">
        <v>4059</v>
      </c>
      <c r="W363" t="s">
        <v>3666</v>
      </c>
      <c r="X363" t="s">
        <v>19</v>
      </c>
    </row>
    <row r="364" spans="8:24" x14ac:dyDescent="0.45">
      <c r="H364" t="s">
        <v>3815</v>
      </c>
      <c r="I364" t="s">
        <v>632</v>
      </c>
      <c r="J364">
        <v>3.3220079979037455E-7</v>
      </c>
      <c r="K364" t="s">
        <v>14</v>
      </c>
      <c r="U364" t="s">
        <v>3603</v>
      </c>
      <c r="V364" t="s">
        <v>4060</v>
      </c>
      <c r="W364" t="s">
        <v>3666</v>
      </c>
      <c r="X364" t="s">
        <v>19</v>
      </c>
    </row>
    <row r="365" spans="8:24" x14ac:dyDescent="0.45">
      <c r="H365" t="s">
        <v>3817</v>
      </c>
      <c r="I365" t="s">
        <v>632</v>
      </c>
      <c r="J365">
        <v>3.3220079979037455E-7</v>
      </c>
      <c r="K365" t="s">
        <v>14</v>
      </c>
      <c r="U365" t="s">
        <v>3603</v>
      </c>
      <c r="V365" t="s">
        <v>4061</v>
      </c>
      <c r="W365" t="s">
        <v>3666</v>
      </c>
      <c r="X365" t="s">
        <v>19</v>
      </c>
    </row>
    <row r="366" spans="8:24" x14ac:dyDescent="0.45">
      <c r="H366" t="s">
        <v>3818</v>
      </c>
      <c r="I366" t="s">
        <v>632</v>
      </c>
      <c r="J366">
        <v>8.3050532148393336E-2</v>
      </c>
      <c r="K366" t="s">
        <v>14</v>
      </c>
      <c r="U366" t="s">
        <v>3603</v>
      </c>
      <c r="V366" t="s">
        <v>4062</v>
      </c>
      <c r="W366" t="s">
        <v>3666</v>
      </c>
      <c r="X366" t="s">
        <v>19</v>
      </c>
    </row>
    <row r="367" spans="8:24" x14ac:dyDescent="0.45">
      <c r="H367" t="s">
        <v>3820</v>
      </c>
      <c r="I367" t="s">
        <v>632</v>
      </c>
      <c r="J367">
        <v>0.16610073209598702</v>
      </c>
      <c r="K367" t="s">
        <v>14</v>
      </c>
      <c r="U367" t="s">
        <v>3603</v>
      </c>
      <c r="V367" t="s">
        <v>4062</v>
      </c>
      <c r="W367" t="s">
        <v>4063</v>
      </c>
      <c r="X367" t="s">
        <v>19</v>
      </c>
    </row>
    <row r="368" spans="8:24" x14ac:dyDescent="0.45">
      <c r="H368" t="s">
        <v>3821</v>
      </c>
      <c r="I368" t="s">
        <v>632</v>
      </c>
      <c r="J368">
        <v>6.6440492158874695E-2</v>
      </c>
      <c r="K368" t="s">
        <v>14</v>
      </c>
      <c r="U368" t="s">
        <v>3603</v>
      </c>
      <c r="V368" t="s">
        <v>4064</v>
      </c>
      <c r="W368" t="s">
        <v>3666</v>
      </c>
      <c r="X368" t="s">
        <v>19</v>
      </c>
    </row>
    <row r="369" spans="8:24" x14ac:dyDescent="0.45">
      <c r="H369" t="s">
        <v>3823</v>
      </c>
      <c r="I369" t="s">
        <v>632</v>
      </c>
      <c r="J369">
        <v>6.6440492158874695E-2</v>
      </c>
      <c r="K369" t="s">
        <v>14</v>
      </c>
      <c r="U369" t="s">
        <v>3603</v>
      </c>
      <c r="V369" t="s">
        <v>4064</v>
      </c>
      <c r="W369" t="s">
        <v>4063</v>
      </c>
      <c r="X369" t="s">
        <v>19</v>
      </c>
    </row>
    <row r="370" spans="8:24" x14ac:dyDescent="0.45">
      <c r="H370" t="s">
        <v>3825</v>
      </c>
      <c r="I370" t="s">
        <v>632</v>
      </c>
      <c r="J370">
        <v>3.3220412179837219E-2</v>
      </c>
      <c r="K370" t="s">
        <v>14</v>
      </c>
      <c r="U370" t="s">
        <v>3603</v>
      </c>
      <c r="V370" t="s">
        <v>4065</v>
      </c>
      <c r="W370" t="s">
        <v>3666</v>
      </c>
      <c r="X370" t="s">
        <v>19</v>
      </c>
    </row>
    <row r="371" spans="8:24" x14ac:dyDescent="0.45">
      <c r="H371" t="s">
        <v>3827</v>
      </c>
      <c r="I371" t="s">
        <v>632</v>
      </c>
      <c r="J371">
        <v>3.3220079979037455E-7</v>
      </c>
      <c r="K371" t="s">
        <v>14</v>
      </c>
      <c r="U371" t="s">
        <v>3603</v>
      </c>
      <c r="V371" t="s">
        <v>4065</v>
      </c>
      <c r="W371" t="s">
        <v>4063</v>
      </c>
      <c r="X371" t="s">
        <v>19</v>
      </c>
    </row>
    <row r="372" spans="8:24" x14ac:dyDescent="0.45">
      <c r="H372" t="s">
        <v>3829</v>
      </c>
      <c r="I372" t="s">
        <v>738</v>
      </c>
      <c r="J372">
        <v>0.58329033905994954</v>
      </c>
      <c r="K372" t="s">
        <v>14</v>
      </c>
      <c r="U372" t="s">
        <v>3603</v>
      </c>
      <c r="V372" t="s">
        <v>4066</v>
      </c>
      <c r="W372" t="s">
        <v>4063</v>
      </c>
      <c r="X372" t="s">
        <v>19</v>
      </c>
    </row>
    <row r="373" spans="8:24" x14ac:dyDescent="0.45">
      <c r="H373" t="s">
        <v>3829</v>
      </c>
      <c r="I373" t="s">
        <v>740</v>
      </c>
      <c r="J373">
        <v>0.88357142695426927</v>
      </c>
      <c r="K373" t="s">
        <v>14</v>
      </c>
      <c r="U373" t="s">
        <v>3603</v>
      </c>
      <c r="V373" t="s">
        <v>4067</v>
      </c>
      <c r="W373" t="s">
        <v>4063</v>
      </c>
      <c r="X373" t="s">
        <v>19</v>
      </c>
    </row>
    <row r="374" spans="8:24" x14ac:dyDescent="0.45">
      <c r="H374" t="s">
        <v>3832</v>
      </c>
      <c r="I374" t="s">
        <v>738</v>
      </c>
      <c r="J374">
        <v>1.6623358973535399E-2</v>
      </c>
      <c r="K374" t="s">
        <v>14</v>
      </c>
      <c r="U374" t="s">
        <v>3603</v>
      </c>
      <c r="V374" t="s">
        <v>4068</v>
      </c>
      <c r="W374" t="s">
        <v>4063</v>
      </c>
      <c r="X374" t="s">
        <v>19</v>
      </c>
    </row>
    <row r="375" spans="8:24" x14ac:dyDescent="0.45">
      <c r="H375" t="s">
        <v>3832</v>
      </c>
      <c r="I375" t="s">
        <v>740</v>
      </c>
      <c r="J375">
        <v>9.3186175760006173E-8</v>
      </c>
      <c r="K375" t="s">
        <v>14</v>
      </c>
      <c r="U375" t="s">
        <v>3603</v>
      </c>
      <c r="V375" t="s">
        <v>4068</v>
      </c>
      <c r="W375" t="s">
        <v>3666</v>
      </c>
      <c r="X375" t="s">
        <v>17</v>
      </c>
    </row>
    <row r="376" spans="8:24" x14ac:dyDescent="0.45">
      <c r="H376" t="s">
        <v>3835</v>
      </c>
      <c r="I376" t="s">
        <v>738</v>
      </c>
      <c r="J376">
        <v>0.19458215646954621</v>
      </c>
      <c r="K376" t="s">
        <v>14</v>
      </c>
      <c r="U376" t="s">
        <v>3603</v>
      </c>
      <c r="V376" t="s">
        <v>4069</v>
      </c>
      <c r="W376" t="s">
        <v>4063</v>
      </c>
      <c r="X376" t="s">
        <v>19</v>
      </c>
    </row>
    <row r="377" spans="8:24" x14ac:dyDescent="0.45">
      <c r="H377" t="s">
        <v>3835</v>
      </c>
      <c r="I377" t="s">
        <v>740</v>
      </c>
      <c r="J377">
        <v>2.8887714485601906E-7</v>
      </c>
      <c r="K377" t="s">
        <v>14</v>
      </c>
      <c r="U377" t="s">
        <v>3603</v>
      </c>
      <c r="V377" t="s">
        <v>4069</v>
      </c>
      <c r="W377" t="s">
        <v>3666</v>
      </c>
      <c r="X377" t="s">
        <v>17</v>
      </c>
    </row>
    <row r="378" spans="8:24" x14ac:dyDescent="0.45">
      <c r="H378" t="s">
        <v>3838</v>
      </c>
      <c r="I378" t="s">
        <v>738</v>
      </c>
      <c r="J378">
        <v>4.0043265135985898E-2</v>
      </c>
      <c r="K378" t="s">
        <v>14</v>
      </c>
      <c r="U378" t="s">
        <v>3603</v>
      </c>
      <c r="V378" t="s">
        <v>4070</v>
      </c>
      <c r="W378" t="s">
        <v>3670</v>
      </c>
      <c r="X378" t="s">
        <v>19</v>
      </c>
    </row>
    <row r="379" spans="8:24" x14ac:dyDescent="0.45">
      <c r="H379" t="s">
        <v>3838</v>
      </c>
      <c r="I379" t="s">
        <v>740</v>
      </c>
      <c r="J379">
        <v>5.5911891828355098E-2</v>
      </c>
      <c r="K379" t="s">
        <v>14</v>
      </c>
      <c r="U379" t="s">
        <v>3603</v>
      </c>
      <c r="V379" t="s">
        <v>4071</v>
      </c>
      <c r="W379" t="s">
        <v>3670</v>
      </c>
      <c r="X379" t="s">
        <v>19</v>
      </c>
    </row>
    <row r="380" spans="8:24" x14ac:dyDescent="0.45">
      <c r="H380" t="s">
        <v>3840</v>
      </c>
      <c r="I380" t="s">
        <v>738</v>
      </c>
      <c r="J380">
        <v>6.3530020758736802E-2</v>
      </c>
      <c r="K380" t="s">
        <v>14</v>
      </c>
      <c r="U380" t="s">
        <v>3603</v>
      </c>
      <c r="V380" t="s">
        <v>4072</v>
      </c>
      <c r="W380" t="s">
        <v>3670</v>
      </c>
      <c r="X380" t="s">
        <v>19</v>
      </c>
    </row>
    <row r="381" spans="8:24" x14ac:dyDescent="0.45">
      <c r="H381" t="s">
        <v>3840</v>
      </c>
      <c r="I381" t="s">
        <v>740</v>
      </c>
      <c r="J381">
        <v>1.8637235152001229E-7</v>
      </c>
      <c r="K381" t="s">
        <v>14</v>
      </c>
      <c r="U381" t="s">
        <v>3603</v>
      </c>
      <c r="V381" t="s">
        <v>4073</v>
      </c>
      <c r="W381" t="s">
        <v>3670</v>
      </c>
      <c r="X381" t="s">
        <v>19</v>
      </c>
    </row>
    <row r="382" spans="8:24" x14ac:dyDescent="0.45">
      <c r="H382" t="s">
        <v>3842</v>
      </c>
      <c r="I382" t="s">
        <v>738</v>
      </c>
      <c r="J382">
        <v>1.2466433050823501E-2</v>
      </c>
      <c r="K382" t="s">
        <v>14</v>
      </c>
      <c r="U382" t="s">
        <v>3603</v>
      </c>
      <c r="V382" t="s">
        <v>4074</v>
      </c>
      <c r="W382" t="s">
        <v>3670</v>
      </c>
      <c r="X382" t="s">
        <v>19</v>
      </c>
    </row>
    <row r="383" spans="8:24" x14ac:dyDescent="0.45">
      <c r="H383" t="s">
        <v>3842</v>
      </c>
      <c r="I383" t="s">
        <v>740</v>
      </c>
      <c r="J383">
        <v>5.8241359850003846E-8</v>
      </c>
      <c r="K383" t="s">
        <v>14</v>
      </c>
      <c r="U383" t="s">
        <v>3603</v>
      </c>
      <c r="V383" t="s">
        <v>4075</v>
      </c>
      <c r="W383" t="s">
        <v>3670</v>
      </c>
      <c r="X383" t="s">
        <v>19</v>
      </c>
    </row>
    <row r="384" spans="8:24" x14ac:dyDescent="0.45">
      <c r="H384" t="s">
        <v>3845</v>
      </c>
      <c r="I384" t="s">
        <v>738</v>
      </c>
      <c r="J384">
        <v>4.8055738400055698E-2</v>
      </c>
      <c r="K384" t="s">
        <v>14</v>
      </c>
      <c r="U384" t="s">
        <v>3603</v>
      </c>
      <c r="V384" t="s">
        <v>4076</v>
      </c>
      <c r="W384" t="s">
        <v>3670</v>
      </c>
      <c r="X384" t="s">
        <v>19</v>
      </c>
    </row>
    <row r="385" spans="8:24" x14ac:dyDescent="0.45">
      <c r="H385" t="s">
        <v>3845</v>
      </c>
      <c r="I385" t="s">
        <v>740</v>
      </c>
      <c r="J385">
        <v>1.5375719000401016E-7</v>
      </c>
      <c r="K385" t="s">
        <v>14</v>
      </c>
      <c r="U385" t="s">
        <v>3603</v>
      </c>
      <c r="V385" t="s">
        <v>4077</v>
      </c>
      <c r="W385" t="s">
        <v>3670</v>
      </c>
      <c r="X385" t="s">
        <v>19</v>
      </c>
    </row>
    <row r="386" spans="8:24" x14ac:dyDescent="0.45">
      <c r="H386" t="s">
        <v>3848</v>
      </c>
      <c r="I386" t="s">
        <v>738</v>
      </c>
      <c r="J386">
        <v>1.6749912604563499E-2</v>
      </c>
      <c r="K386" t="s">
        <v>14</v>
      </c>
      <c r="U386" t="s">
        <v>3603</v>
      </c>
      <c r="V386" t="s">
        <v>4078</v>
      </c>
      <c r="W386" t="s">
        <v>3670</v>
      </c>
      <c r="X386" t="s">
        <v>19</v>
      </c>
    </row>
    <row r="387" spans="8:24" x14ac:dyDescent="0.45">
      <c r="H387" t="s">
        <v>3848</v>
      </c>
      <c r="I387" t="s">
        <v>740</v>
      </c>
      <c r="J387">
        <v>3.4944932392721902E-2</v>
      </c>
      <c r="K387" t="s">
        <v>14</v>
      </c>
      <c r="U387" t="s">
        <v>3603</v>
      </c>
      <c r="V387" t="s">
        <v>4079</v>
      </c>
      <c r="W387" t="s">
        <v>3670</v>
      </c>
      <c r="X387" t="s">
        <v>19</v>
      </c>
    </row>
    <row r="388" spans="8:24" x14ac:dyDescent="0.45">
      <c r="H388" t="s">
        <v>3850</v>
      </c>
      <c r="I388" t="s">
        <v>738</v>
      </c>
      <c r="J388">
        <v>4.6587755468029002E-3</v>
      </c>
      <c r="K388" t="s">
        <v>14</v>
      </c>
      <c r="U388" t="s">
        <v>3603</v>
      </c>
      <c r="V388" t="s">
        <v>4080</v>
      </c>
      <c r="W388" t="s">
        <v>3670</v>
      </c>
      <c r="X388" t="s">
        <v>19</v>
      </c>
    </row>
    <row r="389" spans="8:24" x14ac:dyDescent="0.45">
      <c r="H389" t="s">
        <v>3850</v>
      </c>
      <c r="I389" t="s">
        <v>740</v>
      </c>
      <c r="J389">
        <v>5.5709683904315004E-3</v>
      </c>
      <c r="K389" t="s">
        <v>14</v>
      </c>
      <c r="U389" t="s">
        <v>3603</v>
      </c>
      <c r="V389" t="s">
        <v>4080</v>
      </c>
      <c r="W389" t="s">
        <v>4081</v>
      </c>
      <c r="X389" t="s">
        <v>19</v>
      </c>
    </row>
    <row r="390" spans="8:24" x14ac:dyDescent="0.45">
      <c r="U390" t="s">
        <v>3603</v>
      </c>
      <c r="V390" t="s">
        <v>4082</v>
      </c>
      <c r="W390" t="s">
        <v>3670</v>
      </c>
      <c r="X390" t="s">
        <v>19</v>
      </c>
    </row>
    <row r="391" spans="8:24" x14ac:dyDescent="0.45">
      <c r="U391" t="s">
        <v>3603</v>
      </c>
      <c r="V391" t="s">
        <v>4082</v>
      </c>
      <c r="W391" t="s">
        <v>4081</v>
      </c>
      <c r="X391" t="s">
        <v>19</v>
      </c>
    </row>
    <row r="392" spans="8:24" x14ac:dyDescent="0.45">
      <c r="U392" t="s">
        <v>3603</v>
      </c>
      <c r="V392" t="s">
        <v>4083</v>
      </c>
      <c r="W392" t="s">
        <v>3670</v>
      </c>
      <c r="X392" t="s">
        <v>19</v>
      </c>
    </row>
    <row r="393" spans="8:24" x14ac:dyDescent="0.45">
      <c r="U393" t="s">
        <v>3603</v>
      </c>
      <c r="V393" t="s">
        <v>4083</v>
      </c>
      <c r="W393" t="s">
        <v>4081</v>
      </c>
      <c r="X393" t="s">
        <v>19</v>
      </c>
    </row>
    <row r="394" spans="8:24" x14ac:dyDescent="0.45">
      <c r="U394" t="s">
        <v>3603</v>
      </c>
      <c r="V394" t="s">
        <v>4084</v>
      </c>
      <c r="W394" t="s">
        <v>4081</v>
      </c>
      <c r="X394" t="s">
        <v>19</v>
      </c>
    </row>
    <row r="395" spans="8:24" x14ac:dyDescent="0.45">
      <c r="U395" t="s">
        <v>3603</v>
      </c>
      <c r="V395" t="s">
        <v>4085</v>
      </c>
      <c r="W395" t="s">
        <v>4081</v>
      </c>
      <c r="X395" t="s">
        <v>19</v>
      </c>
    </row>
    <row r="396" spans="8:24" x14ac:dyDescent="0.45">
      <c r="U396" t="s">
        <v>3603</v>
      </c>
      <c r="V396" t="s">
        <v>4086</v>
      </c>
      <c r="W396" t="s">
        <v>4081</v>
      </c>
      <c r="X396" t="s">
        <v>19</v>
      </c>
    </row>
    <row r="397" spans="8:24" x14ac:dyDescent="0.45">
      <c r="U397" t="s">
        <v>3603</v>
      </c>
      <c r="V397" t="s">
        <v>4086</v>
      </c>
      <c r="W397" t="s">
        <v>3670</v>
      </c>
      <c r="X397" t="s">
        <v>17</v>
      </c>
    </row>
    <row r="398" spans="8:24" x14ac:dyDescent="0.45">
      <c r="U398" t="s">
        <v>3603</v>
      </c>
      <c r="V398" t="s">
        <v>4087</v>
      </c>
      <c r="W398" t="s">
        <v>4081</v>
      </c>
      <c r="X398" t="s">
        <v>19</v>
      </c>
    </row>
    <row r="399" spans="8:24" x14ac:dyDescent="0.45">
      <c r="U399" t="s">
        <v>3603</v>
      </c>
      <c r="V399" t="s">
        <v>4087</v>
      </c>
      <c r="W399" t="s">
        <v>3670</v>
      </c>
      <c r="X399" t="s">
        <v>17</v>
      </c>
    </row>
    <row r="400" spans="8:24" x14ac:dyDescent="0.45">
      <c r="U400" t="s">
        <v>3603</v>
      </c>
      <c r="V400" t="s">
        <v>4088</v>
      </c>
      <c r="W400" t="s">
        <v>3674</v>
      </c>
      <c r="X400" t="s">
        <v>19</v>
      </c>
    </row>
    <row r="401" spans="21:24" x14ac:dyDescent="0.45">
      <c r="U401" t="s">
        <v>3603</v>
      </c>
      <c r="V401" t="s">
        <v>4089</v>
      </c>
      <c r="W401" t="s">
        <v>3674</v>
      </c>
      <c r="X401" t="s">
        <v>19</v>
      </c>
    </row>
    <row r="402" spans="21:24" x14ac:dyDescent="0.45">
      <c r="U402" t="s">
        <v>3603</v>
      </c>
      <c r="V402" t="s">
        <v>4090</v>
      </c>
      <c r="W402" t="s">
        <v>3674</v>
      </c>
      <c r="X402" t="s">
        <v>19</v>
      </c>
    </row>
    <row r="403" spans="21:24" x14ac:dyDescent="0.45">
      <c r="U403" t="s">
        <v>3603</v>
      </c>
      <c r="V403" t="s">
        <v>4091</v>
      </c>
      <c r="W403" t="s">
        <v>3674</v>
      </c>
      <c r="X403" t="s">
        <v>19</v>
      </c>
    </row>
    <row r="404" spans="21:24" x14ac:dyDescent="0.45">
      <c r="U404" t="s">
        <v>3603</v>
      </c>
      <c r="V404" t="s">
        <v>4092</v>
      </c>
      <c r="W404" t="s">
        <v>3674</v>
      </c>
      <c r="X404" t="s">
        <v>19</v>
      </c>
    </row>
    <row r="405" spans="21:24" x14ac:dyDescent="0.45">
      <c r="U405" t="s">
        <v>3603</v>
      </c>
      <c r="V405" t="s">
        <v>4093</v>
      </c>
      <c r="W405" t="s">
        <v>3674</v>
      </c>
      <c r="X405" t="s">
        <v>19</v>
      </c>
    </row>
    <row r="406" spans="21:24" x14ac:dyDescent="0.45">
      <c r="U406" t="s">
        <v>3603</v>
      </c>
      <c r="V406" t="s">
        <v>4094</v>
      </c>
      <c r="W406" t="s">
        <v>3674</v>
      </c>
      <c r="X406" t="s">
        <v>19</v>
      </c>
    </row>
    <row r="407" spans="21:24" x14ac:dyDescent="0.45">
      <c r="U407" t="s">
        <v>3603</v>
      </c>
      <c r="V407" t="s">
        <v>4095</v>
      </c>
      <c r="W407" t="s">
        <v>3674</v>
      </c>
      <c r="X407" t="s">
        <v>19</v>
      </c>
    </row>
    <row r="408" spans="21:24" x14ac:dyDescent="0.45">
      <c r="U408" t="s">
        <v>3603</v>
      </c>
      <c r="V408" t="s">
        <v>4096</v>
      </c>
      <c r="W408" t="s">
        <v>3674</v>
      </c>
      <c r="X408" t="s">
        <v>19</v>
      </c>
    </row>
    <row r="409" spans="21:24" x14ac:dyDescent="0.45">
      <c r="U409" t="s">
        <v>3603</v>
      </c>
      <c r="V409" t="s">
        <v>4097</v>
      </c>
      <c r="W409" t="s">
        <v>3674</v>
      </c>
      <c r="X409" t="s">
        <v>19</v>
      </c>
    </row>
    <row r="410" spans="21:24" x14ac:dyDescent="0.45">
      <c r="U410" t="s">
        <v>3603</v>
      </c>
      <c r="V410" t="s">
        <v>4098</v>
      </c>
      <c r="W410" t="s">
        <v>3674</v>
      </c>
      <c r="X410" t="s">
        <v>19</v>
      </c>
    </row>
    <row r="411" spans="21:24" x14ac:dyDescent="0.45">
      <c r="U411" t="s">
        <v>3603</v>
      </c>
      <c r="V411" t="s">
        <v>4098</v>
      </c>
      <c r="W411" t="s">
        <v>4099</v>
      </c>
      <c r="X411" t="s">
        <v>19</v>
      </c>
    </row>
    <row r="412" spans="21:24" x14ac:dyDescent="0.45">
      <c r="U412" t="s">
        <v>3603</v>
      </c>
      <c r="V412" t="s">
        <v>4100</v>
      </c>
      <c r="W412" t="s">
        <v>3674</v>
      </c>
      <c r="X412" t="s">
        <v>19</v>
      </c>
    </row>
    <row r="413" spans="21:24" x14ac:dyDescent="0.45">
      <c r="U413" t="s">
        <v>3603</v>
      </c>
      <c r="V413" t="s">
        <v>4100</v>
      </c>
      <c r="W413" t="s">
        <v>4099</v>
      </c>
      <c r="X413" t="s">
        <v>19</v>
      </c>
    </row>
    <row r="414" spans="21:24" x14ac:dyDescent="0.45">
      <c r="U414" t="s">
        <v>3603</v>
      </c>
      <c r="V414" t="s">
        <v>4101</v>
      </c>
      <c r="W414" t="s">
        <v>3674</v>
      </c>
      <c r="X414" t="s">
        <v>19</v>
      </c>
    </row>
    <row r="415" spans="21:24" x14ac:dyDescent="0.45">
      <c r="U415" t="s">
        <v>3603</v>
      </c>
      <c r="V415" t="s">
        <v>4101</v>
      </c>
      <c r="W415" t="s">
        <v>4099</v>
      </c>
      <c r="X415" t="s">
        <v>19</v>
      </c>
    </row>
    <row r="416" spans="21:24" x14ac:dyDescent="0.45">
      <c r="U416" t="s">
        <v>3603</v>
      </c>
      <c r="V416" t="s">
        <v>4102</v>
      </c>
      <c r="W416" t="s">
        <v>4099</v>
      </c>
      <c r="X416" t="s">
        <v>19</v>
      </c>
    </row>
    <row r="417" spans="21:24" x14ac:dyDescent="0.45">
      <c r="U417" t="s">
        <v>3603</v>
      </c>
      <c r="V417" t="s">
        <v>4103</v>
      </c>
      <c r="W417" t="s">
        <v>4099</v>
      </c>
      <c r="X417" t="s">
        <v>19</v>
      </c>
    </row>
    <row r="418" spans="21:24" x14ac:dyDescent="0.45">
      <c r="U418" t="s">
        <v>3603</v>
      </c>
      <c r="V418" t="s">
        <v>4104</v>
      </c>
      <c r="W418" t="s">
        <v>4099</v>
      </c>
      <c r="X418" t="s">
        <v>19</v>
      </c>
    </row>
    <row r="419" spans="21:24" x14ac:dyDescent="0.45">
      <c r="U419" t="s">
        <v>3603</v>
      </c>
      <c r="V419" t="s">
        <v>4104</v>
      </c>
      <c r="W419" t="s">
        <v>3674</v>
      </c>
      <c r="X419" t="s">
        <v>17</v>
      </c>
    </row>
    <row r="420" spans="21:24" x14ac:dyDescent="0.45">
      <c r="U420" t="s">
        <v>3603</v>
      </c>
      <c r="V420" t="s">
        <v>4105</v>
      </c>
      <c r="W420" t="s">
        <v>4099</v>
      </c>
      <c r="X420" t="s">
        <v>19</v>
      </c>
    </row>
    <row r="421" spans="21:24" x14ac:dyDescent="0.45">
      <c r="U421" t="s">
        <v>3603</v>
      </c>
      <c r="V421" t="s">
        <v>4105</v>
      </c>
      <c r="W421" t="s">
        <v>3674</v>
      </c>
      <c r="X421" t="s">
        <v>17</v>
      </c>
    </row>
    <row r="422" spans="21:24" x14ac:dyDescent="0.45">
      <c r="U422" t="s">
        <v>3603</v>
      </c>
      <c r="V422" t="s">
        <v>4106</v>
      </c>
      <c r="W422" t="s">
        <v>3678</v>
      </c>
      <c r="X422" t="s">
        <v>19</v>
      </c>
    </row>
    <row r="423" spans="21:24" x14ac:dyDescent="0.45">
      <c r="U423" t="s">
        <v>3603</v>
      </c>
      <c r="V423" t="s">
        <v>4107</v>
      </c>
      <c r="W423" t="s">
        <v>3678</v>
      </c>
      <c r="X423" t="s">
        <v>19</v>
      </c>
    </row>
    <row r="424" spans="21:24" x14ac:dyDescent="0.45">
      <c r="U424" t="s">
        <v>3603</v>
      </c>
      <c r="V424" t="s">
        <v>4108</v>
      </c>
      <c r="W424" t="s">
        <v>3678</v>
      </c>
      <c r="X424" t="s">
        <v>19</v>
      </c>
    </row>
    <row r="425" spans="21:24" x14ac:dyDescent="0.45">
      <c r="U425" t="s">
        <v>3603</v>
      </c>
      <c r="V425" t="s">
        <v>4109</v>
      </c>
      <c r="W425" t="s">
        <v>3678</v>
      </c>
      <c r="X425" t="s">
        <v>19</v>
      </c>
    </row>
    <row r="426" spans="21:24" x14ac:dyDescent="0.45">
      <c r="U426" t="s">
        <v>3603</v>
      </c>
      <c r="V426" t="s">
        <v>4110</v>
      </c>
      <c r="W426" t="s">
        <v>3678</v>
      </c>
      <c r="X426" t="s">
        <v>19</v>
      </c>
    </row>
    <row r="427" spans="21:24" x14ac:dyDescent="0.45">
      <c r="U427" t="s">
        <v>3603</v>
      </c>
      <c r="V427" t="s">
        <v>4111</v>
      </c>
      <c r="W427" t="s">
        <v>3678</v>
      </c>
      <c r="X427" t="s">
        <v>19</v>
      </c>
    </row>
    <row r="428" spans="21:24" x14ac:dyDescent="0.45">
      <c r="U428" t="s">
        <v>3603</v>
      </c>
      <c r="V428" t="s">
        <v>4112</v>
      </c>
      <c r="W428" t="s">
        <v>3678</v>
      </c>
      <c r="X428" t="s">
        <v>19</v>
      </c>
    </row>
    <row r="429" spans="21:24" x14ac:dyDescent="0.45">
      <c r="U429" t="s">
        <v>3603</v>
      </c>
      <c r="V429" t="s">
        <v>4113</v>
      </c>
      <c r="W429" t="s">
        <v>3678</v>
      </c>
      <c r="X429" t="s">
        <v>19</v>
      </c>
    </row>
    <row r="430" spans="21:24" x14ac:dyDescent="0.45">
      <c r="U430" t="s">
        <v>3603</v>
      </c>
      <c r="V430" t="s">
        <v>4114</v>
      </c>
      <c r="W430" t="s">
        <v>3678</v>
      </c>
      <c r="X430" t="s">
        <v>19</v>
      </c>
    </row>
    <row r="431" spans="21:24" x14ac:dyDescent="0.45">
      <c r="U431" t="s">
        <v>3603</v>
      </c>
      <c r="V431" t="s">
        <v>4115</v>
      </c>
      <c r="W431" t="s">
        <v>3678</v>
      </c>
      <c r="X431" t="s">
        <v>19</v>
      </c>
    </row>
    <row r="432" spans="21:24" x14ac:dyDescent="0.45">
      <c r="U432" t="s">
        <v>3603</v>
      </c>
      <c r="V432" t="s">
        <v>4116</v>
      </c>
      <c r="W432" t="s">
        <v>3678</v>
      </c>
      <c r="X432" t="s">
        <v>19</v>
      </c>
    </row>
    <row r="433" spans="21:24" x14ac:dyDescent="0.45">
      <c r="U433" t="s">
        <v>3603</v>
      </c>
      <c r="V433" t="s">
        <v>4116</v>
      </c>
      <c r="W433" t="s">
        <v>3830</v>
      </c>
      <c r="X433" t="s">
        <v>19</v>
      </c>
    </row>
    <row r="434" spans="21:24" x14ac:dyDescent="0.45">
      <c r="U434" t="s">
        <v>3603</v>
      </c>
      <c r="V434" t="s">
        <v>4117</v>
      </c>
      <c r="W434" t="s">
        <v>3678</v>
      </c>
      <c r="X434" t="s">
        <v>19</v>
      </c>
    </row>
    <row r="435" spans="21:24" x14ac:dyDescent="0.45">
      <c r="U435" t="s">
        <v>3603</v>
      </c>
      <c r="V435" t="s">
        <v>4117</v>
      </c>
      <c r="W435" t="s">
        <v>3830</v>
      </c>
      <c r="X435" t="s">
        <v>19</v>
      </c>
    </row>
    <row r="436" spans="21:24" x14ac:dyDescent="0.45">
      <c r="U436" t="s">
        <v>3603</v>
      </c>
      <c r="V436" t="s">
        <v>4118</v>
      </c>
      <c r="W436" t="s">
        <v>3678</v>
      </c>
      <c r="X436" t="s">
        <v>19</v>
      </c>
    </row>
    <row r="437" spans="21:24" x14ac:dyDescent="0.45">
      <c r="U437" t="s">
        <v>3603</v>
      </c>
      <c r="V437" t="s">
        <v>4118</v>
      </c>
      <c r="W437" t="s">
        <v>3830</v>
      </c>
      <c r="X437" t="s">
        <v>19</v>
      </c>
    </row>
    <row r="438" spans="21:24" x14ac:dyDescent="0.45">
      <c r="U438" t="s">
        <v>3603</v>
      </c>
      <c r="V438" t="s">
        <v>4119</v>
      </c>
      <c r="W438" t="s">
        <v>3830</v>
      </c>
      <c r="X438" t="s">
        <v>19</v>
      </c>
    </row>
    <row r="439" spans="21:24" x14ac:dyDescent="0.45">
      <c r="U439" t="s">
        <v>3603</v>
      </c>
      <c r="V439" t="s">
        <v>4120</v>
      </c>
      <c r="W439" t="s">
        <v>3830</v>
      </c>
      <c r="X439" t="s">
        <v>19</v>
      </c>
    </row>
    <row r="440" spans="21:24" x14ac:dyDescent="0.45">
      <c r="U440" t="s">
        <v>3603</v>
      </c>
      <c r="V440" t="s">
        <v>4121</v>
      </c>
      <c r="W440" t="s">
        <v>3830</v>
      </c>
      <c r="X440" t="s">
        <v>19</v>
      </c>
    </row>
    <row r="441" spans="21:24" x14ac:dyDescent="0.45">
      <c r="U441" t="s">
        <v>3603</v>
      </c>
      <c r="V441" t="s">
        <v>4121</v>
      </c>
      <c r="W441" t="s">
        <v>3678</v>
      </c>
      <c r="X441" t="s">
        <v>17</v>
      </c>
    </row>
    <row r="442" spans="21:24" x14ac:dyDescent="0.45">
      <c r="U442" t="s">
        <v>3603</v>
      </c>
      <c r="V442" t="s">
        <v>4122</v>
      </c>
      <c r="W442" t="s">
        <v>3830</v>
      </c>
      <c r="X442" t="s">
        <v>19</v>
      </c>
    </row>
    <row r="443" spans="21:24" x14ac:dyDescent="0.45">
      <c r="U443" t="s">
        <v>3603</v>
      </c>
      <c r="V443" t="s">
        <v>4122</v>
      </c>
      <c r="W443" t="s">
        <v>3678</v>
      </c>
      <c r="X443" t="s">
        <v>17</v>
      </c>
    </row>
    <row r="444" spans="21:24" x14ac:dyDescent="0.45">
      <c r="U444" t="s">
        <v>3603</v>
      </c>
      <c r="V444" t="s">
        <v>4123</v>
      </c>
      <c r="W444" t="s">
        <v>3681</v>
      </c>
      <c r="X444" t="s">
        <v>19</v>
      </c>
    </row>
    <row r="445" spans="21:24" x14ac:dyDescent="0.45">
      <c r="U445" t="s">
        <v>3603</v>
      </c>
      <c r="V445" t="s">
        <v>4124</v>
      </c>
      <c r="W445" t="s">
        <v>3681</v>
      </c>
      <c r="X445" t="s">
        <v>19</v>
      </c>
    </row>
    <row r="446" spans="21:24" x14ac:dyDescent="0.45">
      <c r="U446" t="s">
        <v>3603</v>
      </c>
      <c r="V446" t="s">
        <v>4125</v>
      </c>
      <c r="W446" t="s">
        <v>3681</v>
      </c>
      <c r="X446" t="s">
        <v>19</v>
      </c>
    </row>
    <row r="447" spans="21:24" x14ac:dyDescent="0.45">
      <c r="U447" t="s">
        <v>3603</v>
      </c>
      <c r="V447" t="s">
        <v>4126</v>
      </c>
      <c r="W447" t="s">
        <v>3681</v>
      </c>
      <c r="X447" t="s">
        <v>19</v>
      </c>
    </row>
    <row r="448" spans="21:24" x14ac:dyDescent="0.45">
      <c r="U448" t="s">
        <v>3603</v>
      </c>
      <c r="V448" t="s">
        <v>4127</v>
      </c>
      <c r="W448" t="s">
        <v>3681</v>
      </c>
      <c r="X448" t="s">
        <v>19</v>
      </c>
    </row>
    <row r="449" spans="21:24" x14ac:dyDescent="0.45">
      <c r="U449" t="s">
        <v>3603</v>
      </c>
      <c r="V449" t="s">
        <v>4128</v>
      </c>
      <c r="W449" t="s">
        <v>3681</v>
      </c>
      <c r="X449" t="s">
        <v>19</v>
      </c>
    </row>
    <row r="450" spans="21:24" x14ac:dyDescent="0.45">
      <c r="U450" t="s">
        <v>3603</v>
      </c>
      <c r="V450" t="s">
        <v>4129</v>
      </c>
      <c r="W450" t="s">
        <v>3681</v>
      </c>
      <c r="X450" t="s">
        <v>19</v>
      </c>
    </row>
    <row r="451" spans="21:24" x14ac:dyDescent="0.45">
      <c r="U451" t="s">
        <v>3603</v>
      </c>
      <c r="V451" t="s">
        <v>4130</v>
      </c>
      <c r="W451" t="s">
        <v>3681</v>
      </c>
      <c r="X451" t="s">
        <v>19</v>
      </c>
    </row>
    <row r="452" spans="21:24" x14ac:dyDescent="0.45">
      <c r="U452" t="s">
        <v>3603</v>
      </c>
      <c r="V452" t="s">
        <v>4131</v>
      </c>
      <c r="W452" t="s">
        <v>3681</v>
      </c>
      <c r="X452" t="s">
        <v>19</v>
      </c>
    </row>
    <row r="453" spans="21:24" x14ac:dyDescent="0.45">
      <c r="U453" t="s">
        <v>3603</v>
      </c>
      <c r="V453" t="s">
        <v>4132</v>
      </c>
      <c r="W453" t="s">
        <v>3681</v>
      </c>
      <c r="X453" t="s">
        <v>19</v>
      </c>
    </row>
    <row r="454" spans="21:24" x14ac:dyDescent="0.45">
      <c r="U454" t="s">
        <v>3603</v>
      </c>
      <c r="V454" t="s">
        <v>4133</v>
      </c>
      <c r="W454" t="s">
        <v>3681</v>
      </c>
      <c r="X454" t="s">
        <v>19</v>
      </c>
    </row>
    <row r="455" spans="21:24" x14ac:dyDescent="0.45">
      <c r="U455" t="s">
        <v>3603</v>
      </c>
      <c r="V455" t="s">
        <v>4133</v>
      </c>
      <c r="W455" t="s">
        <v>4134</v>
      </c>
      <c r="X455" t="s">
        <v>19</v>
      </c>
    </row>
    <row r="456" spans="21:24" x14ac:dyDescent="0.45">
      <c r="U456" t="s">
        <v>3603</v>
      </c>
      <c r="V456" t="s">
        <v>4135</v>
      </c>
      <c r="W456" t="s">
        <v>3681</v>
      </c>
      <c r="X456" t="s">
        <v>19</v>
      </c>
    </row>
    <row r="457" spans="21:24" x14ac:dyDescent="0.45">
      <c r="U457" t="s">
        <v>3603</v>
      </c>
      <c r="V457" t="s">
        <v>4135</v>
      </c>
      <c r="W457" t="s">
        <v>4134</v>
      </c>
      <c r="X457" t="s">
        <v>19</v>
      </c>
    </row>
    <row r="458" spans="21:24" x14ac:dyDescent="0.45">
      <c r="U458" t="s">
        <v>3603</v>
      </c>
      <c r="V458" t="s">
        <v>4136</v>
      </c>
      <c r="W458" t="s">
        <v>3681</v>
      </c>
      <c r="X458" t="s">
        <v>19</v>
      </c>
    </row>
    <row r="459" spans="21:24" x14ac:dyDescent="0.45">
      <c r="U459" t="s">
        <v>3603</v>
      </c>
      <c r="V459" t="s">
        <v>4136</v>
      </c>
      <c r="W459" t="s">
        <v>4134</v>
      </c>
      <c r="X459" t="s">
        <v>19</v>
      </c>
    </row>
    <row r="460" spans="21:24" x14ac:dyDescent="0.45">
      <c r="U460" t="s">
        <v>3603</v>
      </c>
      <c r="V460" t="s">
        <v>4137</v>
      </c>
      <c r="W460" t="s">
        <v>4134</v>
      </c>
      <c r="X460" t="s">
        <v>19</v>
      </c>
    </row>
    <row r="461" spans="21:24" x14ac:dyDescent="0.45">
      <c r="U461" t="s">
        <v>3603</v>
      </c>
      <c r="V461" t="s">
        <v>4138</v>
      </c>
      <c r="W461" t="s">
        <v>4134</v>
      </c>
      <c r="X461" t="s">
        <v>19</v>
      </c>
    </row>
    <row r="462" spans="21:24" x14ac:dyDescent="0.45">
      <c r="U462" t="s">
        <v>3603</v>
      </c>
      <c r="V462" t="s">
        <v>4139</v>
      </c>
      <c r="W462" t="s">
        <v>4134</v>
      </c>
      <c r="X462" t="s">
        <v>19</v>
      </c>
    </row>
    <row r="463" spans="21:24" x14ac:dyDescent="0.45">
      <c r="U463" t="s">
        <v>3603</v>
      </c>
      <c r="V463" t="s">
        <v>4139</v>
      </c>
      <c r="W463" t="s">
        <v>3681</v>
      </c>
      <c r="X463" t="s">
        <v>17</v>
      </c>
    </row>
    <row r="464" spans="21:24" x14ac:dyDescent="0.45">
      <c r="U464" t="s">
        <v>3603</v>
      </c>
      <c r="V464" t="s">
        <v>4140</v>
      </c>
      <c r="W464" t="s">
        <v>4134</v>
      </c>
      <c r="X464" t="s">
        <v>19</v>
      </c>
    </row>
    <row r="465" spans="21:24" x14ac:dyDescent="0.45">
      <c r="U465" t="s">
        <v>3603</v>
      </c>
      <c r="V465" t="s">
        <v>4140</v>
      </c>
      <c r="W465" t="s">
        <v>3681</v>
      </c>
      <c r="X465" t="s">
        <v>17</v>
      </c>
    </row>
    <row r="466" spans="21:24" x14ac:dyDescent="0.45">
      <c r="U466" t="s">
        <v>3603</v>
      </c>
      <c r="V466" t="s">
        <v>4141</v>
      </c>
      <c r="W466" t="s">
        <v>3685</v>
      </c>
      <c r="X466" t="s">
        <v>19</v>
      </c>
    </row>
    <row r="467" spans="21:24" x14ac:dyDescent="0.45">
      <c r="U467" t="s">
        <v>3603</v>
      </c>
      <c r="V467" t="s">
        <v>4142</v>
      </c>
      <c r="W467" t="s">
        <v>3685</v>
      </c>
      <c r="X467" t="s">
        <v>19</v>
      </c>
    </row>
    <row r="468" spans="21:24" x14ac:dyDescent="0.45">
      <c r="U468" t="s">
        <v>3603</v>
      </c>
      <c r="V468" t="s">
        <v>4143</v>
      </c>
      <c r="W468" t="s">
        <v>3685</v>
      </c>
      <c r="X468" t="s">
        <v>19</v>
      </c>
    </row>
    <row r="469" spans="21:24" x14ac:dyDescent="0.45">
      <c r="U469" t="s">
        <v>3603</v>
      </c>
      <c r="V469" t="s">
        <v>4144</v>
      </c>
      <c r="W469" t="s">
        <v>3685</v>
      </c>
      <c r="X469" t="s">
        <v>19</v>
      </c>
    </row>
    <row r="470" spans="21:24" x14ac:dyDescent="0.45">
      <c r="U470" t="s">
        <v>3603</v>
      </c>
      <c r="V470" t="s">
        <v>4145</v>
      </c>
      <c r="W470" t="s">
        <v>3685</v>
      </c>
      <c r="X470" t="s">
        <v>19</v>
      </c>
    </row>
    <row r="471" spans="21:24" x14ac:dyDescent="0.45">
      <c r="U471" t="s">
        <v>3603</v>
      </c>
      <c r="V471" t="s">
        <v>4146</v>
      </c>
      <c r="W471" t="s">
        <v>3685</v>
      </c>
      <c r="X471" t="s">
        <v>19</v>
      </c>
    </row>
    <row r="472" spans="21:24" x14ac:dyDescent="0.45">
      <c r="U472" t="s">
        <v>3603</v>
      </c>
      <c r="V472" t="s">
        <v>4147</v>
      </c>
      <c r="W472" t="s">
        <v>3685</v>
      </c>
      <c r="X472" t="s">
        <v>19</v>
      </c>
    </row>
    <row r="473" spans="21:24" x14ac:dyDescent="0.45">
      <c r="U473" t="s">
        <v>3603</v>
      </c>
      <c r="V473" t="s">
        <v>4148</v>
      </c>
      <c r="W473" t="s">
        <v>3685</v>
      </c>
      <c r="X473" t="s">
        <v>19</v>
      </c>
    </row>
    <row r="474" spans="21:24" x14ac:dyDescent="0.45">
      <c r="U474" t="s">
        <v>3603</v>
      </c>
      <c r="V474" t="s">
        <v>4149</v>
      </c>
      <c r="W474" t="s">
        <v>3685</v>
      </c>
      <c r="X474" t="s">
        <v>19</v>
      </c>
    </row>
    <row r="475" spans="21:24" x14ac:dyDescent="0.45">
      <c r="U475" t="s">
        <v>3603</v>
      </c>
      <c r="V475" t="s">
        <v>4150</v>
      </c>
      <c r="W475" t="s">
        <v>3685</v>
      </c>
      <c r="X475" t="s">
        <v>19</v>
      </c>
    </row>
    <row r="476" spans="21:24" x14ac:dyDescent="0.45">
      <c r="U476" t="s">
        <v>3603</v>
      </c>
      <c r="V476" t="s">
        <v>4151</v>
      </c>
      <c r="W476" t="s">
        <v>3685</v>
      </c>
      <c r="X476" t="s">
        <v>19</v>
      </c>
    </row>
    <row r="477" spans="21:24" x14ac:dyDescent="0.45">
      <c r="U477" t="s">
        <v>3603</v>
      </c>
      <c r="V477" t="s">
        <v>4151</v>
      </c>
      <c r="W477" t="s">
        <v>3851</v>
      </c>
      <c r="X477" t="s">
        <v>19</v>
      </c>
    </row>
    <row r="478" spans="21:24" x14ac:dyDescent="0.45">
      <c r="U478" t="s">
        <v>3603</v>
      </c>
      <c r="V478" t="s">
        <v>4152</v>
      </c>
      <c r="W478" t="s">
        <v>3685</v>
      </c>
      <c r="X478" t="s">
        <v>19</v>
      </c>
    </row>
    <row r="479" spans="21:24" x14ac:dyDescent="0.45">
      <c r="U479" t="s">
        <v>3603</v>
      </c>
      <c r="V479" t="s">
        <v>4152</v>
      </c>
      <c r="W479" t="s">
        <v>3851</v>
      </c>
      <c r="X479" t="s">
        <v>19</v>
      </c>
    </row>
    <row r="480" spans="21:24" x14ac:dyDescent="0.45">
      <c r="U480" t="s">
        <v>3603</v>
      </c>
      <c r="V480" t="s">
        <v>4153</v>
      </c>
      <c r="W480" t="s">
        <v>3685</v>
      </c>
      <c r="X480" t="s">
        <v>19</v>
      </c>
    </row>
    <row r="481" spans="21:24" x14ac:dyDescent="0.45">
      <c r="U481" t="s">
        <v>3603</v>
      </c>
      <c r="V481" t="s">
        <v>4153</v>
      </c>
      <c r="W481" t="s">
        <v>3851</v>
      </c>
      <c r="X481" t="s">
        <v>19</v>
      </c>
    </row>
    <row r="482" spans="21:24" x14ac:dyDescent="0.45">
      <c r="U482" t="s">
        <v>3603</v>
      </c>
      <c r="V482" t="s">
        <v>4154</v>
      </c>
      <c r="W482" t="s">
        <v>3851</v>
      </c>
      <c r="X482" t="s">
        <v>19</v>
      </c>
    </row>
    <row r="483" spans="21:24" x14ac:dyDescent="0.45">
      <c r="U483" t="s">
        <v>3603</v>
      </c>
      <c r="V483" t="s">
        <v>4155</v>
      </c>
      <c r="W483" t="s">
        <v>3851</v>
      </c>
      <c r="X483" t="s">
        <v>19</v>
      </c>
    </row>
    <row r="484" spans="21:24" x14ac:dyDescent="0.45">
      <c r="U484" t="s">
        <v>3603</v>
      </c>
      <c r="V484" t="s">
        <v>4156</v>
      </c>
      <c r="W484" t="s">
        <v>3851</v>
      </c>
      <c r="X484" t="s">
        <v>19</v>
      </c>
    </row>
    <row r="485" spans="21:24" x14ac:dyDescent="0.45">
      <c r="U485" t="s">
        <v>3603</v>
      </c>
      <c r="V485" t="s">
        <v>4156</v>
      </c>
      <c r="W485" t="s">
        <v>3685</v>
      </c>
      <c r="X485" t="s">
        <v>17</v>
      </c>
    </row>
    <row r="486" spans="21:24" x14ac:dyDescent="0.45">
      <c r="U486" t="s">
        <v>3603</v>
      </c>
      <c r="V486" t="s">
        <v>4157</v>
      </c>
      <c r="W486" t="s">
        <v>3851</v>
      </c>
      <c r="X486" t="s">
        <v>19</v>
      </c>
    </row>
    <row r="487" spans="21:24" x14ac:dyDescent="0.45">
      <c r="U487" t="s">
        <v>3603</v>
      </c>
      <c r="V487" t="s">
        <v>4157</v>
      </c>
      <c r="W487" t="s">
        <v>3685</v>
      </c>
      <c r="X487" t="s">
        <v>17</v>
      </c>
    </row>
    <row r="488" spans="21:24" x14ac:dyDescent="0.45">
      <c r="U488" t="s">
        <v>3603</v>
      </c>
      <c r="V488" t="s">
        <v>4158</v>
      </c>
      <c r="W488" t="s">
        <v>3688</v>
      </c>
      <c r="X488" t="s">
        <v>19</v>
      </c>
    </row>
    <row r="489" spans="21:24" x14ac:dyDescent="0.45">
      <c r="U489" t="s">
        <v>3603</v>
      </c>
      <c r="V489" t="s">
        <v>4159</v>
      </c>
      <c r="W489" t="s">
        <v>3688</v>
      </c>
      <c r="X489" t="s">
        <v>19</v>
      </c>
    </row>
    <row r="490" spans="21:24" x14ac:dyDescent="0.45">
      <c r="U490" t="s">
        <v>3603</v>
      </c>
      <c r="V490" t="s">
        <v>4160</v>
      </c>
      <c r="W490" t="s">
        <v>3688</v>
      </c>
      <c r="X490" t="s">
        <v>19</v>
      </c>
    </row>
    <row r="491" spans="21:24" x14ac:dyDescent="0.45">
      <c r="U491" t="s">
        <v>3603</v>
      </c>
      <c r="V491" t="s">
        <v>4161</v>
      </c>
      <c r="W491" t="s">
        <v>3688</v>
      </c>
      <c r="X491" t="s">
        <v>19</v>
      </c>
    </row>
    <row r="492" spans="21:24" x14ac:dyDescent="0.45">
      <c r="U492" t="s">
        <v>3603</v>
      </c>
      <c r="V492" t="s">
        <v>4162</v>
      </c>
      <c r="W492" t="s">
        <v>3688</v>
      </c>
      <c r="X492" t="s">
        <v>19</v>
      </c>
    </row>
    <row r="493" spans="21:24" x14ac:dyDescent="0.45">
      <c r="U493" t="s">
        <v>3603</v>
      </c>
      <c r="V493" t="s">
        <v>4163</v>
      </c>
      <c r="W493" t="s">
        <v>3688</v>
      </c>
      <c r="X493" t="s">
        <v>19</v>
      </c>
    </row>
    <row r="494" spans="21:24" x14ac:dyDescent="0.45">
      <c r="U494" t="s">
        <v>3603</v>
      </c>
      <c r="V494" t="s">
        <v>4164</v>
      </c>
      <c r="W494" t="s">
        <v>3688</v>
      </c>
      <c r="X494" t="s">
        <v>19</v>
      </c>
    </row>
    <row r="495" spans="21:24" x14ac:dyDescent="0.45">
      <c r="U495" t="s">
        <v>3603</v>
      </c>
      <c r="V495" t="s">
        <v>4165</v>
      </c>
      <c r="W495" t="s">
        <v>3688</v>
      </c>
      <c r="X495" t="s">
        <v>19</v>
      </c>
    </row>
    <row r="496" spans="21:24" x14ac:dyDescent="0.45">
      <c r="U496" t="s">
        <v>3603</v>
      </c>
      <c r="V496" t="s">
        <v>4166</v>
      </c>
      <c r="W496" t="s">
        <v>3688</v>
      </c>
      <c r="X496" t="s">
        <v>19</v>
      </c>
    </row>
    <row r="497" spans="21:24" x14ac:dyDescent="0.45">
      <c r="U497" t="s">
        <v>3603</v>
      </c>
      <c r="V497" t="s">
        <v>4167</v>
      </c>
      <c r="W497" t="s">
        <v>3688</v>
      </c>
      <c r="X497" t="s">
        <v>19</v>
      </c>
    </row>
    <row r="498" spans="21:24" x14ac:dyDescent="0.45">
      <c r="U498" t="s">
        <v>3603</v>
      </c>
      <c r="V498" t="s">
        <v>4168</v>
      </c>
      <c r="W498" t="s">
        <v>3688</v>
      </c>
      <c r="X498" t="s">
        <v>19</v>
      </c>
    </row>
    <row r="499" spans="21:24" x14ac:dyDescent="0.45">
      <c r="U499" t="s">
        <v>3603</v>
      </c>
      <c r="V499" t="s">
        <v>4168</v>
      </c>
      <c r="W499" t="s">
        <v>4169</v>
      </c>
      <c r="X499" t="s">
        <v>19</v>
      </c>
    </row>
    <row r="500" spans="21:24" x14ac:dyDescent="0.45">
      <c r="U500" t="s">
        <v>3603</v>
      </c>
      <c r="V500" t="s">
        <v>4170</v>
      </c>
      <c r="W500" t="s">
        <v>3688</v>
      </c>
      <c r="X500" t="s">
        <v>19</v>
      </c>
    </row>
    <row r="501" spans="21:24" x14ac:dyDescent="0.45">
      <c r="U501" t="s">
        <v>3603</v>
      </c>
      <c r="V501" t="s">
        <v>4170</v>
      </c>
      <c r="W501" t="s">
        <v>4169</v>
      </c>
      <c r="X501" t="s">
        <v>19</v>
      </c>
    </row>
    <row r="502" spans="21:24" x14ac:dyDescent="0.45">
      <c r="U502" t="s">
        <v>3603</v>
      </c>
      <c r="V502" t="s">
        <v>4171</v>
      </c>
      <c r="W502" t="s">
        <v>3688</v>
      </c>
      <c r="X502" t="s">
        <v>19</v>
      </c>
    </row>
    <row r="503" spans="21:24" x14ac:dyDescent="0.45">
      <c r="U503" t="s">
        <v>3603</v>
      </c>
      <c r="V503" t="s">
        <v>4171</v>
      </c>
      <c r="W503" t="s">
        <v>4169</v>
      </c>
      <c r="X503" t="s">
        <v>19</v>
      </c>
    </row>
    <row r="504" spans="21:24" x14ac:dyDescent="0.45">
      <c r="U504" t="s">
        <v>3603</v>
      </c>
      <c r="V504" t="s">
        <v>4172</v>
      </c>
      <c r="W504" t="s">
        <v>4169</v>
      </c>
      <c r="X504" t="s">
        <v>19</v>
      </c>
    </row>
    <row r="505" spans="21:24" x14ac:dyDescent="0.45">
      <c r="U505" t="s">
        <v>3603</v>
      </c>
      <c r="V505" t="s">
        <v>4173</v>
      </c>
      <c r="W505" t="s">
        <v>4169</v>
      </c>
      <c r="X505" t="s">
        <v>19</v>
      </c>
    </row>
    <row r="506" spans="21:24" x14ac:dyDescent="0.45">
      <c r="U506" t="s">
        <v>3603</v>
      </c>
      <c r="V506" t="s">
        <v>4174</v>
      </c>
      <c r="W506" t="s">
        <v>4169</v>
      </c>
      <c r="X506" t="s">
        <v>19</v>
      </c>
    </row>
    <row r="507" spans="21:24" x14ac:dyDescent="0.45">
      <c r="U507" t="s">
        <v>3603</v>
      </c>
      <c r="V507" t="s">
        <v>4174</v>
      </c>
      <c r="W507" t="s">
        <v>3688</v>
      </c>
      <c r="X507" t="s">
        <v>17</v>
      </c>
    </row>
    <row r="508" spans="21:24" x14ac:dyDescent="0.45">
      <c r="U508" t="s">
        <v>3603</v>
      </c>
      <c r="V508" t="s">
        <v>4175</v>
      </c>
      <c r="W508" t="s">
        <v>4169</v>
      </c>
      <c r="X508" t="s">
        <v>19</v>
      </c>
    </row>
    <row r="509" spans="21:24" x14ac:dyDescent="0.45">
      <c r="U509" t="s">
        <v>3603</v>
      </c>
      <c r="V509" t="s">
        <v>4175</v>
      </c>
      <c r="W509" t="s">
        <v>3688</v>
      </c>
      <c r="X509" t="s">
        <v>17</v>
      </c>
    </row>
    <row r="510" spans="21:24" x14ac:dyDescent="0.45">
      <c r="U510" t="s">
        <v>3603</v>
      </c>
      <c r="V510" t="s">
        <v>4176</v>
      </c>
      <c r="W510" t="s">
        <v>3604</v>
      </c>
      <c r="X510" t="s">
        <v>19</v>
      </c>
    </row>
    <row r="511" spans="21:24" x14ac:dyDescent="0.45">
      <c r="U511" t="s">
        <v>3603</v>
      </c>
      <c r="V511" t="s">
        <v>4176</v>
      </c>
      <c r="W511" t="s">
        <v>3604</v>
      </c>
      <c r="X511" t="s">
        <v>17</v>
      </c>
    </row>
    <row r="512" spans="21:24" x14ac:dyDescent="0.45">
      <c r="U512" t="s">
        <v>3603</v>
      </c>
      <c r="V512" t="s">
        <v>4177</v>
      </c>
      <c r="W512" t="s">
        <v>3604</v>
      </c>
      <c r="X512" t="s">
        <v>19</v>
      </c>
    </row>
    <row r="513" spans="21:24" x14ac:dyDescent="0.45">
      <c r="U513" t="s">
        <v>3603</v>
      </c>
      <c r="V513" t="s">
        <v>4177</v>
      </c>
      <c r="W513" t="s">
        <v>3604</v>
      </c>
      <c r="X513" t="s">
        <v>17</v>
      </c>
    </row>
    <row r="514" spans="21:24" x14ac:dyDescent="0.45">
      <c r="U514" t="s">
        <v>3603</v>
      </c>
      <c r="V514" t="s">
        <v>4178</v>
      </c>
      <c r="W514" t="s">
        <v>3608</v>
      </c>
      <c r="X514" t="s">
        <v>19</v>
      </c>
    </row>
    <row r="515" spans="21:24" x14ac:dyDescent="0.45">
      <c r="U515" t="s">
        <v>3603</v>
      </c>
      <c r="V515" t="s">
        <v>4178</v>
      </c>
      <c r="W515" t="s">
        <v>3608</v>
      </c>
      <c r="X515" t="s">
        <v>17</v>
      </c>
    </row>
    <row r="516" spans="21:24" x14ac:dyDescent="0.45">
      <c r="U516" t="s">
        <v>3603</v>
      </c>
      <c r="V516" t="s">
        <v>4179</v>
      </c>
      <c r="W516" t="s">
        <v>3608</v>
      </c>
      <c r="X516" t="s">
        <v>19</v>
      </c>
    </row>
    <row r="517" spans="21:24" x14ac:dyDescent="0.45">
      <c r="U517" t="s">
        <v>3603</v>
      </c>
      <c r="V517" t="s">
        <v>4179</v>
      </c>
      <c r="W517" t="s">
        <v>3608</v>
      </c>
      <c r="X517" t="s">
        <v>17</v>
      </c>
    </row>
    <row r="518" spans="21:24" x14ac:dyDescent="0.45">
      <c r="U518" t="s">
        <v>3603</v>
      </c>
      <c r="V518" t="s">
        <v>4180</v>
      </c>
      <c r="W518" t="s">
        <v>3612</v>
      </c>
      <c r="X518" t="s">
        <v>19</v>
      </c>
    </row>
    <row r="519" spans="21:24" x14ac:dyDescent="0.45">
      <c r="U519" t="s">
        <v>3603</v>
      </c>
      <c r="V519" t="s">
        <v>4180</v>
      </c>
      <c r="W519" t="s">
        <v>3612</v>
      </c>
      <c r="X519" t="s">
        <v>17</v>
      </c>
    </row>
    <row r="520" spans="21:24" x14ac:dyDescent="0.45">
      <c r="U520" t="s">
        <v>3603</v>
      </c>
      <c r="V520" t="s">
        <v>4181</v>
      </c>
      <c r="W520" t="s">
        <v>3612</v>
      </c>
      <c r="X520" t="s">
        <v>19</v>
      </c>
    </row>
    <row r="521" spans="21:24" x14ac:dyDescent="0.45">
      <c r="U521" t="s">
        <v>3603</v>
      </c>
      <c r="V521" t="s">
        <v>4181</v>
      </c>
      <c r="W521" t="s">
        <v>3612</v>
      </c>
      <c r="X521" t="s">
        <v>17</v>
      </c>
    </row>
    <row r="522" spans="21:24" x14ac:dyDescent="0.45">
      <c r="U522" t="s">
        <v>3603</v>
      </c>
      <c r="V522" t="s">
        <v>4182</v>
      </c>
      <c r="W522" t="s">
        <v>3616</v>
      </c>
      <c r="X522" t="s">
        <v>19</v>
      </c>
    </row>
    <row r="523" spans="21:24" x14ac:dyDescent="0.45">
      <c r="U523" t="s">
        <v>3603</v>
      </c>
      <c r="V523" t="s">
        <v>4182</v>
      </c>
      <c r="W523" t="s">
        <v>3616</v>
      </c>
      <c r="X523" t="s">
        <v>17</v>
      </c>
    </row>
    <row r="524" spans="21:24" x14ac:dyDescent="0.45">
      <c r="U524" t="s">
        <v>3603</v>
      </c>
      <c r="V524" t="s">
        <v>4183</v>
      </c>
      <c r="W524" t="s">
        <v>3616</v>
      </c>
      <c r="X524" t="s">
        <v>19</v>
      </c>
    </row>
    <row r="525" spans="21:24" x14ac:dyDescent="0.45">
      <c r="U525" t="s">
        <v>3603</v>
      </c>
      <c r="V525" t="s">
        <v>4183</v>
      </c>
      <c r="W525" t="s">
        <v>3616</v>
      </c>
      <c r="X525" t="s">
        <v>17</v>
      </c>
    </row>
    <row r="526" spans="21:24" x14ac:dyDescent="0.45">
      <c r="U526" t="s">
        <v>3603</v>
      </c>
      <c r="V526" t="s">
        <v>4184</v>
      </c>
      <c r="W526" t="s">
        <v>3620</v>
      </c>
      <c r="X526" t="s">
        <v>19</v>
      </c>
    </row>
    <row r="527" spans="21:24" x14ac:dyDescent="0.45">
      <c r="U527" t="s">
        <v>3603</v>
      </c>
      <c r="V527" t="s">
        <v>4184</v>
      </c>
      <c r="W527" t="s">
        <v>3620</v>
      </c>
      <c r="X527" t="s">
        <v>17</v>
      </c>
    </row>
    <row r="528" spans="21:24" x14ac:dyDescent="0.45">
      <c r="U528" t="s">
        <v>3603</v>
      </c>
      <c r="V528" t="s">
        <v>4185</v>
      </c>
      <c r="W528" t="s">
        <v>3620</v>
      </c>
      <c r="X528" t="s">
        <v>19</v>
      </c>
    </row>
    <row r="529" spans="21:24" x14ac:dyDescent="0.45">
      <c r="U529" t="s">
        <v>3603</v>
      </c>
      <c r="V529" t="s">
        <v>4185</v>
      </c>
      <c r="W529" t="s">
        <v>3620</v>
      </c>
      <c r="X529" t="s">
        <v>17</v>
      </c>
    </row>
    <row r="530" spans="21:24" x14ac:dyDescent="0.45">
      <c r="U530" t="s">
        <v>3603</v>
      </c>
      <c r="V530" t="s">
        <v>4186</v>
      </c>
      <c r="W530" t="s">
        <v>3624</v>
      </c>
      <c r="X530" t="s">
        <v>19</v>
      </c>
    </row>
    <row r="531" spans="21:24" x14ac:dyDescent="0.45">
      <c r="U531" t="s">
        <v>3603</v>
      </c>
      <c r="V531" t="s">
        <v>4186</v>
      </c>
      <c r="W531" t="s">
        <v>3624</v>
      </c>
      <c r="X531" t="s">
        <v>17</v>
      </c>
    </row>
    <row r="532" spans="21:24" x14ac:dyDescent="0.45">
      <c r="U532" t="s">
        <v>3603</v>
      </c>
      <c r="V532" t="s">
        <v>4187</v>
      </c>
      <c r="W532" t="s">
        <v>3624</v>
      </c>
      <c r="X532" t="s">
        <v>19</v>
      </c>
    </row>
    <row r="533" spans="21:24" x14ac:dyDescent="0.45">
      <c r="U533" t="s">
        <v>3603</v>
      </c>
      <c r="V533" t="s">
        <v>4187</v>
      </c>
      <c r="W533" t="s">
        <v>3624</v>
      </c>
      <c r="X533" t="s">
        <v>17</v>
      </c>
    </row>
    <row r="534" spans="21:24" x14ac:dyDescent="0.45">
      <c r="U534" t="s">
        <v>3603</v>
      </c>
      <c r="V534" t="s">
        <v>4188</v>
      </c>
      <c r="W534" t="s">
        <v>3628</v>
      </c>
      <c r="X534" t="s">
        <v>19</v>
      </c>
    </row>
    <row r="535" spans="21:24" x14ac:dyDescent="0.45">
      <c r="U535" t="s">
        <v>3603</v>
      </c>
      <c r="V535" t="s">
        <v>4188</v>
      </c>
      <c r="W535" t="s">
        <v>3628</v>
      </c>
      <c r="X535" t="s">
        <v>17</v>
      </c>
    </row>
    <row r="536" spans="21:24" x14ac:dyDescent="0.45">
      <c r="U536" t="s">
        <v>3603</v>
      </c>
      <c r="V536" t="s">
        <v>4189</v>
      </c>
      <c r="W536" t="s">
        <v>3628</v>
      </c>
      <c r="X536" t="s">
        <v>19</v>
      </c>
    </row>
    <row r="537" spans="21:24" x14ac:dyDescent="0.45">
      <c r="U537" t="s">
        <v>3603</v>
      </c>
      <c r="V537" t="s">
        <v>4189</v>
      </c>
      <c r="W537" t="s">
        <v>3628</v>
      </c>
      <c r="X537" t="s">
        <v>17</v>
      </c>
    </row>
    <row r="538" spans="21:24" x14ac:dyDescent="0.45">
      <c r="U538" t="s">
        <v>3603</v>
      </c>
      <c r="V538" t="s">
        <v>4190</v>
      </c>
      <c r="W538" t="s">
        <v>3632</v>
      </c>
      <c r="X538" t="s">
        <v>19</v>
      </c>
    </row>
    <row r="539" spans="21:24" x14ac:dyDescent="0.45">
      <c r="U539" t="s">
        <v>3603</v>
      </c>
      <c r="V539" t="s">
        <v>4190</v>
      </c>
      <c r="W539" t="s">
        <v>3632</v>
      </c>
      <c r="X539" t="s">
        <v>17</v>
      </c>
    </row>
    <row r="540" spans="21:24" x14ac:dyDescent="0.45">
      <c r="U540" t="s">
        <v>3603</v>
      </c>
      <c r="V540" t="s">
        <v>4191</v>
      </c>
      <c r="W540" t="s">
        <v>3632</v>
      </c>
      <c r="X540" t="s">
        <v>19</v>
      </c>
    </row>
    <row r="541" spans="21:24" x14ac:dyDescent="0.45">
      <c r="U541" t="s">
        <v>3603</v>
      </c>
      <c r="V541" t="s">
        <v>4191</v>
      </c>
      <c r="W541" t="s">
        <v>3632</v>
      </c>
      <c r="X541" t="s">
        <v>17</v>
      </c>
    </row>
    <row r="542" spans="21:24" x14ac:dyDescent="0.45">
      <c r="U542" t="s">
        <v>3603</v>
      </c>
      <c r="V542" t="s">
        <v>4192</v>
      </c>
      <c r="W542" t="s">
        <v>3636</v>
      </c>
      <c r="X542" t="s">
        <v>19</v>
      </c>
    </row>
    <row r="543" spans="21:24" x14ac:dyDescent="0.45">
      <c r="U543" t="s">
        <v>3603</v>
      </c>
      <c r="V543" t="s">
        <v>4192</v>
      </c>
      <c r="W543" t="s">
        <v>3636</v>
      </c>
      <c r="X543" t="s">
        <v>17</v>
      </c>
    </row>
    <row r="544" spans="21:24" x14ac:dyDescent="0.45">
      <c r="U544" t="s">
        <v>3603</v>
      </c>
      <c r="V544" t="s">
        <v>4193</v>
      </c>
      <c r="W544" t="s">
        <v>3636</v>
      </c>
      <c r="X544" t="s">
        <v>19</v>
      </c>
    </row>
    <row r="545" spans="21:24" x14ac:dyDescent="0.45">
      <c r="U545" t="s">
        <v>3603</v>
      </c>
      <c r="V545" t="s">
        <v>4193</v>
      </c>
      <c r="W545" t="s">
        <v>3636</v>
      </c>
      <c r="X545" t="s">
        <v>17</v>
      </c>
    </row>
    <row r="546" spans="21:24" x14ac:dyDescent="0.45">
      <c r="U546" t="s">
        <v>3603</v>
      </c>
      <c r="V546" t="s">
        <v>4194</v>
      </c>
      <c r="W546" t="s">
        <v>3640</v>
      </c>
      <c r="X546" t="s">
        <v>19</v>
      </c>
    </row>
    <row r="547" spans="21:24" x14ac:dyDescent="0.45">
      <c r="U547" t="s">
        <v>3603</v>
      </c>
      <c r="V547" t="s">
        <v>4194</v>
      </c>
      <c r="W547" t="s">
        <v>3640</v>
      </c>
      <c r="X547" t="s">
        <v>17</v>
      </c>
    </row>
    <row r="548" spans="21:24" x14ac:dyDescent="0.45">
      <c r="U548" t="s">
        <v>3603</v>
      </c>
      <c r="V548" t="s">
        <v>4195</v>
      </c>
      <c r="W548" t="s">
        <v>3640</v>
      </c>
      <c r="X548" t="s">
        <v>19</v>
      </c>
    </row>
    <row r="549" spans="21:24" x14ac:dyDescent="0.45">
      <c r="U549" t="s">
        <v>3603</v>
      </c>
      <c r="V549" t="s">
        <v>4195</v>
      </c>
      <c r="W549" t="s">
        <v>3640</v>
      </c>
      <c r="X549" t="s">
        <v>17</v>
      </c>
    </row>
    <row r="550" spans="21:24" x14ac:dyDescent="0.45">
      <c r="U550" t="s">
        <v>3603</v>
      </c>
      <c r="V550" t="s">
        <v>4196</v>
      </c>
      <c r="W550" t="s">
        <v>3644</v>
      </c>
      <c r="X550" t="s">
        <v>19</v>
      </c>
    </row>
    <row r="551" spans="21:24" x14ac:dyDescent="0.45">
      <c r="U551" t="s">
        <v>3603</v>
      </c>
      <c r="V551" t="s">
        <v>4196</v>
      </c>
      <c r="W551" t="s">
        <v>3644</v>
      </c>
      <c r="X551" t="s">
        <v>17</v>
      </c>
    </row>
    <row r="552" spans="21:24" x14ac:dyDescent="0.45">
      <c r="U552" t="s">
        <v>3603</v>
      </c>
      <c r="V552" t="s">
        <v>4197</v>
      </c>
      <c r="W552" t="s">
        <v>3644</v>
      </c>
      <c r="X552" t="s">
        <v>19</v>
      </c>
    </row>
    <row r="553" spans="21:24" x14ac:dyDescent="0.45">
      <c r="U553" t="s">
        <v>3603</v>
      </c>
      <c r="V553" t="s">
        <v>4197</v>
      </c>
      <c r="W553" t="s">
        <v>3644</v>
      </c>
      <c r="X553" t="s">
        <v>17</v>
      </c>
    </row>
    <row r="554" spans="21:24" x14ac:dyDescent="0.45">
      <c r="U554" t="s">
        <v>3603</v>
      </c>
      <c r="V554" t="s">
        <v>4198</v>
      </c>
      <c r="W554" t="s">
        <v>3648</v>
      </c>
      <c r="X554" t="s">
        <v>19</v>
      </c>
    </row>
    <row r="555" spans="21:24" x14ac:dyDescent="0.45">
      <c r="U555" t="s">
        <v>3603</v>
      </c>
      <c r="V555" t="s">
        <v>4198</v>
      </c>
      <c r="W555" t="s">
        <v>3648</v>
      </c>
      <c r="X555" t="s">
        <v>17</v>
      </c>
    </row>
    <row r="556" spans="21:24" x14ac:dyDescent="0.45">
      <c r="U556" t="s">
        <v>3603</v>
      </c>
      <c r="V556" t="s">
        <v>4199</v>
      </c>
      <c r="W556" t="s">
        <v>3648</v>
      </c>
      <c r="X556" t="s">
        <v>19</v>
      </c>
    </row>
    <row r="557" spans="21:24" x14ac:dyDescent="0.45">
      <c r="U557" t="s">
        <v>3603</v>
      </c>
      <c r="V557" t="s">
        <v>4199</v>
      </c>
      <c r="W557" t="s">
        <v>3648</v>
      </c>
      <c r="X557" t="s">
        <v>17</v>
      </c>
    </row>
    <row r="558" spans="21:24" x14ac:dyDescent="0.45">
      <c r="U558" t="s">
        <v>3603</v>
      </c>
      <c r="V558" t="s">
        <v>4200</v>
      </c>
      <c r="W558" t="s">
        <v>3652</v>
      </c>
      <c r="X558" t="s">
        <v>19</v>
      </c>
    </row>
    <row r="559" spans="21:24" x14ac:dyDescent="0.45">
      <c r="U559" t="s">
        <v>3603</v>
      </c>
      <c r="V559" t="s">
        <v>4200</v>
      </c>
      <c r="W559" t="s">
        <v>3652</v>
      </c>
      <c r="X559" t="s">
        <v>17</v>
      </c>
    </row>
    <row r="560" spans="21:24" x14ac:dyDescent="0.45">
      <c r="U560" t="s">
        <v>3603</v>
      </c>
      <c r="V560" t="s">
        <v>4201</v>
      </c>
      <c r="W560" t="s">
        <v>3652</v>
      </c>
      <c r="X560" t="s">
        <v>19</v>
      </c>
    </row>
    <row r="561" spans="21:24" x14ac:dyDescent="0.45">
      <c r="U561" t="s">
        <v>3603</v>
      </c>
      <c r="V561" t="s">
        <v>4201</v>
      </c>
      <c r="W561" t="s">
        <v>3652</v>
      </c>
      <c r="X561" t="s">
        <v>17</v>
      </c>
    </row>
    <row r="562" spans="21:24" x14ac:dyDescent="0.45">
      <c r="U562" t="s">
        <v>3603</v>
      </c>
      <c r="V562" t="s">
        <v>4202</v>
      </c>
      <c r="W562" t="s">
        <v>3656</v>
      </c>
      <c r="X562" t="s">
        <v>19</v>
      </c>
    </row>
    <row r="563" spans="21:24" x14ac:dyDescent="0.45">
      <c r="U563" t="s">
        <v>3603</v>
      </c>
      <c r="V563" t="s">
        <v>4202</v>
      </c>
      <c r="W563" t="s">
        <v>3656</v>
      </c>
      <c r="X563" t="s">
        <v>17</v>
      </c>
    </row>
    <row r="564" spans="21:24" x14ac:dyDescent="0.45">
      <c r="U564" t="s">
        <v>3603</v>
      </c>
      <c r="V564" t="s">
        <v>4203</v>
      </c>
      <c r="W564" t="s">
        <v>3656</v>
      </c>
      <c r="X564" t="s">
        <v>19</v>
      </c>
    </row>
    <row r="565" spans="21:24" x14ac:dyDescent="0.45">
      <c r="U565" t="s">
        <v>3603</v>
      </c>
      <c r="V565" t="s">
        <v>4203</v>
      </c>
      <c r="W565" t="s">
        <v>3656</v>
      </c>
      <c r="X565" t="s">
        <v>17</v>
      </c>
    </row>
    <row r="566" spans="21:24" x14ac:dyDescent="0.45">
      <c r="U566" t="s">
        <v>3603</v>
      </c>
      <c r="V566" t="s">
        <v>4204</v>
      </c>
      <c r="W566" t="s">
        <v>3659</v>
      </c>
      <c r="X566" t="s">
        <v>19</v>
      </c>
    </row>
    <row r="567" spans="21:24" x14ac:dyDescent="0.45">
      <c r="U567" t="s">
        <v>3603</v>
      </c>
      <c r="V567" t="s">
        <v>4204</v>
      </c>
      <c r="W567" t="s">
        <v>3659</v>
      </c>
      <c r="X567" t="s">
        <v>17</v>
      </c>
    </row>
    <row r="568" spans="21:24" x14ac:dyDescent="0.45">
      <c r="U568" t="s">
        <v>3603</v>
      </c>
      <c r="V568" t="s">
        <v>4205</v>
      </c>
      <c r="W568" t="s">
        <v>3659</v>
      </c>
      <c r="X568" t="s">
        <v>19</v>
      </c>
    </row>
    <row r="569" spans="21:24" x14ac:dyDescent="0.45">
      <c r="U569" t="s">
        <v>3603</v>
      </c>
      <c r="V569" t="s">
        <v>4205</v>
      </c>
      <c r="W569" t="s">
        <v>3659</v>
      </c>
      <c r="X569" t="s">
        <v>17</v>
      </c>
    </row>
    <row r="570" spans="21:24" x14ac:dyDescent="0.45">
      <c r="U570" t="s">
        <v>3603</v>
      </c>
      <c r="V570" t="s">
        <v>4206</v>
      </c>
      <c r="W570" t="s">
        <v>3663</v>
      </c>
      <c r="X570" t="s">
        <v>19</v>
      </c>
    </row>
    <row r="571" spans="21:24" x14ac:dyDescent="0.45">
      <c r="U571" t="s">
        <v>3603</v>
      </c>
      <c r="V571" t="s">
        <v>4206</v>
      </c>
      <c r="W571" t="s">
        <v>3663</v>
      </c>
      <c r="X571" t="s">
        <v>17</v>
      </c>
    </row>
    <row r="572" spans="21:24" x14ac:dyDescent="0.45">
      <c r="U572" t="s">
        <v>3603</v>
      </c>
      <c r="V572" t="s">
        <v>4207</v>
      </c>
      <c r="W572" t="s">
        <v>3663</v>
      </c>
      <c r="X572" t="s">
        <v>19</v>
      </c>
    </row>
    <row r="573" spans="21:24" x14ac:dyDescent="0.45">
      <c r="U573" t="s">
        <v>3603</v>
      </c>
      <c r="V573" t="s">
        <v>4207</v>
      </c>
      <c r="W573" t="s">
        <v>3663</v>
      </c>
      <c r="X573" t="s">
        <v>17</v>
      </c>
    </row>
    <row r="574" spans="21:24" x14ac:dyDescent="0.45">
      <c r="U574" t="s">
        <v>3603</v>
      </c>
      <c r="V574" t="s">
        <v>4208</v>
      </c>
      <c r="W574" t="s">
        <v>3666</v>
      </c>
      <c r="X574" t="s">
        <v>19</v>
      </c>
    </row>
    <row r="575" spans="21:24" x14ac:dyDescent="0.45">
      <c r="U575" t="s">
        <v>3603</v>
      </c>
      <c r="V575" t="s">
        <v>4208</v>
      </c>
      <c r="W575" t="s">
        <v>3666</v>
      </c>
      <c r="X575" t="s">
        <v>17</v>
      </c>
    </row>
    <row r="576" spans="21:24" x14ac:dyDescent="0.45">
      <c r="U576" t="s">
        <v>3603</v>
      </c>
      <c r="V576" t="s">
        <v>4209</v>
      </c>
      <c r="W576" t="s">
        <v>3666</v>
      </c>
      <c r="X576" t="s">
        <v>19</v>
      </c>
    </row>
    <row r="577" spans="21:24" x14ac:dyDescent="0.45">
      <c r="U577" t="s">
        <v>3603</v>
      </c>
      <c r="V577" t="s">
        <v>4209</v>
      </c>
      <c r="W577" t="s">
        <v>3666</v>
      </c>
      <c r="X577" t="s">
        <v>17</v>
      </c>
    </row>
    <row r="578" spans="21:24" x14ac:dyDescent="0.45">
      <c r="U578" t="s">
        <v>3603</v>
      </c>
      <c r="V578" t="s">
        <v>4210</v>
      </c>
      <c r="W578" t="s">
        <v>3670</v>
      </c>
      <c r="X578" t="s">
        <v>19</v>
      </c>
    </row>
    <row r="579" spans="21:24" x14ac:dyDescent="0.45">
      <c r="U579" t="s">
        <v>3603</v>
      </c>
      <c r="V579" t="s">
        <v>4210</v>
      </c>
      <c r="W579" t="s">
        <v>3670</v>
      </c>
      <c r="X579" t="s">
        <v>17</v>
      </c>
    </row>
    <row r="580" spans="21:24" x14ac:dyDescent="0.45">
      <c r="U580" t="s">
        <v>3603</v>
      </c>
      <c r="V580" t="s">
        <v>4211</v>
      </c>
      <c r="W580" t="s">
        <v>3670</v>
      </c>
      <c r="X580" t="s">
        <v>19</v>
      </c>
    </row>
    <row r="581" spans="21:24" x14ac:dyDescent="0.45">
      <c r="U581" t="s">
        <v>3603</v>
      </c>
      <c r="V581" t="s">
        <v>4211</v>
      </c>
      <c r="W581" t="s">
        <v>3670</v>
      </c>
      <c r="X581" t="s">
        <v>17</v>
      </c>
    </row>
    <row r="582" spans="21:24" x14ac:dyDescent="0.45">
      <c r="U582" t="s">
        <v>3603</v>
      </c>
      <c r="V582" t="s">
        <v>4212</v>
      </c>
      <c r="W582" t="s">
        <v>3674</v>
      </c>
      <c r="X582" t="s">
        <v>19</v>
      </c>
    </row>
    <row r="583" spans="21:24" x14ac:dyDescent="0.45">
      <c r="U583" t="s">
        <v>3603</v>
      </c>
      <c r="V583" t="s">
        <v>4212</v>
      </c>
      <c r="W583" t="s">
        <v>3674</v>
      </c>
      <c r="X583" t="s">
        <v>17</v>
      </c>
    </row>
    <row r="584" spans="21:24" x14ac:dyDescent="0.45">
      <c r="U584" t="s">
        <v>3603</v>
      </c>
      <c r="V584" t="s">
        <v>4213</v>
      </c>
      <c r="W584" t="s">
        <v>3674</v>
      </c>
      <c r="X584" t="s">
        <v>19</v>
      </c>
    </row>
    <row r="585" spans="21:24" x14ac:dyDescent="0.45">
      <c r="U585" t="s">
        <v>3603</v>
      </c>
      <c r="V585" t="s">
        <v>4213</v>
      </c>
      <c r="W585" t="s">
        <v>3674</v>
      </c>
      <c r="X585" t="s">
        <v>17</v>
      </c>
    </row>
    <row r="586" spans="21:24" x14ac:dyDescent="0.45">
      <c r="U586" t="s">
        <v>3603</v>
      </c>
      <c r="V586" t="s">
        <v>4214</v>
      </c>
      <c r="W586" t="s">
        <v>3678</v>
      </c>
      <c r="X586" t="s">
        <v>19</v>
      </c>
    </row>
    <row r="587" spans="21:24" x14ac:dyDescent="0.45">
      <c r="U587" t="s">
        <v>3603</v>
      </c>
      <c r="V587" t="s">
        <v>4214</v>
      </c>
      <c r="W587" t="s">
        <v>3678</v>
      </c>
      <c r="X587" t="s">
        <v>17</v>
      </c>
    </row>
    <row r="588" spans="21:24" x14ac:dyDescent="0.45">
      <c r="U588" t="s">
        <v>3603</v>
      </c>
      <c r="V588" t="s">
        <v>4215</v>
      </c>
      <c r="W588" t="s">
        <v>3678</v>
      </c>
      <c r="X588" t="s">
        <v>19</v>
      </c>
    </row>
    <row r="589" spans="21:24" x14ac:dyDescent="0.45">
      <c r="U589" t="s">
        <v>3603</v>
      </c>
      <c r="V589" t="s">
        <v>4215</v>
      </c>
      <c r="W589" t="s">
        <v>3678</v>
      </c>
      <c r="X589" t="s">
        <v>17</v>
      </c>
    </row>
    <row r="590" spans="21:24" x14ac:dyDescent="0.45">
      <c r="U590" t="s">
        <v>3603</v>
      </c>
      <c r="V590" t="s">
        <v>4216</v>
      </c>
      <c r="W590" t="s">
        <v>3681</v>
      </c>
      <c r="X590" t="s">
        <v>19</v>
      </c>
    </row>
    <row r="591" spans="21:24" x14ac:dyDescent="0.45">
      <c r="U591" t="s">
        <v>3603</v>
      </c>
      <c r="V591" t="s">
        <v>4216</v>
      </c>
      <c r="W591" t="s">
        <v>3681</v>
      </c>
      <c r="X591" t="s">
        <v>17</v>
      </c>
    </row>
    <row r="592" spans="21:24" x14ac:dyDescent="0.45">
      <c r="U592" t="s">
        <v>3603</v>
      </c>
      <c r="V592" t="s">
        <v>4217</v>
      </c>
      <c r="W592" t="s">
        <v>3681</v>
      </c>
      <c r="X592" t="s">
        <v>19</v>
      </c>
    </row>
    <row r="593" spans="21:24" x14ac:dyDescent="0.45">
      <c r="U593" t="s">
        <v>3603</v>
      </c>
      <c r="V593" t="s">
        <v>4217</v>
      </c>
      <c r="W593" t="s">
        <v>3681</v>
      </c>
      <c r="X593" t="s">
        <v>17</v>
      </c>
    </row>
    <row r="594" spans="21:24" x14ac:dyDescent="0.45">
      <c r="U594" t="s">
        <v>3603</v>
      </c>
      <c r="V594" t="s">
        <v>4218</v>
      </c>
      <c r="W594" t="s">
        <v>3685</v>
      </c>
      <c r="X594" t="s">
        <v>19</v>
      </c>
    </row>
    <row r="595" spans="21:24" x14ac:dyDescent="0.45">
      <c r="U595" t="s">
        <v>3603</v>
      </c>
      <c r="V595" t="s">
        <v>4218</v>
      </c>
      <c r="W595" t="s">
        <v>3685</v>
      </c>
      <c r="X595" t="s">
        <v>17</v>
      </c>
    </row>
    <row r="596" spans="21:24" x14ac:dyDescent="0.45">
      <c r="U596" t="s">
        <v>3603</v>
      </c>
      <c r="V596" t="s">
        <v>4219</v>
      </c>
      <c r="W596" t="s">
        <v>3685</v>
      </c>
      <c r="X596" t="s">
        <v>19</v>
      </c>
    </row>
    <row r="597" spans="21:24" x14ac:dyDescent="0.45">
      <c r="U597" t="s">
        <v>3603</v>
      </c>
      <c r="V597" t="s">
        <v>4219</v>
      </c>
      <c r="W597" t="s">
        <v>3685</v>
      </c>
      <c r="X597" t="s">
        <v>17</v>
      </c>
    </row>
    <row r="598" spans="21:24" x14ac:dyDescent="0.45">
      <c r="U598" t="s">
        <v>3603</v>
      </c>
      <c r="V598" t="s">
        <v>4220</v>
      </c>
      <c r="W598" t="s">
        <v>3688</v>
      </c>
      <c r="X598" t="s">
        <v>19</v>
      </c>
    </row>
    <row r="599" spans="21:24" x14ac:dyDescent="0.45">
      <c r="U599" t="s">
        <v>3603</v>
      </c>
      <c r="V599" t="s">
        <v>4220</v>
      </c>
      <c r="W599" t="s">
        <v>3688</v>
      </c>
      <c r="X599" t="s">
        <v>17</v>
      </c>
    </row>
    <row r="600" spans="21:24" x14ac:dyDescent="0.45">
      <c r="U600" t="s">
        <v>3603</v>
      </c>
      <c r="V600" t="s">
        <v>4221</v>
      </c>
      <c r="W600" t="s">
        <v>3688</v>
      </c>
      <c r="X600" t="s">
        <v>19</v>
      </c>
    </row>
    <row r="601" spans="21:24" x14ac:dyDescent="0.45">
      <c r="U601" t="s">
        <v>3603</v>
      </c>
      <c r="V601" t="s">
        <v>4221</v>
      </c>
      <c r="W601" t="s">
        <v>3688</v>
      </c>
      <c r="X601" t="s">
        <v>17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0B071-32C6-4621-AF4A-A7099BAC6B16}">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0.56406124093472998</v>
      </c>
      <c r="H3" s="2">
        <v>0.84801043705153289</v>
      </c>
      <c r="I3" s="2">
        <v>0.56540424388933652</v>
      </c>
      <c r="J3" s="2">
        <v>0.86622303809086743</v>
      </c>
      <c r="O3" t="s">
        <v>973</v>
      </c>
    </row>
    <row r="4" spans="6:31" x14ac:dyDescent="0.45">
      <c r="F4" t="s">
        <v>975</v>
      </c>
      <c r="G4" s="2">
        <v>0.14009962640099627</v>
      </c>
      <c r="H4" s="2">
        <v>0.89421613394216137</v>
      </c>
      <c r="I4" s="2">
        <v>0.1432288910589119</v>
      </c>
      <c r="J4" s="2">
        <v>0.88329964817725881</v>
      </c>
    </row>
    <row r="5" spans="6:31" x14ac:dyDescent="0.45">
      <c r="F5" t="s">
        <v>979</v>
      </c>
      <c r="G5" s="2">
        <v>0.21319437908384883</v>
      </c>
      <c r="H5" s="2">
        <v>0.36358931570220004</v>
      </c>
      <c r="I5" s="2">
        <v>0.23313946999750493</v>
      </c>
      <c r="J5" s="2">
        <v>0.36680237426422968</v>
      </c>
    </row>
    <row r="6" spans="6:31" x14ac:dyDescent="0.45">
      <c r="F6" t="s">
        <v>987</v>
      </c>
      <c r="G6" s="2">
        <v>0.69864384932878076</v>
      </c>
      <c r="H6" s="2">
        <v>0.98981820244476593</v>
      </c>
      <c r="I6" s="2">
        <v>0.69787800697878011</v>
      </c>
      <c r="J6" s="2">
        <v>0.98999546215150747</v>
      </c>
      <c r="N6" t="s">
        <v>977</v>
      </c>
      <c r="Y6" t="s">
        <v>978</v>
      </c>
    </row>
    <row r="7" spans="6:31" x14ac:dyDescent="0.45">
      <c r="F7" t="s">
        <v>991</v>
      </c>
      <c r="G7" s="2">
        <v>0.46803652968036535</v>
      </c>
      <c r="H7" s="2">
        <v>0.58768814476577025</v>
      </c>
      <c r="I7" s="2">
        <v>0.18455320242580298</v>
      </c>
      <c r="J7" s="2">
        <v>0.33758153173373956</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994</v>
      </c>
      <c r="G8" s="2">
        <v>5.7077625570776259E-2</v>
      </c>
      <c r="H8" s="2">
        <v>0.11415525114155252</v>
      </c>
      <c r="I8" s="2">
        <v>7.6409137310276112E-2</v>
      </c>
      <c r="J8" s="2">
        <v>0.10488586631810759</v>
      </c>
      <c r="N8" t="s">
        <v>988</v>
      </c>
      <c r="O8" t="s">
        <v>974</v>
      </c>
      <c r="P8" s="3" t="s">
        <v>989</v>
      </c>
      <c r="Q8" s="4">
        <f>-1/8.76</f>
        <v>-0.11415525114155252</v>
      </c>
      <c r="S8" s="4" t="e">
        <f>VLOOKUP(O8,$F$3:$J$11,3,FALSE)</f>
        <v>#N/A</v>
      </c>
      <c r="T8" s="4" t="e">
        <f>MIN(S8*$U$1,0.95)</f>
        <v>#N/A</v>
      </c>
      <c r="U8">
        <v>0</v>
      </c>
      <c r="V8">
        <v>3</v>
      </c>
      <c r="Y8" t="s">
        <v>990</v>
      </c>
      <c r="Z8" t="s">
        <v>974</v>
      </c>
      <c r="AA8">
        <f>-1/8.76</f>
        <v>-0.11415525114155252</v>
      </c>
      <c r="AB8" s="4" t="e">
        <f>VLOOKUP(Z8,$F$3:$J$11,2,FALSE)</f>
        <v>#N/A</v>
      </c>
      <c r="AC8" t="e">
        <f>AB8*$W$1</f>
        <v>#N/A</v>
      </c>
      <c r="AD8">
        <v>0</v>
      </c>
      <c r="AE8">
        <v>3</v>
      </c>
    </row>
    <row r="9" spans="6:31" x14ac:dyDescent="0.45">
      <c r="F9" t="s">
        <v>996</v>
      </c>
      <c r="G9" s="2">
        <v>0.11415525114155252</v>
      </c>
      <c r="H9" s="2">
        <v>0.22831050228310504</v>
      </c>
      <c r="I9" s="2">
        <v>7.6103500761035003E-2</v>
      </c>
      <c r="J9" s="2">
        <v>0.22210045662100458</v>
      </c>
      <c r="N9" t="s">
        <v>992</v>
      </c>
      <c r="O9" t="s">
        <v>975</v>
      </c>
      <c r="P9" s="3" t="s">
        <v>989</v>
      </c>
      <c r="Q9" s="4">
        <f>-1/8.76</f>
        <v>-0.11415525114155252</v>
      </c>
      <c r="S9" s="4">
        <f>VLOOKUP(O9,$F$3:$J$11,3,FALSE)</f>
        <v>0.89421613394216137</v>
      </c>
      <c r="T9" s="4">
        <f>MIN(S9*$U$1,0.95)</f>
        <v>0.95</v>
      </c>
      <c r="U9">
        <v>0</v>
      </c>
      <c r="V9">
        <v>3</v>
      </c>
      <c r="Y9" t="s">
        <v>993</v>
      </c>
      <c r="Z9" t="s">
        <v>975</v>
      </c>
      <c r="AA9">
        <f>-1/8.76</f>
        <v>-0.11415525114155252</v>
      </c>
      <c r="AB9" s="4">
        <f>VLOOKUP(Z9,$F$3:$J$11,2,FALSE)</f>
        <v>0.14009962640099627</v>
      </c>
      <c r="AC9">
        <f>AB9*$W$1</f>
        <v>2.8019925280199254E-2</v>
      </c>
      <c r="AD9">
        <v>0</v>
      </c>
      <c r="AE9">
        <v>3</v>
      </c>
    </row>
    <row r="10" spans="6:31" ht="14.65" customHeight="1" x14ac:dyDescent="0.45">
      <c r="F10" t="s">
        <v>1014</v>
      </c>
      <c r="G10" s="2">
        <v>0.12065189145042136</v>
      </c>
      <c r="H10" s="2">
        <v>0.20950575930337231</v>
      </c>
      <c r="I10" s="2">
        <v>0.11224565216756209</v>
      </c>
      <c r="J10" s="2">
        <v>0.19080736612574969</v>
      </c>
      <c r="N10" t="s">
        <v>992</v>
      </c>
      <c r="O10" t="s">
        <v>987</v>
      </c>
      <c r="P10" s="3" t="s">
        <v>989</v>
      </c>
      <c r="Q10" s="4">
        <f>-1/8.76</f>
        <v>-0.11415525114155252</v>
      </c>
      <c r="S10" s="4">
        <f>VLOOKUP(O10,$F$3:$J$11,3,FALSE)</f>
        <v>0.98981820244476593</v>
      </c>
      <c r="T10" s="4">
        <f>MIN(S10*$U$1,0.95)</f>
        <v>0.95</v>
      </c>
      <c r="U10">
        <v>0</v>
      </c>
      <c r="V10">
        <v>3</v>
      </c>
      <c r="Y10" t="s">
        <v>995</v>
      </c>
      <c r="Z10" t="s">
        <v>991</v>
      </c>
      <c r="AA10">
        <f>-1/8.76</f>
        <v>-0.11415525114155252</v>
      </c>
      <c r="AB10" s="4">
        <f>VLOOKUP(Z10,$F$3:$J$11,2,FALSE)</f>
        <v>0.46803652968036535</v>
      </c>
      <c r="AC10" s="5">
        <f>AB10*$W$1</f>
        <v>9.3607305936073082E-2</v>
      </c>
      <c r="AD10">
        <v>0</v>
      </c>
      <c r="AE10">
        <v>3</v>
      </c>
    </row>
    <row r="11" spans="6:31" ht="14.65" customHeight="1" x14ac:dyDescent="0.45">
      <c r="G11" s="2"/>
      <c r="H11" s="2"/>
      <c r="I11" s="2"/>
      <c r="J11" s="2"/>
    </row>
    <row r="15" spans="6:31" x14ac:dyDescent="0.45">
      <c r="X15" s="6">
        <v>2.5</v>
      </c>
      <c r="Y15" s="7" t="s">
        <v>997</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8F41-57A8-489E-BEC6-5381FE7AB01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3603</v>
      </c>
      <c r="C11">
        <v>3</v>
      </c>
      <c r="D11">
        <v>5</v>
      </c>
      <c r="E11">
        <v>2</v>
      </c>
      <c r="F11">
        <v>3</v>
      </c>
      <c r="G11">
        <v>0.1</v>
      </c>
      <c r="H11">
        <v>0.2</v>
      </c>
      <c r="I11">
        <v>0</v>
      </c>
      <c r="J11">
        <v>0</v>
      </c>
    </row>
    <row r="14" spans="2:10" x14ac:dyDescent="0.45">
      <c r="B14" t="s">
        <v>5680</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3</v>
      </c>
      <c r="G20">
        <f>D11</f>
        <v>5</v>
      </c>
      <c r="H20">
        <v>4</v>
      </c>
    </row>
    <row r="21" spans="1:8" x14ac:dyDescent="0.45">
      <c r="A21" t="s">
        <v>1014</v>
      </c>
      <c r="B21" t="str">
        <f t="shared" ref="B21:B23" si="0">"uce_buildrate_"&amp;A21</f>
        <v>uce_buildrate_wind</v>
      </c>
      <c r="C21" t="str">
        <f>A21&amp;"*"</f>
        <v>wind*</v>
      </c>
      <c r="D21" t="s">
        <v>1013</v>
      </c>
      <c r="E21">
        <v>1</v>
      </c>
      <c r="F21">
        <f>E11</f>
        <v>2</v>
      </c>
      <c r="G21">
        <f>F11</f>
        <v>3</v>
      </c>
      <c r="H21">
        <v>4</v>
      </c>
    </row>
    <row r="22" spans="1:8" x14ac:dyDescent="0.45">
      <c r="A22" t="s">
        <v>979</v>
      </c>
      <c r="B22" t="str">
        <f t="shared" si="0"/>
        <v>uce_buildrate_hydro</v>
      </c>
      <c r="C22" t="str">
        <f t="shared" ref="C22:C23" si="1">A22</f>
        <v>hydro</v>
      </c>
      <c r="D22" t="s">
        <v>1013</v>
      </c>
      <c r="E22">
        <v>1</v>
      </c>
      <c r="F22">
        <f>G11</f>
        <v>0.1</v>
      </c>
      <c r="G22">
        <f>H11</f>
        <v>0.2</v>
      </c>
      <c r="H22">
        <v>4</v>
      </c>
    </row>
    <row r="23" spans="1:8" x14ac:dyDescent="0.45">
      <c r="A23" t="s">
        <v>987</v>
      </c>
      <c r="B23" t="str">
        <f t="shared" si="0"/>
        <v>uce_buildrate_nuclear</v>
      </c>
      <c r="C23" t="str">
        <f t="shared" si="1"/>
        <v>nuclear</v>
      </c>
      <c r="D23" t="s">
        <v>1013</v>
      </c>
      <c r="E23">
        <v>1</v>
      </c>
      <c r="F23">
        <f>I11</f>
        <v>0</v>
      </c>
      <c r="G23">
        <f>J11</f>
        <v>0</v>
      </c>
      <c r="H23">
        <v>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B247-2708-42A0-B165-906A80AB5C2B}">
  <dimension ref="A1:I20"/>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4222</v>
      </c>
      <c r="C5" t="s">
        <v>4223</v>
      </c>
      <c r="D5">
        <v>1</v>
      </c>
      <c r="E5">
        <v>2</v>
      </c>
      <c r="G5" t="s">
        <v>4222</v>
      </c>
      <c r="H5" t="s">
        <v>4223</v>
      </c>
      <c r="I5">
        <v>-1</v>
      </c>
    </row>
    <row r="6" spans="1:9" x14ac:dyDescent="0.45">
      <c r="A6" t="s">
        <v>1020</v>
      </c>
      <c r="B6" t="s">
        <v>4224</v>
      </c>
      <c r="C6" t="s">
        <v>4225</v>
      </c>
      <c r="D6">
        <v>1</v>
      </c>
      <c r="E6">
        <v>2</v>
      </c>
      <c r="G6" t="s">
        <v>4224</v>
      </c>
      <c r="H6" t="s">
        <v>4225</v>
      </c>
      <c r="I6">
        <v>-1</v>
      </c>
    </row>
    <row r="7" spans="1:9" x14ac:dyDescent="0.45">
      <c r="A7" t="s">
        <v>1020</v>
      </c>
      <c r="B7" t="s">
        <v>4226</v>
      </c>
      <c r="C7" t="s">
        <v>4227</v>
      </c>
      <c r="D7">
        <v>1</v>
      </c>
      <c r="E7">
        <v>2</v>
      </c>
      <c r="G7" t="s">
        <v>4226</v>
      </c>
      <c r="H7" t="s">
        <v>4227</v>
      </c>
      <c r="I7">
        <v>-1</v>
      </c>
    </row>
    <row r="8" spans="1:9" x14ac:dyDescent="0.45">
      <c r="A8" t="s">
        <v>1020</v>
      </c>
      <c r="B8" t="s">
        <v>4228</v>
      </c>
      <c r="C8" t="s">
        <v>4229</v>
      </c>
      <c r="D8">
        <v>1</v>
      </c>
      <c r="E8">
        <v>2</v>
      </c>
      <c r="G8" t="s">
        <v>4228</v>
      </c>
      <c r="H8" t="s">
        <v>4229</v>
      </c>
      <c r="I8">
        <v>-1</v>
      </c>
    </row>
    <row r="9" spans="1:9" x14ac:dyDescent="0.45">
      <c r="A9" t="s">
        <v>1020</v>
      </c>
      <c r="B9" t="s">
        <v>4230</v>
      </c>
      <c r="C9" t="s">
        <v>4231</v>
      </c>
      <c r="D9">
        <v>1</v>
      </c>
      <c r="E9">
        <v>2</v>
      </c>
      <c r="G9" t="s">
        <v>4230</v>
      </c>
      <c r="H9" t="s">
        <v>4231</v>
      </c>
      <c r="I9">
        <v>-1</v>
      </c>
    </row>
    <row r="10" spans="1:9" x14ac:dyDescent="0.45">
      <c r="A10" t="s">
        <v>1020</v>
      </c>
      <c r="B10" t="s">
        <v>4232</v>
      </c>
      <c r="C10" t="s">
        <v>4233</v>
      </c>
      <c r="D10">
        <v>1</v>
      </c>
      <c r="E10">
        <v>2</v>
      </c>
      <c r="G10" t="s">
        <v>4232</v>
      </c>
      <c r="H10" t="s">
        <v>4233</v>
      </c>
      <c r="I10">
        <v>-1</v>
      </c>
    </row>
    <row r="11" spans="1:9" x14ac:dyDescent="0.45">
      <c r="A11" t="s">
        <v>1020</v>
      </c>
      <c r="B11" t="s">
        <v>4234</v>
      </c>
      <c r="C11" t="s">
        <v>4235</v>
      </c>
      <c r="D11">
        <v>1</v>
      </c>
      <c r="E11">
        <v>2</v>
      </c>
      <c r="G11" t="s">
        <v>4234</v>
      </c>
      <c r="H11" t="s">
        <v>4235</v>
      </c>
      <c r="I11">
        <v>-1</v>
      </c>
    </row>
    <row r="12" spans="1:9" x14ac:dyDescent="0.45">
      <c r="A12" t="s">
        <v>1020</v>
      </c>
      <c r="B12" t="s">
        <v>4236</v>
      </c>
      <c r="C12" t="s">
        <v>4237</v>
      </c>
      <c r="D12">
        <v>1</v>
      </c>
      <c r="E12">
        <v>2</v>
      </c>
      <c r="G12" t="s">
        <v>4236</v>
      </c>
      <c r="H12" t="s">
        <v>4237</v>
      </c>
      <c r="I12">
        <v>-1</v>
      </c>
    </row>
    <row r="13" spans="1:9" x14ac:dyDescent="0.45">
      <c r="A13" t="s">
        <v>1020</v>
      </c>
      <c r="B13" t="s">
        <v>4238</v>
      </c>
      <c r="C13" t="s">
        <v>4239</v>
      </c>
      <c r="D13">
        <v>1</v>
      </c>
      <c r="E13">
        <v>2</v>
      </c>
      <c r="G13" t="s">
        <v>4238</v>
      </c>
      <c r="H13" t="s">
        <v>4239</v>
      </c>
      <c r="I13">
        <v>-1</v>
      </c>
    </row>
    <row r="14" spans="1:9" x14ac:dyDescent="0.45">
      <c r="A14" t="s">
        <v>1020</v>
      </c>
      <c r="B14" t="s">
        <v>4240</v>
      </c>
      <c r="C14" t="s">
        <v>4241</v>
      </c>
      <c r="D14">
        <v>1</v>
      </c>
      <c r="E14">
        <v>2</v>
      </c>
      <c r="G14" t="s">
        <v>4240</v>
      </c>
      <c r="H14" t="s">
        <v>4241</v>
      </c>
      <c r="I14">
        <v>-1</v>
      </c>
    </row>
    <row r="15" spans="1:9" x14ac:dyDescent="0.45">
      <c r="A15" t="s">
        <v>1020</v>
      </c>
      <c r="B15" t="s">
        <v>4242</v>
      </c>
      <c r="C15" t="s">
        <v>4243</v>
      </c>
      <c r="D15">
        <v>1</v>
      </c>
      <c r="E15">
        <v>2</v>
      </c>
      <c r="G15" t="s">
        <v>4242</v>
      </c>
      <c r="H15" t="s">
        <v>4243</v>
      </c>
      <c r="I15">
        <v>-1</v>
      </c>
    </row>
    <row r="16" spans="1:9" x14ac:dyDescent="0.45">
      <c r="A16" t="s">
        <v>1020</v>
      </c>
      <c r="B16" t="s">
        <v>4244</v>
      </c>
      <c r="C16" t="s">
        <v>4245</v>
      </c>
      <c r="D16">
        <v>1</v>
      </c>
      <c r="E16">
        <v>2</v>
      </c>
      <c r="G16" t="s">
        <v>4244</v>
      </c>
      <c r="H16" t="s">
        <v>4245</v>
      </c>
      <c r="I16">
        <v>-1</v>
      </c>
    </row>
    <row r="17" spans="1:9" x14ac:dyDescent="0.45">
      <c r="A17" t="s">
        <v>1020</v>
      </c>
      <c r="B17" t="s">
        <v>4246</v>
      </c>
      <c r="C17" t="s">
        <v>4247</v>
      </c>
      <c r="D17">
        <v>1</v>
      </c>
      <c r="E17">
        <v>2</v>
      </c>
      <c r="G17" t="s">
        <v>4246</v>
      </c>
      <c r="H17" t="s">
        <v>4247</v>
      </c>
      <c r="I17">
        <v>-1</v>
      </c>
    </row>
    <row r="18" spans="1:9" x14ac:dyDescent="0.45">
      <c r="A18" t="s">
        <v>1020</v>
      </c>
      <c r="B18" t="s">
        <v>4248</v>
      </c>
      <c r="C18" t="s">
        <v>4249</v>
      </c>
      <c r="D18">
        <v>1</v>
      </c>
      <c r="E18">
        <v>2</v>
      </c>
      <c r="G18" t="s">
        <v>4248</v>
      </c>
      <c r="H18" t="s">
        <v>4249</v>
      </c>
      <c r="I18">
        <v>-1</v>
      </c>
    </row>
    <row r="19" spans="1:9" x14ac:dyDescent="0.45">
      <c r="A19" t="s">
        <v>1020</v>
      </c>
      <c r="B19" t="s">
        <v>4250</v>
      </c>
      <c r="C19" t="s">
        <v>4251</v>
      </c>
      <c r="D19">
        <v>1</v>
      </c>
      <c r="E19">
        <v>2</v>
      </c>
      <c r="G19" t="s">
        <v>4250</v>
      </c>
      <c r="H19" t="s">
        <v>4251</v>
      </c>
      <c r="I19">
        <v>-1</v>
      </c>
    </row>
    <row r="20" spans="1:9" x14ac:dyDescent="0.45">
      <c r="A20" t="s">
        <v>1020</v>
      </c>
      <c r="B20" t="s">
        <v>4252</v>
      </c>
      <c r="C20" t="s">
        <v>4253</v>
      </c>
      <c r="D20">
        <v>1</v>
      </c>
      <c r="E20">
        <v>2</v>
      </c>
      <c r="G20" t="s">
        <v>4252</v>
      </c>
      <c r="H20" t="s">
        <v>4253</v>
      </c>
      <c r="I20">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BAD24-CB0B-4AD3-8449-DD227E9A42FD}">
  <dimension ref="B2:AG653"/>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5683</v>
      </c>
    </row>
    <row r="4" spans="2:33" x14ac:dyDescent="0.45">
      <c r="B4" t="s">
        <v>4254</v>
      </c>
      <c r="C4">
        <v>2.1896590000000002</v>
      </c>
      <c r="D4">
        <v>86.9</v>
      </c>
      <c r="E4">
        <v>0.99526000000000003</v>
      </c>
      <c r="H4" t="s">
        <v>4255</v>
      </c>
      <c r="I4" t="s">
        <v>13</v>
      </c>
      <c r="J4">
        <v>1.1038512297064125E-2</v>
      </c>
      <c r="K4" t="s">
        <v>14</v>
      </c>
      <c r="P4" t="s">
        <v>4256</v>
      </c>
      <c r="Q4" t="s">
        <v>4255</v>
      </c>
      <c r="R4" t="s">
        <v>4257</v>
      </c>
      <c r="S4" t="s">
        <v>17</v>
      </c>
      <c r="U4" t="s">
        <v>4256</v>
      </c>
      <c r="V4" t="s">
        <v>4258</v>
      </c>
      <c r="W4" t="s">
        <v>4257</v>
      </c>
      <c r="X4" t="s">
        <v>19</v>
      </c>
      <c r="AA4" t="s">
        <v>6</v>
      </c>
      <c r="AB4" t="s">
        <v>20</v>
      </c>
      <c r="AC4" t="s">
        <v>21</v>
      </c>
      <c r="AD4" t="s">
        <v>22</v>
      </c>
      <c r="AE4" t="s">
        <v>23</v>
      </c>
      <c r="AF4" t="s">
        <v>24</v>
      </c>
      <c r="AG4" t="s">
        <v>25</v>
      </c>
    </row>
    <row r="5" spans="2:33" x14ac:dyDescent="0.45">
      <c r="B5" t="s">
        <v>4259</v>
      </c>
      <c r="C5">
        <v>2.1896590000000002</v>
      </c>
      <c r="D5">
        <v>58.300000000000004</v>
      </c>
      <c r="E5">
        <v>0.99682000000000004</v>
      </c>
      <c r="H5" t="s">
        <v>4255</v>
      </c>
      <c r="I5" t="s">
        <v>27</v>
      </c>
      <c r="J5">
        <v>1.1038512297064125E-2</v>
      </c>
      <c r="K5" t="s">
        <v>14</v>
      </c>
      <c r="P5" t="s">
        <v>4256</v>
      </c>
      <c r="Q5" t="s">
        <v>4260</v>
      </c>
      <c r="R5" t="s">
        <v>4261</v>
      </c>
      <c r="S5" t="s">
        <v>17</v>
      </c>
      <c r="U5" t="s">
        <v>4256</v>
      </c>
      <c r="V5" t="s">
        <v>4262</v>
      </c>
      <c r="W5" t="s">
        <v>4257</v>
      </c>
      <c r="X5" t="s">
        <v>19</v>
      </c>
      <c r="AA5" t="s">
        <v>31</v>
      </c>
      <c r="AB5" t="s">
        <v>32</v>
      </c>
      <c r="AC5">
        <v>2</v>
      </c>
      <c r="AE5">
        <v>0</v>
      </c>
      <c r="AF5" t="s">
        <v>33</v>
      </c>
      <c r="AG5" t="s">
        <v>34</v>
      </c>
    </row>
    <row r="6" spans="2:33" x14ac:dyDescent="0.45">
      <c r="B6" t="s">
        <v>4263</v>
      </c>
      <c r="C6">
        <v>3.172771</v>
      </c>
      <c r="D6">
        <v>26.400000000000002</v>
      </c>
      <c r="E6">
        <v>0.99856</v>
      </c>
      <c r="H6" t="s">
        <v>4255</v>
      </c>
      <c r="I6" t="s">
        <v>36</v>
      </c>
      <c r="J6">
        <v>1.1038512297064125E-2</v>
      </c>
      <c r="K6" t="s">
        <v>14</v>
      </c>
      <c r="P6" t="s">
        <v>4256</v>
      </c>
      <c r="Q6" t="s">
        <v>4264</v>
      </c>
      <c r="R6" t="s">
        <v>4265</v>
      </c>
      <c r="S6" t="s">
        <v>17</v>
      </c>
      <c r="U6" t="s">
        <v>4256</v>
      </c>
      <c r="V6" t="s">
        <v>4266</v>
      </c>
      <c r="W6" t="s">
        <v>4257</v>
      </c>
      <c r="X6" t="s">
        <v>19</v>
      </c>
      <c r="AA6" t="s">
        <v>31</v>
      </c>
      <c r="AB6" t="s">
        <v>32</v>
      </c>
      <c r="AD6">
        <v>2</v>
      </c>
      <c r="AE6">
        <v>0</v>
      </c>
      <c r="AF6" t="s">
        <v>40</v>
      </c>
    </row>
    <row r="7" spans="2:33" x14ac:dyDescent="0.45">
      <c r="B7" t="s">
        <v>4267</v>
      </c>
      <c r="C7">
        <v>6.5689770000000003</v>
      </c>
      <c r="D7">
        <v>28.6</v>
      </c>
      <c r="E7">
        <v>0.99843999999999999</v>
      </c>
      <c r="H7" t="s">
        <v>4260</v>
      </c>
      <c r="I7" t="s">
        <v>13</v>
      </c>
      <c r="J7">
        <v>5.0452933239717255E-3</v>
      </c>
      <c r="K7" t="s">
        <v>14</v>
      </c>
      <c r="P7" t="s">
        <v>4256</v>
      </c>
      <c r="Q7" t="s">
        <v>4268</v>
      </c>
      <c r="R7" t="s">
        <v>4269</v>
      </c>
      <c r="S7" t="s">
        <v>17</v>
      </c>
      <c r="U7" t="s">
        <v>4256</v>
      </c>
      <c r="V7" t="s">
        <v>4270</v>
      </c>
      <c r="W7" t="s">
        <v>4257</v>
      </c>
      <c r="X7" t="s">
        <v>19</v>
      </c>
    </row>
    <row r="8" spans="2:33" x14ac:dyDescent="0.45">
      <c r="B8" t="s">
        <v>4271</v>
      </c>
      <c r="C8">
        <v>5.5858650000000001</v>
      </c>
      <c r="D8">
        <v>61.600000000000009</v>
      </c>
      <c r="E8">
        <v>0.99663999999999997</v>
      </c>
      <c r="H8" t="s">
        <v>4260</v>
      </c>
      <c r="I8" t="s">
        <v>27</v>
      </c>
      <c r="J8">
        <v>5.0452933239717255E-3</v>
      </c>
      <c r="K8" t="s">
        <v>14</v>
      </c>
      <c r="P8" t="s">
        <v>4256</v>
      </c>
      <c r="Q8" t="s">
        <v>4272</v>
      </c>
      <c r="R8" t="s">
        <v>4273</v>
      </c>
      <c r="S8" t="s">
        <v>17</v>
      </c>
      <c r="U8" t="s">
        <v>4256</v>
      </c>
      <c r="V8" t="s">
        <v>4274</v>
      </c>
      <c r="W8" t="s">
        <v>4257</v>
      </c>
      <c r="X8" t="s">
        <v>19</v>
      </c>
    </row>
    <row r="9" spans="2:33" x14ac:dyDescent="0.45">
      <c r="B9" t="s">
        <v>4275</v>
      </c>
      <c r="C9">
        <v>12.154842</v>
      </c>
      <c r="D9">
        <v>156.20000000000002</v>
      </c>
      <c r="E9">
        <v>0.99148000000000003</v>
      </c>
      <c r="H9" t="s">
        <v>4260</v>
      </c>
      <c r="I9" t="s">
        <v>36</v>
      </c>
      <c r="J9">
        <v>5.0452933239717255E-3</v>
      </c>
      <c r="K9" t="s">
        <v>14</v>
      </c>
      <c r="P9" t="s">
        <v>4256</v>
      </c>
      <c r="Q9" t="s">
        <v>4276</v>
      </c>
      <c r="R9" t="s">
        <v>4277</v>
      </c>
      <c r="S9" t="s">
        <v>17</v>
      </c>
      <c r="U9" t="s">
        <v>4256</v>
      </c>
      <c r="V9" t="s">
        <v>4278</v>
      </c>
      <c r="W9" t="s">
        <v>4257</v>
      </c>
      <c r="X9" t="s">
        <v>19</v>
      </c>
    </row>
    <row r="10" spans="2:33" x14ac:dyDescent="0.45">
      <c r="B10" t="s">
        <v>4279</v>
      </c>
      <c r="C10">
        <v>4.3793180000000005</v>
      </c>
      <c r="D10">
        <v>118.80000000000001</v>
      </c>
      <c r="E10">
        <v>0.99351999999999996</v>
      </c>
      <c r="H10" t="s">
        <v>4264</v>
      </c>
      <c r="I10" t="s">
        <v>13</v>
      </c>
      <c r="J10">
        <v>2.9525791427738046E-2</v>
      </c>
      <c r="K10" t="s">
        <v>14</v>
      </c>
      <c r="P10" t="s">
        <v>4256</v>
      </c>
      <c r="Q10" t="s">
        <v>4280</v>
      </c>
      <c r="R10" t="s">
        <v>4281</v>
      </c>
      <c r="S10" t="s">
        <v>17</v>
      </c>
      <c r="U10" t="s">
        <v>4256</v>
      </c>
      <c r="V10" t="s">
        <v>4282</v>
      </c>
      <c r="W10" t="s">
        <v>4257</v>
      </c>
      <c r="X10" t="s">
        <v>19</v>
      </c>
    </row>
    <row r="11" spans="2:33" x14ac:dyDescent="0.45">
      <c r="B11" t="s">
        <v>4283</v>
      </c>
      <c r="C11">
        <v>4.3793180000000005</v>
      </c>
      <c r="D11">
        <v>26.400000000000002</v>
      </c>
      <c r="E11">
        <v>0.99856</v>
      </c>
      <c r="H11" t="s">
        <v>4264</v>
      </c>
      <c r="I11" t="s">
        <v>27</v>
      </c>
      <c r="J11">
        <v>2.9525791427738046E-2</v>
      </c>
      <c r="K11" t="s">
        <v>14</v>
      </c>
      <c r="P11" t="s">
        <v>4256</v>
      </c>
      <c r="Q11" t="s">
        <v>4284</v>
      </c>
      <c r="R11" t="s">
        <v>4285</v>
      </c>
      <c r="S11" t="s">
        <v>17</v>
      </c>
      <c r="U11" t="s">
        <v>4256</v>
      </c>
      <c r="V11" t="s">
        <v>4286</v>
      </c>
      <c r="W11" t="s">
        <v>4257</v>
      </c>
      <c r="X11" t="s">
        <v>19</v>
      </c>
    </row>
    <row r="12" spans="2:33" x14ac:dyDescent="0.45">
      <c r="B12" t="s">
        <v>4287</v>
      </c>
      <c r="C12">
        <v>1.4746679999999999</v>
      </c>
      <c r="D12">
        <v>34.1</v>
      </c>
      <c r="E12">
        <v>0.99814000000000003</v>
      </c>
      <c r="H12" t="s">
        <v>4264</v>
      </c>
      <c r="I12" t="s">
        <v>36</v>
      </c>
      <c r="J12">
        <v>2.9525791427738046E-2</v>
      </c>
      <c r="K12" t="s">
        <v>14</v>
      </c>
      <c r="P12" t="s">
        <v>4256</v>
      </c>
      <c r="Q12" t="s">
        <v>4288</v>
      </c>
      <c r="R12" t="s">
        <v>4289</v>
      </c>
      <c r="S12" t="s">
        <v>17</v>
      </c>
      <c r="U12" t="s">
        <v>4256</v>
      </c>
      <c r="V12" t="s">
        <v>4290</v>
      </c>
      <c r="W12" t="s">
        <v>4257</v>
      </c>
      <c r="X12" t="s">
        <v>19</v>
      </c>
    </row>
    <row r="13" spans="2:33" x14ac:dyDescent="0.45">
      <c r="B13" t="s">
        <v>4291</v>
      </c>
      <c r="C13">
        <v>1.966224</v>
      </c>
      <c r="D13">
        <v>15.400000000000002</v>
      </c>
      <c r="E13">
        <v>0.99916000000000005</v>
      </c>
      <c r="H13" t="s">
        <v>4268</v>
      </c>
      <c r="I13" t="s">
        <v>13</v>
      </c>
      <c r="J13">
        <v>2.1014312133035118E-2</v>
      </c>
      <c r="K13" t="s">
        <v>14</v>
      </c>
      <c r="P13" t="s">
        <v>4256</v>
      </c>
      <c r="Q13" t="s">
        <v>4292</v>
      </c>
      <c r="R13" t="s">
        <v>4293</v>
      </c>
      <c r="S13" t="s">
        <v>17</v>
      </c>
      <c r="U13" t="s">
        <v>4256</v>
      </c>
      <c r="V13" t="s">
        <v>4294</v>
      </c>
      <c r="W13" t="s">
        <v>4257</v>
      </c>
      <c r="X13" t="s">
        <v>19</v>
      </c>
    </row>
    <row r="14" spans="2:33" x14ac:dyDescent="0.45">
      <c r="B14" t="s">
        <v>4295</v>
      </c>
      <c r="C14">
        <v>8.26708</v>
      </c>
      <c r="D14">
        <v>50.6</v>
      </c>
      <c r="E14">
        <v>0.99724000000000002</v>
      </c>
      <c r="H14" t="s">
        <v>4268</v>
      </c>
      <c r="I14" t="s">
        <v>27</v>
      </c>
      <c r="J14">
        <v>2.1014312133035118E-2</v>
      </c>
      <c r="K14" t="s">
        <v>14</v>
      </c>
      <c r="P14" t="s">
        <v>4256</v>
      </c>
      <c r="Q14" t="s">
        <v>4296</v>
      </c>
      <c r="R14" t="s">
        <v>4297</v>
      </c>
      <c r="S14" t="s">
        <v>17</v>
      </c>
      <c r="U14" t="s">
        <v>4256</v>
      </c>
      <c r="V14" t="s">
        <v>4298</v>
      </c>
      <c r="W14" t="s">
        <v>4257</v>
      </c>
      <c r="X14" t="s">
        <v>19</v>
      </c>
    </row>
    <row r="15" spans="2:33" x14ac:dyDescent="0.45">
      <c r="B15" t="s">
        <v>4299</v>
      </c>
      <c r="C15">
        <v>5.094309</v>
      </c>
      <c r="D15">
        <v>61.600000000000009</v>
      </c>
      <c r="E15">
        <v>0.99663999999999997</v>
      </c>
      <c r="H15" t="s">
        <v>4268</v>
      </c>
      <c r="I15" t="s">
        <v>36</v>
      </c>
      <c r="J15">
        <v>2.1014312133035118E-2</v>
      </c>
      <c r="K15" t="s">
        <v>14</v>
      </c>
      <c r="P15" t="s">
        <v>4256</v>
      </c>
      <c r="Q15" t="s">
        <v>4300</v>
      </c>
      <c r="R15" t="s">
        <v>4301</v>
      </c>
      <c r="S15" t="s">
        <v>17</v>
      </c>
      <c r="U15" t="s">
        <v>4256</v>
      </c>
      <c r="V15" t="s">
        <v>4298</v>
      </c>
      <c r="W15" t="s">
        <v>4302</v>
      </c>
      <c r="X15" t="s">
        <v>19</v>
      </c>
    </row>
    <row r="16" spans="2:33" x14ac:dyDescent="0.45">
      <c r="B16" t="s">
        <v>4303</v>
      </c>
      <c r="C16">
        <v>1.6981030000000001</v>
      </c>
      <c r="D16">
        <v>25.3</v>
      </c>
      <c r="E16">
        <v>0.99861999999999995</v>
      </c>
      <c r="H16" t="s">
        <v>4272</v>
      </c>
      <c r="I16" t="s">
        <v>13</v>
      </c>
      <c r="J16">
        <v>1.4957046650590057E-2</v>
      </c>
      <c r="K16" t="s">
        <v>14</v>
      </c>
      <c r="P16" t="s">
        <v>4256</v>
      </c>
      <c r="Q16" t="s">
        <v>4304</v>
      </c>
      <c r="R16" t="s">
        <v>4305</v>
      </c>
      <c r="S16" t="s">
        <v>17</v>
      </c>
      <c r="U16" t="s">
        <v>4256</v>
      </c>
      <c r="V16" t="s">
        <v>4306</v>
      </c>
      <c r="W16" t="s">
        <v>4257</v>
      </c>
      <c r="X16" t="s">
        <v>19</v>
      </c>
    </row>
    <row r="17" spans="2:24" x14ac:dyDescent="0.45">
      <c r="B17" t="s">
        <v>4307</v>
      </c>
      <c r="C17">
        <v>5.5858650000000001</v>
      </c>
      <c r="D17">
        <v>68.2</v>
      </c>
      <c r="E17">
        <v>0.99628000000000005</v>
      </c>
      <c r="H17" t="s">
        <v>4272</v>
      </c>
      <c r="I17" t="s">
        <v>27</v>
      </c>
      <c r="J17">
        <v>1.4957046650590057E-2</v>
      </c>
      <c r="K17" t="s">
        <v>14</v>
      </c>
      <c r="P17" t="s">
        <v>4256</v>
      </c>
      <c r="Q17" t="s">
        <v>4308</v>
      </c>
      <c r="R17" t="s">
        <v>4309</v>
      </c>
      <c r="S17" t="s">
        <v>17</v>
      </c>
      <c r="U17" t="s">
        <v>4256</v>
      </c>
      <c r="V17" t="s">
        <v>4306</v>
      </c>
      <c r="W17" t="s">
        <v>4302</v>
      </c>
      <c r="X17" t="s">
        <v>19</v>
      </c>
    </row>
    <row r="18" spans="2:24" x14ac:dyDescent="0.45">
      <c r="B18" t="s">
        <v>4310</v>
      </c>
      <c r="C18">
        <v>14.836056000000001</v>
      </c>
      <c r="D18">
        <v>29.700000000000003</v>
      </c>
      <c r="E18">
        <v>0.99838000000000005</v>
      </c>
      <c r="H18" t="s">
        <v>4272</v>
      </c>
      <c r="I18" t="s">
        <v>36</v>
      </c>
      <c r="J18">
        <v>1.4957046650590057E-2</v>
      </c>
      <c r="K18" t="s">
        <v>14</v>
      </c>
      <c r="P18" t="s">
        <v>4256</v>
      </c>
      <c r="Q18" t="s">
        <v>4311</v>
      </c>
      <c r="R18" t="s">
        <v>4312</v>
      </c>
      <c r="S18" t="s">
        <v>17</v>
      </c>
      <c r="U18" t="s">
        <v>4256</v>
      </c>
      <c r="V18" t="s">
        <v>4313</v>
      </c>
      <c r="W18" t="s">
        <v>4257</v>
      </c>
      <c r="X18" t="s">
        <v>19</v>
      </c>
    </row>
    <row r="19" spans="2:24" x14ac:dyDescent="0.45">
      <c r="B19" t="s">
        <v>4314</v>
      </c>
      <c r="C19">
        <v>2.6812150000000003</v>
      </c>
      <c r="D19">
        <v>79.2</v>
      </c>
      <c r="E19">
        <v>0.99568000000000001</v>
      </c>
      <c r="H19" t="s">
        <v>4276</v>
      </c>
      <c r="I19" t="s">
        <v>13</v>
      </c>
      <c r="J19">
        <v>9.2817127331105091E-3</v>
      </c>
      <c r="K19" t="s">
        <v>14</v>
      </c>
      <c r="P19" t="s">
        <v>4256</v>
      </c>
      <c r="Q19" t="s">
        <v>4315</v>
      </c>
      <c r="R19" t="s">
        <v>4316</v>
      </c>
      <c r="S19" t="s">
        <v>17</v>
      </c>
      <c r="U19" t="s">
        <v>4256</v>
      </c>
      <c r="V19" t="s">
        <v>4313</v>
      </c>
      <c r="W19" t="s">
        <v>4302</v>
      </c>
      <c r="X19" t="s">
        <v>19</v>
      </c>
    </row>
    <row r="20" spans="2:24" x14ac:dyDescent="0.45">
      <c r="B20" t="s">
        <v>4317</v>
      </c>
      <c r="C20">
        <v>2.1896590000000002</v>
      </c>
      <c r="D20">
        <v>127.60000000000001</v>
      </c>
      <c r="E20">
        <v>0.99304000000000003</v>
      </c>
      <c r="H20" t="s">
        <v>4276</v>
      </c>
      <c r="I20" t="s">
        <v>27</v>
      </c>
      <c r="J20">
        <v>9.2817127331105091E-3</v>
      </c>
      <c r="K20" t="s">
        <v>14</v>
      </c>
      <c r="P20" t="s">
        <v>4256</v>
      </c>
      <c r="Q20" t="s">
        <v>4318</v>
      </c>
      <c r="R20" t="s">
        <v>4319</v>
      </c>
      <c r="S20" t="s">
        <v>17</v>
      </c>
      <c r="U20" t="s">
        <v>4256</v>
      </c>
      <c r="V20" t="s">
        <v>4320</v>
      </c>
      <c r="W20" t="s">
        <v>4302</v>
      </c>
      <c r="X20" t="s">
        <v>19</v>
      </c>
    </row>
    <row r="21" spans="2:24" x14ac:dyDescent="0.45">
      <c r="B21" t="s">
        <v>4321</v>
      </c>
      <c r="C21">
        <v>2.9493359999999997</v>
      </c>
      <c r="D21">
        <v>121.00000000000001</v>
      </c>
      <c r="E21">
        <v>0.99339999999999995</v>
      </c>
      <c r="H21" t="s">
        <v>4276</v>
      </c>
      <c r="I21" t="s">
        <v>36</v>
      </c>
      <c r="J21">
        <v>9.2817127331105091E-3</v>
      </c>
      <c r="K21" t="s">
        <v>14</v>
      </c>
      <c r="P21" t="s">
        <v>4256</v>
      </c>
      <c r="Q21" t="s">
        <v>4322</v>
      </c>
      <c r="R21" t="s">
        <v>4323</v>
      </c>
      <c r="S21" t="s">
        <v>17</v>
      </c>
      <c r="U21" t="s">
        <v>4256</v>
      </c>
      <c r="V21" t="s">
        <v>4324</v>
      </c>
      <c r="W21" t="s">
        <v>4302</v>
      </c>
      <c r="X21" t="s">
        <v>19</v>
      </c>
    </row>
    <row r="22" spans="2:24" x14ac:dyDescent="0.45">
      <c r="B22" t="s">
        <v>4325</v>
      </c>
      <c r="C22">
        <v>0.98311199999999999</v>
      </c>
      <c r="D22">
        <v>39.6</v>
      </c>
      <c r="E22">
        <v>0.99783999999999995</v>
      </c>
      <c r="H22" t="s">
        <v>4280</v>
      </c>
      <c r="I22" t="s">
        <v>13</v>
      </c>
      <c r="J22">
        <v>1.9711662984737781E-3</v>
      </c>
      <c r="K22" t="s">
        <v>14</v>
      </c>
      <c r="P22" t="s">
        <v>4256</v>
      </c>
      <c r="Q22" t="s">
        <v>4326</v>
      </c>
      <c r="R22" t="s">
        <v>4327</v>
      </c>
      <c r="S22" t="s">
        <v>17</v>
      </c>
      <c r="U22" t="s">
        <v>4256</v>
      </c>
      <c r="V22" t="s">
        <v>4328</v>
      </c>
      <c r="W22" t="s">
        <v>4302</v>
      </c>
      <c r="X22" t="s">
        <v>19</v>
      </c>
    </row>
    <row r="23" spans="2:24" x14ac:dyDescent="0.45">
      <c r="B23" t="s">
        <v>4329</v>
      </c>
      <c r="C23">
        <v>5.3624300000000007</v>
      </c>
      <c r="D23">
        <v>60.500000000000007</v>
      </c>
      <c r="E23">
        <v>0.99670000000000003</v>
      </c>
      <c r="H23" t="s">
        <v>4280</v>
      </c>
      <c r="I23" t="s">
        <v>27</v>
      </c>
      <c r="J23">
        <v>1.9711662984737781E-3</v>
      </c>
      <c r="K23" t="s">
        <v>14</v>
      </c>
      <c r="P23" t="s">
        <v>4256</v>
      </c>
      <c r="Q23" t="s">
        <v>4330</v>
      </c>
      <c r="R23" t="s">
        <v>4331</v>
      </c>
      <c r="S23" t="s">
        <v>17</v>
      </c>
      <c r="U23" t="s">
        <v>4256</v>
      </c>
      <c r="V23" t="s">
        <v>4328</v>
      </c>
      <c r="W23" t="s">
        <v>4257</v>
      </c>
      <c r="X23" t="s">
        <v>17</v>
      </c>
    </row>
    <row r="24" spans="2:24" x14ac:dyDescent="0.45">
      <c r="B24" t="s">
        <v>4332</v>
      </c>
      <c r="C24">
        <v>5.094309</v>
      </c>
      <c r="D24">
        <v>77</v>
      </c>
      <c r="E24">
        <v>0.99580000000000002</v>
      </c>
      <c r="H24" t="s">
        <v>4280</v>
      </c>
      <c r="I24" t="s">
        <v>36</v>
      </c>
      <c r="J24">
        <v>1.9711662984737781E-3</v>
      </c>
      <c r="K24" t="s">
        <v>14</v>
      </c>
      <c r="P24" t="s">
        <v>4256</v>
      </c>
      <c r="Q24" t="s">
        <v>4333</v>
      </c>
      <c r="R24" t="s">
        <v>4334</v>
      </c>
      <c r="S24" t="s">
        <v>17</v>
      </c>
      <c r="U24" t="s">
        <v>4256</v>
      </c>
      <c r="V24" t="s">
        <v>4335</v>
      </c>
      <c r="W24" t="s">
        <v>4302</v>
      </c>
      <c r="X24" t="s">
        <v>19</v>
      </c>
    </row>
    <row r="25" spans="2:24" x14ac:dyDescent="0.45">
      <c r="B25" t="s">
        <v>4336</v>
      </c>
      <c r="C25">
        <v>3.8877620000000004</v>
      </c>
      <c r="D25">
        <v>134.20000000000002</v>
      </c>
      <c r="E25">
        <v>0.99268000000000001</v>
      </c>
      <c r="H25" t="s">
        <v>4284</v>
      </c>
      <c r="I25" t="s">
        <v>13</v>
      </c>
      <c r="J25">
        <v>5.4999851048952456E-2</v>
      </c>
      <c r="K25" t="s">
        <v>14</v>
      </c>
      <c r="P25" t="s">
        <v>4256</v>
      </c>
      <c r="Q25" t="s">
        <v>4337</v>
      </c>
      <c r="R25" t="s">
        <v>4338</v>
      </c>
      <c r="S25" t="s">
        <v>17</v>
      </c>
      <c r="U25" t="s">
        <v>4256</v>
      </c>
      <c r="V25" t="s">
        <v>4335</v>
      </c>
      <c r="W25" t="s">
        <v>4257</v>
      </c>
      <c r="X25" t="s">
        <v>17</v>
      </c>
    </row>
    <row r="26" spans="2:24" x14ac:dyDescent="0.45">
      <c r="B26" t="s">
        <v>4339</v>
      </c>
      <c r="C26">
        <v>9.7864339999999999</v>
      </c>
      <c r="D26">
        <v>16.5</v>
      </c>
      <c r="E26">
        <v>0.99909999999999999</v>
      </c>
      <c r="H26" t="s">
        <v>4284</v>
      </c>
      <c r="I26" t="s">
        <v>27</v>
      </c>
      <c r="J26">
        <v>5.4999851048952456E-2</v>
      </c>
      <c r="K26" t="s">
        <v>14</v>
      </c>
      <c r="P26" t="s">
        <v>4256</v>
      </c>
      <c r="Q26" t="s">
        <v>4340</v>
      </c>
      <c r="R26" t="s">
        <v>4341</v>
      </c>
      <c r="S26" t="s">
        <v>17</v>
      </c>
      <c r="U26" t="s">
        <v>4256</v>
      </c>
      <c r="V26" t="s">
        <v>4342</v>
      </c>
      <c r="W26" t="s">
        <v>4261</v>
      </c>
      <c r="X26" t="s">
        <v>19</v>
      </c>
    </row>
    <row r="27" spans="2:24" x14ac:dyDescent="0.45">
      <c r="B27" t="s">
        <v>4343</v>
      </c>
      <c r="C27">
        <v>1.6981030000000001</v>
      </c>
      <c r="D27">
        <v>71.5</v>
      </c>
      <c r="E27">
        <v>0.99609999999999999</v>
      </c>
      <c r="H27" t="s">
        <v>4284</v>
      </c>
      <c r="I27" t="s">
        <v>36</v>
      </c>
      <c r="J27">
        <v>5.4999851048952456E-2</v>
      </c>
      <c r="K27" t="s">
        <v>14</v>
      </c>
      <c r="P27" t="s">
        <v>4256</v>
      </c>
      <c r="Q27" t="s">
        <v>4344</v>
      </c>
      <c r="R27" t="s">
        <v>4345</v>
      </c>
      <c r="S27" t="s">
        <v>17</v>
      </c>
      <c r="U27" t="s">
        <v>4256</v>
      </c>
      <c r="V27" t="s">
        <v>4346</v>
      </c>
      <c r="W27" t="s">
        <v>4261</v>
      </c>
      <c r="X27" t="s">
        <v>19</v>
      </c>
    </row>
    <row r="28" spans="2:24" x14ac:dyDescent="0.45">
      <c r="B28" t="s">
        <v>4347</v>
      </c>
      <c r="C28">
        <v>2.6812150000000003</v>
      </c>
      <c r="D28">
        <v>91.300000000000011</v>
      </c>
      <c r="E28">
        <v>0.99502000000000002</v>
      </c>
      <c r="H28" t="s">
        <v>4288</v>
      </c>
      <c r="I28" t="s">
        <v>13</v>
      </c>
      <c r="J28">
        <v>0.14079546528895878</v>
      </c>
      <c r="K28" t="s">
        <v>14</v>
      </c>
      <c r="P28" t="s">
        <v>4256</v>
      </c>
      <c r="Q28" t="s">
        <v>4348</v>
      </c>
      <c r="R28" t="s">
        <v>4349</v>
      </c>
      <c r="S28" t="s">
        <v>17</v>
      </c>
      <c r="U28" t="s">
        <v>4256</v>
      </c>
      <c r="V28" t="s">
        <v>4350</v>
      </c>
      <c r="W28" t="s">
        <v>4261</v>
      </c>
      <c r="X28" t="s">
        <v>19</v>
      </c>
    </row>
    <row r="29" spans="2:24" x14ac:dyDescent="0.45">
      <c r="B29" t="s">
        <v>4351</v>
      </c>
      <c r="C29">
        <v>7.2839679999999998</v>
      </c>
      <c r="D29">
        <v>222.20000000000002</v>
      </c>
      <c r="E29">
        <v>0.98787999999999998</v>
      </c>
      <c r="H29" t="s">
        <v>4288</v>
      </c>
      <c r="I29" t="s">
        <v>27</v>
      </c>
      <c r="J29">
        <v>0.14079546528895878</v>
      </c>
      <c r="K29" t="s">
        <v>14</v>
      </c>
      <c r="P29" t="s">
        <v>4256</v>
      </c>
      <c r="Q29" t="s">
        <v>4352</v>
      </c>
      <c r="R29" t="s">
        <v>4257</v>
      </c>
      <c r="S29" t="s">
        <v>17</v>
      </c>
      <c r="U29" t="s">
        <v>4256</v>
      </c>
      <c r="V29" t="s">
        <v>4353</v>
      </c>
      <c r="W29" t="s">
        <v>4261</v>
      </c>
      <c r="X29" t="s">
        <v>19</v>
      </c>
    </row>
    <row r="30" spans="2:24" x14ac:dyDescent="0.45">
      <c r="B30" t="s">
        <v>4354</v>
      </c>
      <c r="C30">
        <v>1.6981030000000001</v>
      </c>
      <c r="D30">
        <v>105.60000000000001</v>
      </c>
      <c r="E30">
        <v>0.99424000000000001</v>
      </c>
      <c r="H30" t="s">
        <v>4288</v>
      </c>
      <c r="I30" t="s">
        <v>36</v>
      </c>
      <c r="J30">
        <v>0.14079546528895878</v>
      </c>
      <c r="K30" t="s">
        <v>14</v>
      </c>
      <c r="P30" t="s">
        <v>4256</v>
      </c>
      <c r="Q30" t="s">
        <v>4355</v>
      </c>
      <c r="R30" t="s">
        <v>4261</v>
      </c>
      <c r="S30" t="s">
        <v>17</v>
      </c>
      <c r="U30" t="s">
        <v>4256</v>
      </c>
      <c r="V30" t="s">
        <v>4356</v>
      </c>
      <c r="W30" t="s">
        <v>4261</v>
      </c>
      <c r="X30" t="s">
        <v>19</v>
      </c>
    </row>
    <row r="31" spans="2:24" x14ac:dyDescent="0.45">
      <c r="B31" t="s">
        <v>4357</v>
      </c>
      <c r="C31">
        <v>5.094309</v>
      </c>
      <c r="D31">
        <v>55.000000000000007</v>
      </c>
      <c r="E31">
        <v>0.997</v>
      </c>
      <c r="H31" t="s">
        <v>4292</v>
      </c>
      <c r="I31" t="s">
        <v>13</v>
      </c>
      <c r="J31">
        <v>8.7581994018226375E-2</v>
      </c>
      <c r="K31" t="s">
        <v>14</v>
      </c>
      <c r="P31" t="s">
        <v>4256</v>
      </c>
      <c r="Q31" t="s">
        <v>4358</v>
      </c>
      <c r="R31" t="s">
        <v>4265</v>
      </c>
      <c r="S31" t="s">
        <v>17</v>
      </c>
      <c r="U31" t="s">
        <v>4256</v>
      </c>
      <c r="V31" t="s">
        <v>4359</v>
      </c>
      <c r="W31" t="s">
        <v>4261</v>
      </c>
      <c r="X31" t="s">
        <v>19</v>
      </c>
    </row>
    <row r="32" spans="2:24" x14ac:dyDescent="0.45">
      <c r="B32" t="s">
        <v>4360</v>
      </c>
      <c r="C32">
        <v>3.8877620000000004</v>
      </c>
      <c r="D32">
        <v>64.900000000000006</v>
      </c>
      <c r="E32">
        <v>0.99646000000000001</v>
      </c>
      <c r="H32" t="s">
        <v>4292</v>
      </c>
      <c r="I32" t="s">
        <v>27</v>
      </c>
      <c r="J32">
        <v>8.7581994018226375E-2</v>
      </c>
      <c r="K32" t="s">
        <v>14</v>
      </c>
      <c r="P32" t="s">
        <v>4256</v>
      </c>
      <c r="Q32" t="s">
        <v>4361</v>
      </c>
      <c r="R32" t="s">
        <v>4269</v>
      </c>
      <c r="S32" t="s">
        <v>17</v>
      </c>
      <c r="U32" t="s">
        <v>4256</v>
      </c>
      <c r="V32" t="s">
        <v>4362</v>
      </c>
      <c r="W32" t="s">
        <v>4261</v>
      </c>
      <c r="X32" t="s">
        <v>19</v>
      </c>
    </row>
    <row r="33" spans="2:24" x14ac:dyDescent="0.45">
      <c r="B33" t="s">
        <v>4363</v>
      </c>
      <c r="C33">
        <v>2.6812150000000003</v>
      </c>
      <c r="D33">
        <v>60.500000000000007</v>
      </c>
      <c r="E33">
        <v>0.99670000000000003</v>
      </c>
      <c r="H33" t="s">
        <v>4292</v>
      </c>
      <c r="I33" t="s">
        <v>36</v>
      </c>
      <c r="J33">
        <v>8.7581994018226375E-2</v>
      </c>
      <c r="K33" t="s">
        <v>14</v>
      </c>
      <c r="P33" t="s">
        <v>4256</v>
      </c>
      <c r="Q33" t="s">
        <v>4364</v>
      </c>
      <c r="R33" t="s">
        <v>4273</v>
      </c>
      <c r="S33" t="s">
        <v>17</v>
      </c>
      <c r="U33" t="s">
        <v>4256</v>
      </c>
      <c r="V33" t="s">
        <v>4365</v>
      </c>
      <c r="W33" t="s">
        <v>4261</v>
      </c>
      <c r="X33" t="s">
        <v>19</v>
      </c>
    </row>
    <row r="34" spans="2:24" x14ac:dyDescent="0.45">
      <c r="B34" t="s">
        <v>4366</v>
      </c>
      <c r="C34">
        <v>3.3962060000000003</v>
      </c>
      <c r="D34">
        <v>49.500000000000007</v>
      </c>
      <c r="E34">
        <v>0.99729999999999996</v>
      </c>
      <c r="H34" t="s">
        <v>4296</v>
      </c>
      <c r="I34" t="s">
        <v>13</v>
      </c>
      <c r="J34">
        <v>3.8799591828759243E-2</v>
      </c>
      <c r="K34" t="s">
        <v>14</v>
      </c>
      <c r="P34" t="s">
        <v>4256</v>
      </c>
      <c r="Q34" t="s">
        <v>4367</v>
      </c>
      <c r="R34" t="s">
        <v>4277</v>
      </c>
      <c r="S34" t="s">
        <v>17</v>
      </c>
      <c r="U34" t="s">
        <v>4256</v>
      </c>
      <c r="V34" t="s">
        <v>4368</v>
      </c>
      <c r="W34" t="s">
        <v>4261</v>
      </c>
      <c r="X34" t="s">
        <v>19</v>
      </c>
    </row>
    <row r="35" spans="2:24" x14ac:dyDescent="0.45">
      <c r="B35" t="s">
        <v>4369</v>
      </c>
      <c r="C35">
        <v>1</v>
      </c>
      <c r="D35">
        <v>459.8</v>
      </c>
      <c r="E35">
        <v>0.97492000000000001</v>
      </c>
      <c r="H35" t="s">
        <v>4296</v>
      </c>
      <c r="I35" t="s">
        <v>27</v>
      </c>
      <c r="J35">
        <v>3.8799591828759243E-2</v>
      </c>
      <c r="K35" t="s">
        <v>14</v>
      </c>
      <c r="P35" t="s">
        <v>4256</v>
      </c>
      <c r="Q35" t="s">
        <v>4370</v>
      </c>
      <c r="R35" t="s">
        <v>4281</v>
      </c>
      <c r="S35" t="s">
        <v>17</v>
      </c>
      <c r="U35" t="s">
        <v>4256</v>
      </c>
      <c r="V35" t="s">
        <v>4371</v>
      </c>
      <c r="W35" t="s">
        <v>4261</v>
      </c>
      <c r="X35" t="s">
        <v>19</v>
      </c>
    </row>
    <row r="36" spans="2:24" x14ac:dyDescent="0.45">
      <c r="B36" t="s">
        <v>4372</v>
      </c>
      <c r="C36">
        <v>4.6474389999999994</v>
      </c>
      <c r="D36">
        <v>36.300000000000004</v>
      </c>
      <c r="E36">
        <v>0.99802000000000002</v>
      </c>
      <c r="H36" t="s">
        <v>4296</v>
      </c>
      <c r="I36" t="s">
        <v>36</v>
      </c>
      <c r="J36">
        <v>3.8799591828759243E-2</v>
      </c>
      <c r="K36" t="s">
        <v>14</v>
      </c>
      <c r="P36" t="s">
        <v>4256</v>
      </c>
      <c r="Q36" t="s">
        <v>4373</v>
      </c>
      <c r="R36" t="s">
        <v>4285</v>
      </c>
      <c r="S36" t="s">
        <v>17</v>
      </c>
      <c r="U36" t="s">
        <v>4256</v>
      </c>
      <c r="V36" t="s">
        <v>4374</v>
      </c>
      <c r="W36" t="s">
        <v>4261</v>
      </c>
      <c r="X36" t="s">
        <v>19</v>
      </c>
    </row>
    <row r="37" spans="2:24" x14ac:dyDescent="0.45">
      <c r="B37" t="s">
        <v>4375</v>
      </c>
      <c r="C37">
        <v>0.49155599999999999</v>
      </c>
      <c r="D37">
        <v>118.80000000000001</v>
      </c>
      <c r="E37">
        <v>0.99351999999999996</v>
      </c>
      <c r="H37" t="s">
        <v>4300</v>
      </c>
      <c r="I37" t="s">
        <v>13</v>
      </c>
      <c r="J37">
        <v>6.1592649432204299E-2</v>
      </c>
      <c r="K37" t="s">
        <v>14</v>
      </c>
      <c r="P37" t="s">
        <v>4256</v>
      </c>
      <c r="Q37" t="s">
        <v>4376</v>
      </c>
      <c r="R37" t="s">
        <v>4289</v>
      </c>
      <c r="S37" t="s">
        <v>17</v>
      </c>
      <c r="U37" t="s">
        <v>4256</v>
      </c>
      <c r="V37" t="s">
        <v>4374</v>
      </c>
      <c r="W37" t="s">
        <v>4377</v>
      </c>
      <c r="X37" t="s">
        <v>19</v>
      </c>
    </row>
    <row r="38" spans="2:24" x14ac:dyDescent="0.45">
      <c r="B38" t="s">
        <v>4378</v>
      </c>
      <c r="C38">
        <v>6.0774199999999992</v>
      </c>
      <c r="D38">
        <v>53.900000000000006</v>
      </c>
      <c r="E38">
        <v>0.99705999999999995</v>
      </c>
      <c r="H38" t="s">
        <v>4300</v>
      </c>
      <c r="I38" t="s">
        <v>27</v>
      </c>
      <c r="J38">
        <v>6.1592649432204299E-2</v>
      </c>
      <c r="K38" t="s">
        <v>14</v>
      </c>
      <c r="P38" t="s">
        <v>4256</v>
      </c>
      <c r="Q38" t="s">
        <v>4379</v>
      </c>
      <c r="R38" t="s">
        <v>4293</v>
      </c>
      <c r="S38" t="s">
        <v>17</v>
      </c>
      <c r="U38" t="s">
        <v>4256</v>
      </c>
      <c r="V38" t="s">
        <v>4380</v>
      </c>
      <c r="W38" t="s">
        <v>4261</v>
      </c>
      <c r="X38" t="s">
        <v>19</v>
      </c>
    </row>
    <row r="39" spans="2:24" x14ac:dyDescent="0.45">
      <c r="B39" t="s">
        <v>4381</v>
      </c>
      <c r="C39">
        <v>7.0605329999999995</v>
      </c>
      <c r="D39">
        <v>61.600000000000009</v>
      </c>
      <c r="E39">
        <v>0.99663999999999997</v>
      </c>
      <c r="H39" t="s">
        <v>4300</v>
      </c>
      <c r="I39" t="s">
        <v>36</v>
      </c>
      <c r="J39">
        <v>6.1592649432204299E-2</v>
      </c>
      <c r="K39" t="s">
        <v>14</v>
      </c>
      <c r="P39" t="s">
        <v>4256</v>
      </c>
      <c r="Q39" t="s">
        <v>4382</v>
      </c>
      <c r="R39" t="s">
        <v>4297</v>
      </c>
      <c r="S39" t="s">
        <v>17</v>
      </c>
      <c r="U39" t="s">
        <v>4256</v>
      </c>
      <c r="V39" t="s">
        <v>4380</v>
      </c>
      <c r="W39" t="s">
        <v>4377</v>
      </c>
      <c r="X39" t="s">
        <v>19</v>
      </c>
    </row>
    <row r="40" spans="2:24" x14ac:dyDescent="0.45">
      <c r="B40" t="s">
        <v>4383</v>
      </c>
      <c r="C40">
        <v>0</v>
      </c>
      <c r="D40">
        <v>46.2</v>
      </c>
      <c r="E40">
        <v>0.99748000000000003</v>
      </c>
      <c r="H40" t="s">
        <v>4304</v>
      </c>
      <c r="I40" t="s">
        <v>13</v>
      </c>
      <c r="J40">
        <v>2.98510399758487E-3</v>
      </c>
      <c r="K40" t="s">
        <v>14</v>
      </c>
      <c r="P40" t="s">
        <v>4256</v>
      </c>
      <c r="Q40" t="s">
        <v>4384</v>
      </c>
      <c r="R40" t="s">
        <v>4301</v>
      </c>
      <c r="S40" t="s">
        <v>17</v>
      </c>
      <c r="U40" t="s">
        <v>4256</v>
      </c>
      <c r="V40" t="s">
        <v>4385</v>
      </c>
      <c r="W40" t="s">
        <v>4261</v>
      </c>
      <c r="X40" t="s">
        <v>19</v>
      </c>
    </row>
    <row r="41" spans="2:24" x14ac:dyDescent="0.45">
      <c r="B41" t="s">
        <v>4386</v>
      </c>
      <c r="C41">
        <v>0.98311199999999999</v>
      </c>
      <c r="D41">
        <v>58.300000000000004</v>
      </c>
      <c r="E41">
        <v>0.99682000000000004</v>
      </c>
      <c r="H41" t="s">
        <v>4304</v>
      </c>
      <c r="I41" t="s">
        <v>27</v>
      </c>
      <c r="J41">
        <v>2.98510399758487E-3</v>
      </c>
      <c r="K41" t="s">
        <v>14</v>
      </c>
      <c r="P41" t="s">
        <v>4256</v>
      </c>
      <c r="Q41" t="s">
        <v>4387</v>
      </c>
      <c r="R41" t="s">
        <v>4305</v>
      </c>
      <c r="S41" t="s">
        <v>17</v>
      </c>
      <c r="U41" t="s">
        <v>4256</v>
      </c>
      <c r="V41" t="s">
        <v>4385</v>
      </c>
      <c r="W41" t="s">
        <v>4377</v>
      </c>
      <c r="X41" t="s">
        <v>19</v>
      </c>
    </row>
    <row r="42" spans="2:24" x14ac:dyDescent="0.45">
      <c r="B42" t="s">
        <v>4388</v>
      </c>
      <c r="C42">
        <v>0.98311199999999999</v>
      </c>
      <c r="D42">
        <v>26.400000000000002</v>
      </c>
      <c r="E42">
        <v>0.99856</v>
      </c>
      <c r="H42" t="s">
        <v>4304</v>
      </c>
      <c r="I42" t="s">
        <v>36</v>
      </c>
      <c r="J42">
        <v>2.98510399758487E-3</v>
      </c>
      <c r="K42" t="s">
        <v>14</v>
      </c>
      <c r="P42" t="s">
        <v>4256</v>
      </c>
      <c r="Q42" t="s">
        <v>4389</v>
      </c>
      <c r="R42" t="s">
        <v>4309</v>
      </c>
      <c r="S42" t="s">
        <v>17</v>
      </c>
      <c r="U42" t="s">
        <v>4256</v>
      </c>
      <c r="V42" t="s">
        <v>4390</v>
      </c>
      <c r="W42" t="s">
        <v>4377</v>
      </c>
      <c r="X42" t="s">
        <v>19</v>
      </c>
    </row>
    <row r="43" spans="2:24" x14ac:dyDescent="0.45">
      <c r="B43" t="s">
        <v>4391</v>
      </c>
      <c r="C43">
        <v>6.5689769999999985</v>
      </c>
      <c r="D43">
        <v>79.2</v>
      </c>
      <c r="E43">
        <v>0.99568000000000001</v>
      </c>
      <c r="H43" t="s">
        <v>4308</v>
      </c>
      <c r="I43" t="s">
        <v>13</v>
      </c>
      <c r="J43">
        <v>1.8962654108489418E-2</v>
      </c>
      <c r="K43" t="s">
        <v>14</v>
      </c>
      <c r="P43" t="s">
        <v>4256</v>
      </c>
      <c r="Q43" t="s">
        <v>4392</v>
      </c>
      <c r="R43" t="s">
        <v>4312</v>
      </c>
      <c r="S43" t="s">
        <v>17</v>
      </c>
      <c r="U43" t="s">
        <v>4256</v>
      </c>
      <c r="V43" t="s">
        <v>4393</v>
      </c>
      <c r="W43" t="s">
        <v>4377</v>
      </c>
      <c r="X43" t="s">
        <v>19</v>
      </c>
    </row>
    <row r="44" spans="2:24" x14ac:dyDescent="0.45">
      <c r="H44" t="s">
        <v>4308</v>
      </c>
      <c r="I44" t="s">
        <v>27</v>
      </c>
      <c r="J44">
        <v>1.8962654108489418E-2</v>
      </c>
      <c r="K44" t="s">
        <v>14</v>
      </c>
      <c r="P44" t="s">
        <v>4256</v>
      </c>
      <c r="Q44" t="s">
        <v>4394</v>
      </c>
      <c r="R44" t="s">
        <v>4316</v>
      </c>
      <c r="S44" t="s">
        <v>17</v>
      </c>
      <c r="U44" t="s">
        <v>4256</v>
      </c>
      <c r="V44" t="s">
        <v>4395</v>
      </c>
      <c r="W44" t="s">
        <v>4377</v>
      </c>
      <c r="X44" t="s">
        <v>19</v>
      </c>
    </row>
    <row r="45" spans="2:24" x14ac:dyDescent="0.45">
      <c r="H45" t="s">
        <v>4308</v>
      </c>
      <c r="I45" t="s">
        <v>36</v>
      </c>
      <c r="J45">
        <v>1.8962654108489418E-2</v>
      </c>
      <c r="K45" t="s">
        <v>14</v>
      </c>
      <c r="P45" t="s">
        <v>4256</v>
      </c>
      <c r="Q45" t="s">
        <v>4396</v>
      </c>
      <c r="R45" t="s">
        <v>4319</v>
      </c>
      <c r="S45" t="s">
        <v>17</v>
      </c>
      <c r="U45" t="s">
        <v>4256</v>
      </c>
      <c r="V45" t="s">
        <v>4395</v>
      </c>
      <c r="W45" t="s">
        <v>4261</v>
      </c>
      <c r="X45" t="s">
        <v>17</v>
      </c>
    </row>
    <row r="46" spans="2:24" x14ac:dyDescent="0.45">
      <c r="H46" t="s">
        <v>4311</v>
      </c>
      <c r="I46" t="s">
        <v>13</v>
      </c>
      <c r="J46">
        <v>5.7774531135718059E-2</v>
      </c>
      <c r="K46" t="s">
        <v>14</v>
      </c>
      <c r="P46" t="s">
        <v>4256</v>
      </c>
      <c r="Q46" t="s">
        <v>4397</v>
      </c>
      <c r="R46" t="s">
        <v>4323</v>
      </c>
      <c r="S46" t="s">
        <v>17</v>
      </c>
      <c r="U46" t="s">
        <v>4256</v>
      </c>
      <c r="V46" t="s">
        <v>4398</v>
      </c>
      <c r="W46" t="s">
        <v>4377</v>
      </c>
      <c r="X46" t="s">
        <v>19</v>
      </c>
    </row>
    <row r="47" spans="2:24" x14ac:dyDescent="0.45">
      <c r="H47" t="s">
        <v>4311</v>
      </c>
      <c r="I47" t="s">
        <v>27</v>
      </c>
      <c r="J47">
        <v>5.7774531135718059E-2</v>
      </c>
      <c r="K47" t="s">
        <v>14</v>
      </c>
      <c r="P47" t="s">
        <v>4256</v>
      </c>
      <c r="Q47" t="s">
        <v>4399</v>
      </c>
      <c r="R47" t="s">
        <v>4327</v>
      </c>
      <c r="S47" t="s">
        <v>17</v>
      </c>
      <c r="U47" t="s">
        <v>4256</v>
      </c>
      <c r="V47" t="s">
        <v>4398</v>
      </c>
      <c r="W47" t="s">
        <v>4261</v>
      </c>
      <c r="X47" t="s">
        <v>17</v>
      </c>
    </row>
    <row r="48" spans="2:24" x14ac:dyDescent="0.45">
      <c r="H48" t="s">
        <v>4311</v>
      </c>
      <c r="I48" t="s">
        <v>36</v>
      </c>
      <c r="J48">
        <v>5.7774531135718059E-2</v>
      </c>
      <c r="K48" t="s">
        <v>14</v>
      </c>
      <c r="P48" t="s">
        <v>4256</v>
      </c>
      <c r="Q48" t="s">
        <v>4400</v>
      </c>
      <c r="R48" t="s">
        <v>4331</v>
      </c>
      <c r="S48" t="s">
        <v>17</v>
      </c>
      <c r="U48" t="s">
        <v>4256</v>
      </c>
      <c r="V48" t="s">
        <v>4401</v>
      </c>
      <c r="W48" t="s">
        <v>4265</v>
      </c>
      <c r="X48" t="s">
        <v>19</v>
      </c>
    </row>
    <row r="49" spans="8:24" x14ac:dyDescent="0.45">
      <c r="H49" t="s">
        <v>4315</v>
      </c>
      <c r="I49" t="s">
        <v>13</v>
      </c>
      <c r="J49">
        <v>3.9997308388165322E-2</v>
      </c>
      <c r="K49" t="s">
        <v>14</v>
      </c>
      <c r="P49" t="s">
        <v>4256</v>
      </c>
      <c r="Q49" t="s">
        <v>4402</v>
      </c>
      <c r="R49" t="s">
        <v>4334</v>
      </c>
      <c r="S49" t="s">
        <v>17</v>
      </c>
      <c r="U49" t="s">
        <v>4256</v>
      </c>
      <c r="V49" t="s">
        <v>4403</v>
      </c>
      <c r="W49" t="s">
        <v>4265</v>
      </c>
      <c r="X49" t="s">
        <v>19</v>
      </c>
    </row>
    <row r="50" spans="8:24" x14ac:dyDescent="0.45">
      <c r="H50" t="s">
        <v>4315</v>
      </c>
      <c r="I50" t="s">
        <v>27</v>
      </c>
      <c r="J50">
        <v>3.9997308388165322E-2</v>
      </c>
      <c r="K50" t="s">
        <v>14</v>
      </c>
      <c r="P50" t="s">
        <v>4256</v>
      </c>
      <c r="Q50" t="s">
        <v>4404</v>
      </c>
      <c r="R50" t="s">
        <v>4338</v>
      </c>
      <c r="S50" t="s">
        <v>17</v>
      </c>
      <c r="U50" t="s">
        <v>4256</v>
      </c>
      <c r="V50" t="s">
        <v>4405</v>
      </c>
      <c r="W50" t="s">
        <v>4265</v>
      </c>
      <c r="X50" t="s">
        <v>19</v>
      </c>
    </row>
    <row r="51" spans="8:24" x14ac:dyDescent="0.45">
      <c r="H51" t="s">
        <v>4315</v>
      </c>
      <c r="I51" t="s">
        <v>36</v>
      </c>
      <c r="J51">
        <v>3.9997308388165322E-2</v>
      </c>
      <c r="K51" t="s">
        <v>14</v>
      </c>
      <c r="P51" t="s">
        <v>4256</v>
      </c>
      <c r="Q51" t="s">
        <v>4406</v>
      </c>
      <c r="R51" t="s">
        <v>4341</v>
      </c>
      <c r="S51" t="s">
        <v>17</v>
      </c>
      <c r="U51" t="s">
        <v>4256</v>
      </c>
      <c r="V51" t="s">
        <v>4407</v>
      </c>
      <c r="W51" t="s">
        <v>4265</v>
      </c>
      <c r="X51" t="s">
        <v>19</v>
      </c>
    </row>
    <row r="52" spans="8:24" x14ac:dyDescent="0.45">
      <c r="H52" t="s">
        <v>4318</v>
      </c>
      <c r="I52" t="s">
        <v>13</v>
      </c>
      <c r="J52">
        <v>3.7072829096448587E-2</v>
      </c>
      <c r="K52" t="s">
        <v>14</v>
      </c>
      <c r="P52" t="s">
        <v>4256</v>
      </c>
      <c r="Q52" t="s">
        <v>4408</v>
      </c>
      <c r="R52" t="s">
        <v>4345</v>
      </c>
      <c r="S52" t="s">
        <v>17</v>
      </c>
      <c r="U52" t="s">
        <v>4256</v>
      </c>
      <c r="V52" t="s">
        <v>4409</v>
      </c>
      <c r="W52" t="s">
        <v>4265</v>
      </c>
      <c r="X52" t="s">
        <v>19</v>
      </c>
    </row>
    <row r="53" spans="8:24" x14ac:dyDescent="0.45">
      <c r="H53" t="s">
        <v>4318</v>
      </c>
      <c r="I53" t="s">
        <v>27</v>
      </c>
      <c r="J53">
        <v>3.7072829096448587E-2</v>
      </c>
      <c r="K53" t="s">
        <v>14</v>
      </c>
      <c r="P53" t="s">
        <v>4256</v>
      </c>
      <c r="Q53" t="s">
        <v>4410</v>
      </c>
      <c r="R53" t="s">
        <v>4349</v>
      </c>
      <c r="S53" t="s">
        <v>17</v>
      </c>
      <c r="U53" t="s">
        <v>4256</v>
      </c>
      <c r="V53" t="s">
        <v>4411</v>
      </c>
      <c r="W53" t="s">
        <v>4265</v>
      </c>
      <c r="X53" t="s">
        <v>19</v>
      </c>
    </row>
    <row r="54" spans="8:24" x14ac:dyDescent="0.45">
      <c r="H54" t="s">
        <v>4318</v>
      </c>
      <c r="I54" t="s">
        <v>36</v>
      </c>
      <c r="J54">
        <v>3.7072829096448587E-2</v>
      </c>
      <c r="K54" t="s">
        <v>14</v>
      </c>
      <c r="P54" t="s">
        <v>4256</v>
      </c>
      <c r="Q54" t="s">
        <v>4412</v>
      </c>
      <c r="R54" t="s">
        <v>4257</v>
      </c>
      <c r="S54" t="s">
        <v>17</v>
      </c>
      <c r="U54" t="s">
        <v>4256</v>
      </c>
      <c r="V54" t="s">
        <v>4413</v>
      </c>
      <c r="W54" t="s">
        <v>4265</v>
      </c>
      <c r="X54" t="s">
        <v>19</v>
      </c>
    </row>
    <row r="55" spans="8:24" x14ac:dyDescent="0.45">
      <c r="H55" t="s">
        <v>4322</v>
      </c>
      <c r="I55" t="s">
        <v>13</v>
      </c>
      <c r="J55">
        <v>5.8533821504819554E-2</v>
      </c>
      <c r="K55" t="s">
        <v>14</v>
      </c>
      <c r="P55" t="s">
        <v>4256</v>
      </c>
      <c r="Q55" t="s">
        <v>4414</v>
      </c>
      <c r="R55" t="s">
        <v>4261</v>
      </c>
      <c r="S55" t="s">
        <v>17</v>
      </c>
      <c r="U55" t="s">
        <v>4256</v>
      </c>
      <c r="V55" t="s">
        <v>4415</v>
      </c>
      <c r="W55" t="s">
        <v>4265</v>
      </c>
      <c r="X55" t="s">
        <v>19</v>
      </c>
    </row>
    <row r="56" spans="8:24" x14ac:dyDescent="0.45">
      <c r="H56" t="s">
        <v>4322</v>
      </c>
      <c r="I56" t="s">
        <v>27</v>
      </c>
      <c r="J56">
        <v>5.8533821504819554E-2</v>
      </c>
      <c r="K56" t="s">
        <v>14</v>
      </c>
      <c r="P56" t="s">
        <v>4256</v>
      </c>
      <c r="Q56" t="s">
        <v>4416</v>
      </c>
      <c r="R56" t="s">
        <v>4265</v>
      </c>
      <c r="S56" t="s">
        <v>17</v>
      </c>
      <c r="U56" t="s">
        <v>4256</v>
      </c>
      <c r="V56" t="s">
        <v>4417</v>
      </c>
      <c r="W56" t="s">
        <v>4265</v>
      </c>
      <c r="X56" t="s">
        <v>19</v>
      </c>
    </row>
    <row r="57" spans="8:24" x14ac:dyDescent="0.45">
      <c r="H57" t="s">
        <v>4322</v>
      </c>
      <c r="I57" t="s">
        <v>36</v>
      </c>
      <c r="J57">
        <v>5.8533821504819554E-2</v>
      </c>
      <c r="K57" t="s">
        <v>14</v>
      </c>
      <c r="P57" t="s">
        <v>4256</v>
      </c>
      <c r="Q57" t="s">
        <v>4418</v>
      </c>
      <c r="R57" t="s">
        <v>4269</v>
      </c>
      <c r="S57" t="s">
        <v>17</v>
      </c>
      <c r="U57" t="s">
        <v>4256</v>
      </c>
      <c r="V57" t="s">
        <v>4419</v>
      </c>
      <c r="W57" t="s">
        <v>4265</v>
      </c>
      <c r="X57" t="s">
        <v>19</v>
      </c>
    </row>
    <row r="58" spans="8:24" x14ac:dyDescent="0.45">
      <c r="H58" t="s">
        <v>4326</v>
      </c>
      <c r="I58" t="s">
        <v>13</v>
      </c>
      <c r="J58">
        <v>5.7069421275448021E-2</v>
      </c>
      <c r="K58" t="s">
        <v>14</v>
      </c>
      <c r="P58" t="s">
        <v>4256</v>
      </c>
      <c r="Q58" t="s">
        <v>4420</v>
      </c>
      <c r="R58" t="s">
        <v>4273</v>
      </c>
      <c r="S58" t="s">
        <v>17</v>
      </c>
      <c r="U58" t="s">
        <v>4256</v>
      </c>
      <c r="V58" t="s">
        <v>4421</v>
      </c>
      <c r="W58" t="s">
        <v>4265</v>
      </c>
      <c r="X58" t="s">
        <v>19</v>
      </c>
    </row>
    <row r="59" spans="8:24" x14ac:dyDescent="0.45">
      <c r="H59" t="s">
        <v>4326</v>
      </c>
      <c r="I59" t="s">
        <v>27</v>
      </c>
      <c r="J59">
        <v>5.7069421275448021E-2</v>
      </c>
      <c r="K59" t="s">
        <v>14</v>
      </c>
      <c r="P59" t="s">
        <v>4256</v>
      </c>
      <c r="Q59" t="s">
        <v>4422</v>
      </c>
      <c r="R59" t="s">
        <v>4277</v>
      </c>
      <c r="S59" t="s">
        <v>17</v>
      </c>
      <c r="U59" t="s">
        <v>4256</v>
      </c>
      <c r="V59" t="s">
        <v>4421</v>
      </c>
      <c r="W59" t="s">
        <v>4423</v>
      </c>
      <c r="X59" t="s">
        <v>19</v>
      </c>
    </row>
    <row r="60" spans="8:24" x14ac:dyDescent="0.45">
      <c r="H60" t="s">
        <v>4326</v>
      </c>
      <c r="I60" t="s">
        <v>36</v>
      </c>
      <c r="J60">
        <v>5.7069421275448021E-2</v>
      </c>
      <c r="K60" t="s">
        <v>14</v>
      </c>
      <c r="P60" t="s">
        <v>4256</v>
      </c>
      <c r="Q60" t="s">
        <v>4424</v>
      </c>
      <c r="R60" t="s">
        <v>4281</v>
      </c>
      <c r="S60" t="s">
        <v>17</v>
      </c>
      <c r="U60" t="s">
        <v>4256</v>
      </c>
      <c r="V60" t="s">
        <v>4425</v>
      </c>
      <c r="W60" t="s">
        <v>4265</v>
      </c>
      <c r="X60" t="s">
        <v>19</v>
      </c>
    </row>
    <row r="61" spans="8:24" x14ac:dyDescent="0.45">
      <c r="H61" t="s">
        <v>4330</v>
      </c>
      <c r="I61" t="s">
        <v>13</v>
      </c>
      <c r="J61">
        <v>4.0586503791623776E-2</v>
      </c>
      <c r="K61" t="s">
        <v>14</v>
      </c>
      <c r="P61" t="s">
        <v>4256</v>
      </c>
      <c r="Q61" t="s">
        <v>4426</v>
      </c>
      <c r="R61" t="s">
        <v>4285</v>
      </c>
      <c r="S61" t="s">
        <v>17</v>
      </c>
      <c r="U61" t="s">
        <v>4256</v>
      </c>
      <c r="V61" t="s">
        <v>4425</v>
      </c>
      <c r="W61" t="s">
        <v>4423</v>
      </c>
      <c r="X61" t="s">
        <v>19</v>
      </c>
    </row>
    <row r="62" spans="8:24" x14ac:dyDescent="0.45">
      <c r="H62" t="s">
        <v>4330</v>
      </c>
      <c r="I62" t="s">
        <v>27</v>
      </c>
      <c r="J62">
        <v>4.0586503791623776E-2</v>
      </c>
      <c r="K62" t="s">
        <v>14</v>
      </c>
      <c r="P62" t="s">
        <v>4256</v>
      </c>
      <c r="Q62" t="s">
        <v>4427</v>
      </c>
      <c r="R62" t="s">
        <v>4289</v>
      </c>
      <c r="S62" t="s">
        <v>17</v>
      </c>
      <c r="U62" t="s">
        <v>4256</v>
      </c>
      <c r="V62" t="s">
        <v>4428</v>
      </c>
      <c r="W62" t="s">
        <v>4265</v>
      </c>
      <c r="X62" t="s">
        <v>19</v>
      </c>
    </row>
    <row r="63" spans="8:24" x14ac:dyDescent="0.45">
      <c r="H63" t="s">
        <v>4330</v>
      </c>
      <c r="I63" t="s">
        <v>36</v>
      </c>
      <c r="J63">
        <v>4.0586503791623776E-2</v>
      </c>
      <c r="K63" t="s">
        <v>14</v>
      </c>
      <c r="P63" t="s">
        <v>4256</v>
      </c>
      <c r="Q63" t="s">
        <v>4429</v>
      </c>
      <c r="R63" t="s">
        <v>4293</v>
      </c>
      <c r="S63" t="s">
        <v>17</v>
      </c>
      <c r="U63" t="s">
        <v>4256</v>
      </c>
      <c r="V63" t="s">
        <v>4428</v>
      </c>
      <c r="W63" t="s">
        <v>4423</v>
      </c>
      <c r="X63" t="s">
        <v>19</v>
      </c>
    </row>
    <row r="64" spans="8:24" x14ac:dyDescent="0.45">
      <c r="H64" t="s">
        <v>4333</v>
      </c>
      <c r="I64" t="s">
        <v>13</v>
      </c>
      <c r="J64">
        <v>1.1279208920086967E-2</v>
      </c>
      <c r="K64" t="s">
        <v>14</v>
      </c>
      <c r="P64" t="s">
        <v>4256</v>
      </c>
      <c r="Q64" t="s">
        <v>4430</v>
      </c>
      <c r="R64" t="s">
        <v>4297</v>
      </c>
      <c r="S64" t="s">
        <v>17</v>
      </c>
      <c r="U64" t="s">
        <v>4256</v>
      </c>
      <c r="V64" t="s">
        <v>4431</v>
      </c>
      <c r="W64" t="s">
        <v>4423</v>
      </c>
      <c r="X64" t="s">
        <v>19</v>
      </c>
    </row>
    <row r="65" spans="8:24" x14ac:dyDescent="0.45">
      <c r="H65" t="s">
        <v>4333</v>
      </c>
      <c r="I65" t="s">
        <v>27</v>
      </c>
      <c r="J65">
        <v>1.1279208920086967E-2</v>
      </c>
      <c r="K65" t="s">
        <v>14</v>
      </c>
      <c r="P65" t="s">
        <v>4256</v>
      </c>
      <c r="Q65" t="s">
        <v>4432</v>
      </c>
      <c r="R65" t="s">
        <v>4301</v>
      </c>
      <c r="S65" t="s">
        <v>17</v>
      </c>
      <c r="U65" t="s">
        <v>4256</v>
      </c>
      <c r="V65" t="s">
        <v>4433</v>
      </c>
      <c r="W65" t="s">
        <v>4423</v>
      </c>
      <c r="X65" t="s">
        <v>19</v>
      </c>
    </row>
    <row r="66" spans="8:24" x14ac:dyDescent="0.45">
      <c r="H66" t="s">
        <v>4333</v>
      </c>
      <c r="I66" t="s">
        <v>36</v>
      </c>
      <c r="J66">
        <v>1.1279208920086967E-2</v>
      </c>
      <c r="K66" t="s">
        <v>14</v>
      </c>
      <c r="P66" t="s">
        <v>4256</v>
      </c>
      <c r="Q66" t="s">
        <v>4434</v>
      </c>
      <c r="R66" t="s">
        <v>4305</v>
      </c>
      <c r="S66" t="s">
        <v>17</v>
      </c>
      <c r="U66" t="s">
        <v>4256</v>
      </c>
      <c r="V66" t="s">
        <v>4435</v>
      </c>
      <c r="W66" t="s">
        <v>4423</v>
      </c>
      <c r="X66" t="s">
        <v>19</v>
      </c>
    </row>
    <row r="67" spans="8:24" x14ac:dyDescent="0.45">
      <c r="H67" t="s">
        <v>4337</v>
      </c>
      <c r="I67" t="s">
        <v>13</v>
      </c>
      <c r="J67">
        <v>1.5162556520179544E-2</v>
      </c>
      <c r="K67" t="s">
        <v>14</v>
      </c>
      <c r="P67" t="s">
        <v>4256</v>
      </c>
      <c r="Q67" t="s">
        <v>4436</v>
      </c>
      <c r="R67" t="s">
        <v>4309</v>
      </c>
      <c r="S67" t="s">
        <v>17</v>
      </c>
      <c r="U67" t="s">
        <v>4256</v>
      </c>
      <c r="V67" t="s">
        <v>4435</v>
      </c>
      <c r="W67" t="s">
        <v>4265</v>
      </c>
      <c r="X67" t="s">
        <v>17</v>
      </c>
    </row>
    <row r="68" spans="8:24" x14ac:dyDescent="0.45">
      <c r="H68" t="s">
        <v>4337</v>
      </c>
      <c r="I68" t="s">
        <v>27</v>
      </c>
      <c r="J68">
        <v>1.5162556520179544E-2</v>
      </c>
      <c r="K68" t="s">
        <v>14</v>
      </c>
      <c r="P68" t="s">
        <v>4256</v>
      </c>
      <c r="Q68" t="s">
        <v>4437</v>
      </c>
      <c r="R68" t="s">
        <v>4312</v>
      </c>
      <c r="S68" t="s">
        <v>17</v>
      </c>
      <c r="U68" t="s">
        <v>4256</v>
      </c>
      <c r="V68" t="s">
        <v>4438</v>
      </c>
      <c r="W68" t="s">
        <v>4423</v>
      </c>
      <c r="X68" t="s">
        <v>19</v>
      </c>
    </row>
    <row r="69" spans="8:24" x14ac:dyDescent="0.45">
      <c r="H69" t="s">
        <v>4337</v>
      </c>
      <c r="I69" t="s">
        <v>36</v>
      </c>
      <c r="J69">
        <v>1.5162556520179544E-2</v>
      </c>
      <c r="K69" t="s">
        <v>14</v>
      </c>
      <c r="P69" t="s">
        <v>4256</v>
      </c>
      <c r="Q69" t="s">
        <v>4439</v>
      </c>
      <c r="R69" t="s">
        <v>4316</v>
      </c>
      <c r="S69" t="s">
        <v>17</v>
      </c>
      <c r="U69" t="s">
        <v>4256</v>
      </c>
      <c r="V69" t="s">
        <v>4438</v>
      </c>
      <c r="W69" t="s">
        <v>4265</v>
      </c>
      <c r="X69" t="s">
        <v>17</v>
      </c>
    </row>
    <row r="70" spans="8:24" x14ac:dyDescent="0.45">
      <c r="H70" t="s">
        <v>4340</v>
      </c>
      <c r="I70" t="s">
        <v>13</v>
      </c>
      <c r="J70">
        <v>1.3940756810674821E-2</v>
      </c>
      <c r="K70" t="s">
        <v>14</v>
      </c>
      <c r="P70" t="s">
        <v>4256</v>
      </c>
      <c r="Q70" t="s">
        <v>4440</v>
      </c>
      <c r="R70" t="s">
        <v>4319</v>
      </c>
      <c r="S70" t="s">
        <v>17</v>
      </c>
      <c r="U70" t="s">
        <v>4256</v>
      </c>
      <c r="V70" t="s">
        <v>4441</v>
      </c>
      <c r="W70" t="s">
        <v>4269</v>
      </c>
      <c r="X70" t="s">
        <v>19</v>
      </c>
    </row>
    <row r="71" spans="8:24" x14ac:dyDescent="0.45">
      <c r="H71" t="s">
        <v>4340</v>
      </c>
      <c r="I71" t="s">
        <v>27</v>
      </c>
      <c r="J71">
        <v>1.3940756810674821E-2</v>
      </c>
      <c r="K71" t="s">
        <v>14</v>
      </c>
      <c r="P71" t="s">
        <v>4256</v>
      </c>
      <c r="Q71" t="s">
        <v>4442</v>
      </c>
      <c r="R71" t="s">
        <v>4323</v>
      </c>
      <c r="S71" t="s">
        <v>17</v>
      </c>
      <c r="U71" t="s">
        <v>4256</v>
      </c>
      <c r="V71" t="s">
        <v>4443</v>
      </c>
      <c r="W71" t="s">
        <v>4269</v>
      </c>
      <c r="X71" t="s">
        <v>19</v>
      </c>
    </row>
    <row r="72" spans="8:24" x14ac:dyDescent="0.45">
      <c r="H72" t="s">
        <v>4340</v>
      </c>
      <c r="I72" t="s">
        <v>36</v>
      </c>
      <c r="J72">
        <v>1.3940756810674821E-2</v>
      </c>
      <c r="K72" t="s">
        <v>14</v>
      </c>
      <c r="P72" t="s">
        <v>4256</v>
      </c>
      <c r="Q72" t="s">
        <v>4444</v>
      </c>
      <c r="R72" t="s">
        <v>4327</v>
      </c>
      <c r="S72" t="s">
        <v>17</v>
      </c>
      <c r="U72" t="s">
        <v>4256</v>
      </c>
      <c r="V72" t="s">
        <v>4445</v>
      </c>
      <c r="W72" t="s">
        <v>4269</v>
      </c>
      <c r="X72" t="s">
        <v>19</v>
      </c>
    </row>
    <row r="73" spans="8:24" x14ac:dyDescent="0.45">
      <c r="H73" t="s">
        <v>4344</v>
      </c>
      <c r="I73" t="s">
        <v>13</v>
      </c>
      <c r="J73">
        <v>0.14686629567306916</v>
      </c>
      <c r="K73" t="s">
        <v>14</v>
      </c>
      <c r="P73" t="s">
        <v>4256</v>
      </c>
      <c r="Q73" t="s">
        <v>4446</v>
      </c>
      <c r="R73" t="s">
        <v>4331</v>
      </c>
      <c r="S73" t="s">
        <v>17</v>
      </c>
      <c r="U73" t="s">
        <v>4256</v>
      </c>
      <c r="V73" t="s">
        <v>4447</v>
      </c>
      <c r="W73" t="s">
        <v>4269</v>
      </c>
      <c r="X73" t="s">
        <v>19</v>
      </c>
    </row>
    <row r="74" spans="8:24" x14ac:dyDescent="0.45">
      <c r="H74" t="s">
        <v>4344</v>
      </c>
      <c r="I74" t="s">
        <v>27</v>
      </c>
      <c r="J74">
        <v>0.14686629567306916</v>
      </c>
      <c r="K74" t="s">
        <v>14</v>
      </c>
      <c r="P74" t="s">
        <v>4256</v>
      </c>
      <c r="Q74" t="s">
        <v>4448</v>
      </c>
      <c r="R74" t="s">
        <v>4334</v>
      </c>
      <c r="S74" t="s">
        <v>17</v>
      </c>
      <c r="U74" t="s">
        <v>4256</v>
      </c>
      <c r="V74" t="s">
        <v>4449</v>
      </c>
      <c r="W74" t="s">
        <v>4269</v>
      </c>
      <c r="X74" t="s">
        <v>19</v>
      </c>
    </row>
    <row r="75" spans="8:24" x14ac:dyDescent="0.45">
      <c r="H75" t="s">
        <v>4344</v>
      </c>
      <c r="I75" t="s">
        <v>36</v>
      </c>
      <c r="J75">
        <v>0.14686629567306916</v>
      </c>
      <c r="K75" t="s">
        <v>14</v>
      </c>
      <c r="P75" t="s">
        <v>4256</v>
      </c>
      <c r="Q75" t="s">
        <v>4450</v>
      </c>
      <c r="R75" t="s">
        <v>4338</v>
      </c>
      <c r="S75" t="s">
        <v>17</v>
      </c>
      <c r="U75" t="s">
        <v>4256</v>
      </c>
      <c r="V75" t="s">
        <v>4451</v>
      </c>
      <c r="W75" t="s">
        <v>4269</v>
      </c>
      <c r="X75" t="s">
        <v>19</v>
      </c>
    </row>
    <row r="76" spans="8:24" x14ac:dyDescent="0.45">
      <c r="H76" t="s">
        <v>4348</v>
      </c>
      <c r="I76" t="s">
        <v>13</v>
      </c>
      <c r="J76">
        <v>3.1656222966063639E-3</v>
      </c>
      <c r="K76" t="s">
        <v>14</v>
      </c>
      <c r="P76" t="s">
        <v>4256</v>
      </c>
      <c r="Q76" t="s">
        <v>4452</v>
      </c>
      <c r="R76" t="s">
        <v>4341</v>
      </c>
      <c r="S76" t="s">
        <v>17</v>
      </c>
      <c r="U76" t="s">
        <v>4256</v>
      </c>
      <c r="V76" t="s">
        <v>4453</v>
      </c>
      <c r="W76" t="s">
        <v>4269</v>
      </c>
      <c r="X76" t="s">
        <v>19</v>
      </c>
    </row>
    <row r="77" spans="8:24" x14ac:dyDescent="0.45">
      <c r="H77" t="s">
        <v>4348</v>
      </c>
      <c r="I77" t="s">
        <v>27</v>
      </c>
      <c r="J77">
        <v>3.1656222966063639E-3</v>
      </c>
      <c r="K77" t="s">
        <v>14</v>
      </c>
      <c r="P77" t="s">
        <v>4256</v>
      </c>
      <c r="Q77" t="s">
        <v>4454</v>
      </c>
      <c r="R77" t="s">
        <v>4345</v>
      </c>
      <c r="S77" t="s">
        <v>17</v>
      </c>
      <c r="U77" t="s">
        <v>4256</v>
      </c>
      <c r="V77" t="s">
        <v>4455</v>
      </c>
      <c r="W77" t="s">
        <v>4269</v>
      </c>
      <c r="X77" t="s">
        <v>19</v>
      </c>
    </row>
    <row r="78" spans="8:24" x14ac:dyDescent="0.45">
      <c r="H78" t="s">
        <v>4348</v>
      </c>
      <c r="I78" t="s">
        <v>36</v>
      </c>
      <c r="J78">
        <v>3.1656222966063639E-3</v>
      </c>
      <c r="K78" t="s">
        <v>14</v>
      </c>
      <c r="P78" t="s">
        <v>4256</v>
      </c>
      <c r="Q78" t="s">
        <v>4456</v>
      </c>
      <c r="R78" t="s">
        <v>4349</v>
      </c>
      <c r="S78" t="s">
        <v>17</v>
      </c>
      <c r="U78" t="s">
        <v>4256</v>
      </c>
      <c r="V78" t="s">
        <v>4457</v>
      </c>
      <c r="W78" t="s">
        <v>4269</v>
      </c>
      <c r="X78" t="s">
        <v>19</v>
      </c>
    </row>
    <row r="79" spans="8:24" x14ac:dyDescent="0.45">
      <c r="H79" t="s">
        <v>4352</v>
      </c>
      <c r="I79" t="s">
        <v>13</v>
      </c>
      <c r="J79">
        <v>1.1038512297064125E-2</v>
      </c>
      <c r="K79" t="s">
        <v>14</v>
      </c>
      <c r="P79" t="s">
        <v>4256</v>
      </c>
      <c r="Q79" t="s">
        <v>4458</v>
      </c>
      <c r="R79" t="s">
        <v>4257</v>
      </c>
      <c r="S79" t="s">
        <v>17</v>
      </c>
      <c r="U79" t="s">
        <v>4256</v>
      </c>
      <c r="V79" t="s">
        <v>4459</v>
      </c>
      <c r="W79" t="s">
        <v>4269</v>
      </c>
      <c r="X79" t="s">
        <v>19</v>
      </c>
    </row>
    <row r="80" spans="8:24" x14ac:dyDescent="0.45">
      <c r="H80" t="s">
        <v>4352</v>
      </c>
      <c r="I80" t="s">
        <v>27</v>
      </c>
      <c r="J80">
        <v>1.1038512297064125E-2</v>
      </c>
      <c r="K80" t="s">
        <v>14</v>
      </c>
      <c r="P80" t="s">
        <v>4256</v>
      </c>
      <c r="Q80" t="s">
        <v>4460</v>
      </c>
      <c r="R80" t="s">
        <v>4261</v>
      </c>
      <c r="S80" t="s">
        <v>17</v>
      </c>
      <c r="U80" t="s">
        <v>4256</v>
      </c>
      <c r="V80" t="s">
        <v>4461</v>
      </c>
      <c r="W80" t="s">
        <v>4269</v>
      </c>
      <c r="X80" t="s">
        <v>19</v>
      </c>
    </row>
    <row r="81" spans="8:24" x14ac:dyDescent="0.45">
      <c r="H81" t="s">
        <v>4352</v>
      </c>
      <c r="I81" t="s">
        <v>36</v>
      </c>
      <c r="J81">
        <v>1.1038512297064125E-2</v>
      </c>
      <c r="K81" t="s">
        <v>14</v>
      </c>
      <c r="P81" t="s">
        <v>4256</v>
      </c>
      <c r="Q81" t="s">
        <v>4462</v>
      </c>
      <c r="R81" t="s">
        <v>4265</v>
      </c>
      <c r="S81" t="s">
        <v>17</v>
      </c>
      <c r="U81" t="s">
        <v>4256</v>
      </c>
      <c r="V81" t="s">
        <v>4461</v>
      </c>
      <c r="W81" t="s">
        <v>4463</v>
      </c>
      <c r="X81" t="s">
        <v>19</v>
      </c>
    </row>
    <row r="82" spans="8:24" x14ac:dyDescent="0.45">
      <c r="H82" t="s">
        <v>4355</v>
      </c>
      <c r="I82" t="s">
        <v>13</v>
      </c>
      <c r="J82">
        <v>5.0452933239717255E-3</v>
      </c>
      <c r="K82" t="s">
        <v>14</v>
      </c>
      <c r="P82" t="s">
        <v>4256</v>
      </c>
      <c r="Q82" t="s">
        <v>4464</v>
      </c>
      <c r="R82" t="s">
        <v>4269</v>
      </c>
      <c r="S82" t="s">
        <v>17</v>
      </c>
      <c r="U82" t="s">
        <v>4256</v>
      </c>
      <c r="V82" t="s">
        <v>4465</v>
      </c>
      <c r="W82" t="s">
        <v>4269</v>
      </c>
      <c r="X82" t="s">
        <v>19</v>
      </c>
    </row>
    <row r="83" spans="8:24" x14ac:dyDescent="0.45">
      <c r="H83" t="s">
        <v>4355</v>
      </c>
      <c r="I83" t="s">
        <v>27</v>
      </c>
      <c r="J83">
        <v>5.0452933239717255E-3</v>
      </c>
      <c r="K83" t="s">
        <v>14</v>
      </c>
      <c r="P83" t="s">
        <v>4256</v>
      </c>
      <c r="Q83" t="s">
        <v>4466</v>
      </c>
      <c r="R83" t="s">
        <v>4273</v>
      </c>
      <c r="S83" t="s">
        <v>17</v>
      </c>
      <c r="U83" t="s">
        <v>4256</v>
      </c>
      <c r="V83" t="s">
        <v>4465</v>
      </c>
      <c r="W83" t="s">
        <v>4463</v>
      </c>
      <c r="X83" t="s">
        <v>19</v>
      </c>
    </row>
    <row r="84" spans="8:24" x14ac:dyDescent="0.45">
      <c r="H84" t="s">
        <v>4355</v>
      </c>
      <c r="I84" t="s">
        <v>36</v>
      </c>
      <c r="J84">
        <v>5.0452933239717255E-3</v>
      </c>
      <c r="K84" t="s">
        <v>14</v>
      </c>
      <c r="P84" t="s">
        <v>4256</v>
      </c>
      <c r="Q84" t="s">
        <v>4467</v>
      </c>
      <c r="R84" t="s">
        <v>4277</v>
      </c>
      <c r="S84" t="s">
        <v>17</v>
      </c>
      <c r="U84" t="s">
        <v>4256</v>
      </c>
      <c r="V84" t="s">
        <v>4468</v>
      </c>
      <c r="W84" t="s">
        <v>4269</v>
      </c>
      <c r="X84" t="s">
        <v>19</v>
      </c>
    </row>
    <row r="85" spans="8:24" x14ac:dyDescent="0.45">
      <c r="H85" t="s">
        <v>4358</v>
      </c>
      <c r="I85" t="s">
        <v>13</v>
      </c>
      <c r="J85">
        <v>2.9525791427738046E-2</v>
      </c>
      <c r="K85" t="s">
        <v>14</v>
      </c>
      <c r="P85" t="s">
        <v>4256</v>
      </c>
      <c r="Q85" t="s">
        <v>4469</v>
      </c>
      <c r="R85" t="s">
        <v>4281</v>
      </c>
      <c r="S85" t="s">
        <v>17</v>
      </c>
      <c r="U85" t="s">
        <v>4256</v>
      </c>
      <c r="V85" t="s">
        <v>4468</v>
      </c>
      <c r="W85" t="s">
        <v>4463</v>
      </c>
      <c r="X85" t="s">
        <v>19</v>
      </c>
    </row>
    <row r="86" spans="8:24" x14ac:dyDescent="0.45">
      <c r="H86" t="s">
        <v>4358</v>
      </c>
      <c r="I86" t="s">
        <v>27</v>
      </c>
      <c r="J86">
        <v>2.9525791427738046E-2</v>
      </c>
      <c r="K86" t="s">
        <v>14</v>
      </c>
      <c r="P86" t="s">
        <v>4256</v>
      </c>
      <c r="Q86" t="s">
        <v>4470</v>
      </c>
      <c r="R86" t="s">
        <v>4285</v>
      </c>
      <c r="S86" t="s">
        <v>17</v>
      </c>
      <c r="U86" t="s">
        <v>4256</v>
      </c>
      <c r="V86" t="s">
        <v>4471</v>
      </c>
      <c r="W86" t="s">
        <v>4463</v>
      </c>
      <c r="X86" t="s">
        <v>19</v>
      </c>
    </row>
    <row r="87" spans="8:24" x14ac:dyDescent="0.45">
      <c r="H87" t="s">
        <v>4358</v>
      </c>
      <c r="I87" t="s">
        <v>36</v>
      </c>
      <c r="J87">
        <v>2.9525791427738046E-2</v>
      </c>
      <c r="K87" t="s">
        <v>14</v>
      </c>
      <c r="P87" t="s">
        <v>4256</v>
      </c>
      <c r="Q87" t="s">
        <v>4472</v>
      </c>
      <c r="R87" t="s">
        <v>4289</v>
      </c>
      <c r="S87" t="s">
        <v>17</v>
      </c>
      <c r="U87" t="s">
        <v>4256</v>
      </c>
      <c r="V87" t="s">
        <v>4473</v>
      </c>
      <c r="W87" t="s">
        <v>4463</v>
      </c>
      <c r="X87" t="s">
        <v>19</v>
      </c>
    </row>
    <row r="88" spans="8:24" x14ac:dyDescent="0.45">
      <c r="H88" t="s">
        <v>4361</v>
      </c>
      <c r="I88" t="s">
        <v>13</v>
      </c>
      <c r="J88">
        <v>2.1014312133035118E-2</v>
      </c>
      <c r="K88" t="s">
        <v>14</v>
      </c>
      <c r="P88" t="s">
        <v>4256</v>
      </c>
      <c r="Q88" t="s">
        <v>4474</v>
      </c>
      <c r="R88" t="s">
        <v>4293</v>
      </c>
      <c r="S88" t="s">
        <v>17</v>
      </c>
      <c r="U88" t="s">
        <v>4256</v>
      </c>
      <c r="V88" t="s">
        <v>4475</v>
      </c>
      <c r="W88" t="s">
        <v>4463</v>
      </c>
      <c r="X88" t="s">
        <v>19</v>
      </c>
    </row>
    <row r="89" spans="8:24" x14ac:dyDescent="0.45">
      <c r="H89" t="s">
        <v>4361</v>
      </c>
      <c r="I89" t="s">
        <v>27</v>
      </c>
      <c r="J89">
        <v>2.1014312133035118E-2</v>
      </c>
      <c r="K89" t="s">
        <v>14</v>
      </c>
      <c r="P89" t="s">
        <v>4256</v>
      </c>
      <c r="Q89" t="s">
        <v>4476</v>
      </c>
      <c r="R89" t="s">
        <v>4297</v>
      </c>
      <c r="S89" t="s">
        <v>17</v>
      </c>
      <c r="U89" t="s">
        <v>4256</v>
      </c>
      <c r="V89" t="s">
        <v>4475</v>
      </c>
      <c r="W89" t="s">
        <v>4269</v>
      </c>
      <c r="X89" t="s">
        <v>17</v>
      </c>
    </row>
    <row r="90" spans="8:24" x14ac:dyDescent="0.45">
      <c r="H90" t="s">
        <v>4361</v>
      </c>
      <c r="I90" t="s">
        <v>36</v>
      </c>
      <c r="J90">
        <v>2.1014312133035118E-2</v>
      </c>
      <c r="K90" t="s">
        <v>14</v>
      </c>
      <c r="P90" t="s">
        <v>4256</v>
      </c>
      <c r="Q90" t="s">
        <v>4477</v>
      </c>
      <c r="R90" t="s">
        <v>4301</v>
      </c>
      <c r="S90" t="s">
        <v>17</v>
      </c>
      <c r="U90" t="s">
        <v>4256</v>
      </c>
      <c r="V90" t="s">
        <v>4478</v>
      </c>
      <c r="W90" t="s">
        <v>4463</v>
      </c>
      <c r="X90" t="s">
        <v>19</v>
      </c>
    </row>
    <row r="91" spans="8:24" x14ac:dyDescent="0.45">
      <c r="H91" t="s">
        <v>4364</v>
      </c>
      <c r="I91" t="s">
        <v>13</v>
      </c>
      <c r="J91">
        <v>1.4957046650590057E-2</v>
      </c>
      <c r="K91" t="s">
        <v>14</v>
      </c>
      <c r="P91" t="s">
        <v>4256</v>
      </c>
      <c r="Q91" t="s">
        <v>4479</v>
      </c>
      <c r="R91" t="s">
        <v>4305</v>
      </c>
      <c r="S91" t="s">
        <v>17</v>
      </c>
      <c r="U91" t="s">
        <v>4256</v>
      </c>
      <c r="V91" t="s">
        <v>4478</v>
      </c>
      <c r="W91" t="s">
        <v>4269</v>
      </c>
      <c r="X91" t="s">
        <v>17</v>
      </c>
    </row>
    <row r="92" spans="8:24" x14ac:dyDescent="0.45">
      <c r="H92" t="s">
        <v>4364</v>
      </c>
      <c r="I92" t="s">
        <v>27</v>
      </c>
      <c r="J92">
        <v>1.4957046650590057E-2</v>
      </c>
      <c r="K92" t="s">
        <v>14</v>
      </c>
      <c r="P92" t="s">
        <v>4256</v>
      </c>
      <c r="Q92" t="s">
        <v>4480</v>
      </c>
      <c r="R92" t="s">
        <v>4309</v>
      </c>
      <c r="S92" t="s">
        <v>17</v>
      </c>
      <c r="U92" t="s">
        <v>4256</v>
      </c>
      <c r="V92" t="s">
        <v>4481</v>
      </c>
      <c r="W92" t="s">
        <v>4273</v>
      </c>
      <c r="X92" t="s">
        <v>19</v>
      </c>
    </row>
    <row r="93" spans="8:24" x14ac:dyDescent="0.45">
      <c r="H93" t="s">
        <v>4364</v>
      </c>
      <c r="I93" t="s">
        <v>36</v>
      </c>
      <c r="J93">
        <v>1.4957046650590057E-2</v>
      </c>
      <c r="K93" t="s">
        <v>14</v>
      </c>
      <c r="P93" t="s">
        <v>4256</v>
      </c>
      <c r="Q93" t="s">
        <v>4482</v>
      </c>
      <c r="R93" t="s">
        <v>4312</v>
      </c>
      <c r="S93" t="s">
        <v>17</v>
      </c>
      <c r="U93" t="s">
        <v>4256</v>
      </c>
      <c r="V93" t="s">
        <v>4483</v>
      </c>
      <c r="W93" t="s">
        <v>4273</v>
      </c>
      <c r="X93" t="s">
        <v>19</v>
      </c>
    </row>
    <row r="94" spans="8:24" x14ac:dyDescent="0.45">
      <c r="H94" t="s">
        <v>4367</v>
      </c>
      <c r="I94" t="s">
        <v>13</v>
      </c>
      <c r="J94">
        <v>9.2817127331105091E-3</v>
      </c>
      <c r="K94" t="s">
        <v>14</v>
      </c>
      <c r="P94" t="s">
        <v>4256</v>
      </c>
      <c r="Q94" t="s">
        <v>4484</v>
      </c>
      <c r="R94" t="s">
        <v>4316</v>
      </c>
      <c r="S94" t="s">
        <v>17</v>
      </c>
      <c r="U94" t="s">
        <v>4256</v>
      </c>
      <c r="V94" t="s">
        <v>4485</v>
      </c>
      <c r="W94" t="s">
        <v>4273</v>
      </c>
      <c r="X94" t="s">
        <v>19</v>
      </c>
    </row>
    <row r="95" spans="8:24" x14ac:dyDescent="0.45">
      <c r="H95" t="s">
        <v>4367</v>
      </c>
      <c r="I95" t="s">
        <v>27</v>
      </c>
      <c r="J95">
        <v>9.2817127331105091E-3</v>
      </c>
      <c r="K95" t="s">
        <v>14</v>
      </c>
      <c r="P95" t="s">
        <v>4256</v>
      </c>
      <c r="Q95" t="s">
        <v>4486</v>
      </c>
      <c r="R95" t="s">
        <v>4319</v>
      </c>
      <c r="S95" t="s">
        <v>17</v>
      </c>
      <c r="U95" t="s">
        <v>4256</v>
      </c>
      <c r="V95" t="s">
        <v>4487</v>
      </c>
      <c r="W95" t="s">
        <v>4273</v>
      </c>
      <c r="X95" t="s">
        <v>19</v>
      </c>
    </row>
    <row r="96" spans="8:24" x14ac:dyDescent="0.45">
      <c r="H96" t="s">
        <v>4367</v>
      </c>
      <c r="I96" t="s">
        <v>36</v>
      </c>
      <c r="J96">
        <v>9.2817127331105091E-3</v>
      </c>
      <c r="K96" t="s">
        <v>14</v>
      </c>
      <c r="P96" t="s">
        <v>4256</v>
      </c>
      <c r="Q96" t="s">
        <v>4488</v>
      </c>
      <c r="R96" t="s">
        <v>4323</v>
      </c>
      <c r="S96" t="s">
        <v>17</v>
      </c>
      <c r="U96" t="s">
        <v>4256</v>
      </c>
      <c r="V96" t="s">
        <v>4489</v>
      </c>
      <c r="W96" t="s">
        <v>4273</v>
      </c>
      <c r="X96" t="s">
        <v>19</v>
      </c>
    </row>
    <row r="97" spans="8:24" x14ac:dyDescent="0.45">
      <c r="H97" t="s">
        <v>4370</v>
      </c>
      <c r="I97" t="s">
        <v>13</v>
      </c>
      <c r="J97">
        <v>1.9711662984737781E-3</v>
      </c>
      <c r="K97" t="s">
        <v>14</v>
      </c>
      <c r="P97" t="s">
        <v>4256</v>
      </c>
      <c r="Q97" t="s">
        <v>4490</v>
      </c>
      <c r="R97" t="s">
        <v>4327</v>
      </c>
      <c r="S97" t="s">
        <v>17</v>
      </c>
      <c r="U97" t="s">
        <v>4256</v>
      </c>
      <c r="V97" t="s">
        <v>4491</v>
      </c>
      <c r="W97" t="s">
        <v>4273</v>
      </c>
      <c r="X97" t="s">
        <v>19</v>
      </c>
    </row>
    <row r="98" spans="8:24" x14ac:dyDescent="0.45">
      <c r="H98" t="s">
        <v>4370</v>
      </c>
      <c r="I98" t="s">
        <v>27</v>
      </c>
      <c r="J98">
        <v>1.9711662984737781E-3</v>
      </c>
      <c r="K98" t="s">
        <v>14</v>
      </c>
      <c r="P98" t="s">
        <v>4256</v>
      </c>
      <c r="Q98" t="s">
        <v>4492</v>
      </c>
      <c r="R98" t="s">
        <v>4331</v>
      </c>
      <c r="S98" t="s">
        <v>17</v>
      </c>
      <c r="U98" t="s">
        <v>4256</v>
      </c>
      <c r="V98" t="s">
        <v>4493</v>
      </c>
      <c r="W98" t="s">
        <v>4273</v>
      </c>
      <c r="X98" t="s">
        <v>19</v>
      </c>
    </row>
    <row r="99" spans="8:24" x14ac:dyDescent="0.45">
      <c r="H99" t="s">
        <v>4370</v>
      </c>
      <c r="I99" t="s">
        <v>36</v>
      </c>
      <c r="J99">
        <v>1.9711662984737781E-3</v>
      </c>
      <c r="K99" t="s">
        <v>14</v>
      </c>
      <c r="P99" t="s">
        <v>4256</v>
      </c>
      <c r="Q99" t="s">
        <v>4494</v>
      </c>
      <c r="R99" t="s">
        <v>4334</v>
      </c>
      <c r="S99" t="s">
        <v>17</v>
      </c>
      <c r="U99" t="s">
        <v>4256</v>
      </c>
      <c r="V99" t="s">
        <v>4495</v>
      </c>
      <c r="W99" t="s">
        <v>4273</v>
      </c>
      <c r="X99" t="s">
        <v>19</v>
      </c>
    </row>
    <row r="100" spans="8:24" x14ac:dyDescent="0.45">
      <c r="H100" t="s">
        <v>4373</v>
      </c>
      <c r="I100" t="s">
        <v>13</v>
      </c>
      <c r="J100">
        <v>5.4999851048952456E-2</v>
      </c>
      <c r="K100" t="s">
        <v>14</v>
      </c>
      <c r="P100" t="s">
        <v>4256</v>
      </c>
      <c r="Q100" t="s">
        <v>4496</v>
      </c>
      <c r="R100" t="s">
        <v>4338</v>
      </c>
      <c r="S100" t="s">
        <v>17</v>
      </c>
      <c r="U100" t="s">
        <v>4256</v>
      </c>
      <c r="V100" t="s">
        <v>4497</v>
      </c>
      <c r="W100" t="s">
        <v>4273</v>
      </c>
      <c r="X100" t="s">
        <v>19</v>
      </c>
    </row>
    <row r="101" spans="8:24" x14ac:dyDescent="0.45">
      <c r="H101" t="s">
        <v>4373</v>
      </c>
      <c r="I101" t="s">
        <v>27</v>
      </c>
      <c r="J101">
        <v>5.4999851048952456E-2</v>
      </c>
      <c r="K101" t="s">
        <v>14</v>
      </c>
      <c r="P101" t="s">
        <v>4256</v>
      </c>
      <c r="Q101" t="s">
        <v>4498</v>
      </c>
      <c r="R101" t="s">
        <v>4341</v>
      </c>
      <c r="S101" t="s">
        <v>17</v>
      </c>
      <c r="U101" t="s">
        <v>4256</v>
      </c>
      <c r="V101" t="s">
        <v>4499</v>
      </c>
      <c r="W101" t="s">
        <v>4273</v>
      </c>
      <c r="X101" t="s">
        <v>19</v>
      </c>
    </row>
    <row r="102" spans="8:24" x14ac:dyDescent="0.45">
      <c r="H102" t="s">
        <v>4373</v>
      </c>
      <c r="I102" t="s">
        <v>36</v>
      </c>
      <c r="J102">
        <v>5.4999851048952456E-2</v>
      </c>
      <c r="K102" t="s">
        <v>14</v>
      </c>
      <c r="P102" t="s">
        <v>4256</v>
      </c>
      <c r="Q102" t="s">
        <v>4500</v>
      </c>
      <c r="R102" t="s">
        <v>4345</v>
      </c>
      <c r="S102" t="s">
        <v>17</v>
      </c>
      <c r="U102" t="s">
        <v>4256</v>
      </c>
      <c r="V102" t="s">
        <v>4501</v>
      </c>
      <c r="W102" t="s">
        <v>4273</v>
      </c>
      <c r="X102" t="s">
        <v>19</v>
      </c>
    </row>
    <row r="103" spans="8:24" x14ac:dyDescent="0.45">
      <c r="H103" t="s">
        <v>4376</v>
      </c>
      <c r="I103" t="s">
        <v>13</v>
      </c>
      <c r="J103">
        <v>0.14079546528895878</v>
      </c>
      <c r="K103" t="s">
        <v>14</v>
      </c>
      <c r="P103" t="s">
        <v>4256</v>
      </c>
      <c r="Q103" t="s">
        <v>4502</v>
      </c>
      <c r="R103" t="s">
        <v>4349</v>
      </c>
      <c r="S103" t="s">
        <v>17</v>
      </c>
      <c r="U103" t="s">
        <v>4256</v>
      </c>
      <c r="V103" t="s">
        <v>4501</v>
      </c>
      <c r="W103" t="s">
        <v>4503</v>
      </c>
      <c r="X103" t="s">
        <v>19</v>
      </c>
    </row>
    <row r="104" spans="8:24" x14ac:dyDescent="0.45">
      <c r="H104" t="s">
        <v>4376</v>
      </c>
      <c r="I104" t="s">
        <v>27</v>
      </c>
      <c r="J104">
        <v>0.14079546528895878</v>
      </c>
      <c r="K104" t="s">
        <v>14</v>
      </c>
      <c r="P104" t="s">
        <v>4256</v>
      </c>
      <c r="Q104" t="s">
        <v>4504</v>
      </c>
      <c r="R104" t="s">
        <v>4505</v>
      </c>
      <c r="S104" t="s">
        <v>17</v>
      </c>
      <c r="U104" t="s">
        <v>4256</v>
      </c>
      <c r="V104" t="s">
        <v>4506</v>
      </c>
      <c r="W104" t="s">
        <v>4273</v>
      </c>
      <c r="X104" t="s">
        <v>19</v>
      </c>
    </row>
    <row r="105" spans="8:24" x14ac:dyDescent="0.45">
      <c r="H105" t="s">
        <v>4376</v>
      </c>
      <c r="I105" t="s">
        <v>36</v>
      </c>
      <c r="J105">
        <v>0.14079546528895878</v>
      </c>
      <c r="K105" t="s">
        <v>14</v>
      </c>
      <c r="P105" t="s">
        <v>4256</v>
      </c>
      <c r="Q105" t="s">
        <v>4507</v>
      </c>
      <c r="R105" t="s">
        <v>4508</v>
      </c>
      <c r="S105" t="s">
        <v>17</v>
      </c>
      <c r="U105" t="s">
        <v>4256</v>
      </c>
      <c r="V105" t="s">
        <v>4506</v>
      </c>
      <c r="W105" t="s">
        <v>4503</v>
      </c>
      <c r="X105" t="s">
        <v>19</v>
      </c>
    </row>
    <row r="106" spans="8:24" x14ac:dyDescent="0.45">
      <c r="H106" t="s">
        <v>4379</v>
      </c>
      <c r="I106" t="s">
        <v>13</v>
      </c>
      <c r="J106">
        <v>8.7581994018226375E-2</v>
      </c>
      <c r="K106" t="s">
        <v>14</v>
      </c>
      <c r="P106" t="s">
        <v>4256</v>
      </c>
      <c r="Q106" t="s">
        <v>4509</v>
      </c>
      <c r="R106" t="s">
        <v>4423</v>
      </c>
      <c r="S106" t="s">
        <v>17</v>
      </c>
      <c r="U106" t="s">
        <v>4256</v>
      </c>
      <c r="V106" t="s">
        <v>4510</v>
      </c>
      <c r="W106" t="s">
        <v>4273</v>
      </c>
      <c r="X106" t="s">
        <v>19</v>
      </c>
    </row>
    <row r="107" spans="8:24" x14ac:dyDescent="0.45">
      <c r="H107" t="s">
        <v>4379</v>
      </c>
      <c r="I107" t="s">
        <v>27</v>
      </c>
      <c r="J107">
        <v>8.7581994018226375E-2</v>
      </c>
      <c r="K107" t="s">
        <v>14</v>
      </c>
      <c r="P107" t="s">
        <v>4256</v>
      </c>
      <c r="Q107" t="s">
        <v>4511</v>
      </c>
      <c r="R107" t="s">
        <v>4512</v>
      </c>
      <c r="S107" t="s">
        <v>17</v>
      </c>
      <c r="U107" t="s">
        <v>4256</v>
      </c>
      <c r="V107" t="s">
        <v>4510</v>
      </c>
      <c r="W107" t="s">
        <v>4503</v>
      </c>
      <c r="X107" t="s">
        <v>19</v>
      </c>
    </row>
    <row r="108" spans="8:24" x14ac:dyDescent="0.45">
      <c r="H108" t="s">
        <v>4379</v>
      </c>
      <c r="I108" t="s">
        <v>36</v>
      </c>
      <c r="J108">
        <v>8.7581994018226375E-2</v>
      </c>
      <c r="K108" t="s">
        <v>14</v>
      </c>
      <c r="P108" t="s">
        <v>4256</v>
      </c>
      <c r="Q108" t="s">
        <v>4513</v>
      </c>
      <c r="R108" t="s">
        <v>4514</v>
      </c>
      <c r="S108" t="s">
        <v>17</v>
      </c>
      <c r="U108" t="s">
        <v>4256</v>
      </c>
      <c r="V108" t="s">
        <v>4515</v>
      </c>
      <c r="W108" t="s">
        <v>4503</v>
      </c>
      <c r="X108" t="s">
        <v>19</v>
      </c>
    </row>
    <row r="109" spans="8:24" x14ac:dyDescent="0.45">
      <c r="H109" t="s">
        <v>4382</v>
      </c>
      <c r="I109" t="s">
        <v>13</v>
      </c>
      <c r="J109">
        <v>3.8799591828759243E-2</v>
      </c>
      <c r="K109" t="s">
        <v>14</v>
      </c>
      <c r="P109" t="s">
        <v>4256</v>
      </c>
      <c r="Q109" t="s">
        <v>4516</v>
      </c>
      <c r="R109" t="s">
        <v>4517</v>
      </c>
      <c r="S109" t="s">
        <v>17</v>
      </c>
      <c r="U109" t="s">
        <v>4256</v>
      </c>
      <c r="V109" t="s">
        <v>4518</v>
      </c>
      <c r="W109" t="s">
        <v>4503</v>
      </c>
      <c r="X109" t="s">
        <v>19</v>
      </c>
    </row>
    <row r="110" spans="8:24" x14ac:dyDescent="0.45">
      <c r="H110" t="s">
        <v>4382</v>
      </c>
      <c r="I110" t="s">
        <v>27</v>
      </c>
      <c r="J110">
        <v>3.8799591828759243E-2</v>
      </c>
      <c r="K110" t="s">
        <v>14</v>
      </c>
      <c r="P110" t="s">
        <v>4256</v>
      </c>
      <c r="Q110" t="s">
        <v>4519</v>
      </c>
      <c r="R110" t="s">
        <v>4520</v>
      </c>
      <c r="S110" t="s">
        <v>17</v>
      </c>
      <c r="U110" t="s">
        <v>4256</v>
      </c>
      <c r="V110" t="s">
        <v>4521</v>
      </c>
      <c r="W110" t="s">
        <v>4503</v>
      </c>
      <c r="X110" t="s">
        <v>19</v>
      </c>
    </row>
    <row r="111" spans="8:24" x14ac:dyDescent="0.45">
      <c r="H111" t="s">
        <v>4382</v>
      </c>
      <c r="I111" t="s">
        <v>36</v>
      </c>
      <c r="J111">
        <v>3.8799591828759243E-2</v>
      </c>
      <c r="K111" t="s">
        <v>14</v>
      </c>
      <c r="P111" t="s">
        <v>4256</v>
      </c>
      <c r="Q111" t="s">
        <v>4522</v>
      </c>
      <c r="R111" t="s">
        <v>4523</v>
      </c>
      <c r="S111" t="s">
        <v>17</v>
      </c>
      <c r="U111" t="s">
        <v>4256</v>
      </c>
      <c r="V111" t="s">
        <v>4521</v>
      </c>
      <c r="W111" t="s">
        <v>4273</v>
      </c>
      <c r="X111" t="s">
        <v>17</v>
      </c>
    </row>
    <row r="112" spans="8:24" x14ac:dyDescent="0.45">
      <c r="H112" t="s">
        <v>4384</v>
      </c>
      <c r="I112" t="s">
        <v>13</v>
      </c>
      <c r="J112">
        <v>6.1592649432204299E-2</v>
      </c>
      <c r="K112" t="s">
        <v>14</v>
      </c>
      <c r="P112" t="s">
        <v>4256</v>
      </c>
      <c r="Q112" t="s">
        <v>4524</v>
      </c>
      <c r="R112" t="s">
        <v>4525</v>
      </c>
      <c r="S112" t="s">
        <v>17</v>
      </c>
      <c r="U112" t="s">
        <v>4256</v>
      </c>
      <c r="V112" t="s">
        <v>4526</v>
      </c>
      <c r="W112" t="s">
        <v>4503</v>
      </c>
      <c r="X112" t="s">
        <v>19</v>
      </c>
    </row>
    <row r="113" spans="8:24" x14ac:dyDescent="0.45">
      <c r="H113" t="s">
        <v>4384</v>
      </c>
      <c r="I113" t="s">
        <v>27</v>
      </c>
      <c r="J113">
        <v>6.1592649432204299E-2</v>
      </c>
      <c r="K113" t="s">
        <v>14</v>
      </c>
      <c r="P113" t="s">
        <v>4256</v>
      </c>
      <c r="Q113" t="s">
        <v>4527</v>
      </c>
      <c r="R113" t="s">
        <v>4528</v>
      </c>
      <c r="S113" t="s">
        <v>17</v>
      </c>
      <c r="U113" t="s">
        <v>4256</v>
      </c>
      <c r="V113" t="s">
        <v>4526</v>
      </c>
      <c r="W113" t="s">
        <v>4273</v>
      </c>
      <c r="X113" t="s">
        <v>17</v>
      </c>
    </row>
    <row r="114" spans="8:24" x14ac:dyDescent="0.45">
      <c r="H114" t="s">
        <v>4384</v>
      </c>
      <c r="I114" t="s">
        <v>36</v>
      </c>
      <c r="J114">
        <v>6.1592649432204299E-2</v>
      </c>
      <c r="K114" t="s">
        <v>14</v>
      </c>
      <c r="P114" t="s">
        <v>4256</v>
      </c>
      <c r="Q114" t="s">
        <v>4529</v>
      </c>
      <c r="R114" t="s">
        <v>4302</v>
      </c>
      <c r="S114" t="s">
        <v>17</v>
      </c>
      <c r="U114" t="s">
        <v>4256</v>
      </c>
      <c r="V114" t="s">
        <v>4530</v>
      </c>
      <c r="W114" t="s">
        <v>4277</v>
      </c>
      <c r="X114" t="s">
        <v>19</v>
      </c>
    </row>
    <row r="115" spans="8:24" x14ac:dyDescent="0.45">
      <c r="H115" t="s">
        <v>4387</v>
      </c>
      <c r="I115" t="s">
        <v>13</v>
      </c>
      <c r="J115">
        <v>2.98510399758487E-3</v>
      </c>
      <c r="K115" t="s">
        <v>14</v>
      </c>
      <c r="P115" t="s">
        <v>4256</v>
      </c>
      <c r="Q115" t="s">
        <v>4531</v>
      </c>
      <c r="R115" t="s">
        <v>4532</v>
      </c>
      <c r="S115" t="s">
        <v>17</v>
      </c>
      <c r="U115" t="s">
        <v>4256</v>
      </c>
      <c r="V115" t="s">
        <v>4533</v>
      </c>
      <c r="W115" t="s">
        <v>4277</v>
      </c>
      <c r="X115" t="s">
        <v>19</v>
      </c>
    </row>
    <row r="116" spans="8:24" x14ac:dyDescent="0.45">
      <c r="H116" t="s">
        <v>4387</v>
      </c>
      <c r="I116" t="s">
        <v>27</v>
      </c>
      <c r="J116">
        <v>2.98510399758487E-3</v>
      </c>
      <c r="K116" t="s">
        <v>14</v>
      </c>
      <c r="P116" t="s">
        <v>4256</v>
      </c>
      <c r="Q116" t="s">
        <v>4534</v>
      </c>
      <c r="R116" t="s">
        <v>4535</v>
      </c>
      <c r="S116" t="s">
        <v>17</v>
      </c>
      <c r="U116" t="s">
        <v>4256</v>
      </c>
      <c r="V116" t="s">
        <v>4536</v>
      </c>
      <c r="W116" t="s">
        <v>4277</v>
      </c>
      <c r="X116" t="s">
        <v>19</v>
      </c>
    </row>
    <row r="117" spans="8:24" x14ac:dyDescent="0.45">
      <c r="H117" t="s">
        <v>4387</v>
      </c>
      <c r="I117" t="s">
        <v>36</v>
      </c>
      <c r="J117">
        <v>2.98510399758487E-3</v>
      </c>
      <c r="K117" t="s">
        <v>14</v>
      </c>
      <c r="P117" t="s">
        <v>4256</v>
      </c>
      <c r="Q117" t="s">
        <v>4537</v>
      </c>
      <c r="R117" t="s">
        <v>4538</v>
      </c>
      <c r="S117" t="s">
        <v>17</v>
      </c>
      <c r="U117" t="s">
        <v>4256</v>
      </c>
      <c r="V117" t="s">
        <v>4539</v>
      </c>
      <c r="W117" t="s">
        <v>4277</v>
      </c>
      <c r="X117" t="s">
        <v>19</v>
      </c>
    </row>
    <row r="118" spans="8:24" x14ac:dyDescent="0.45">
      <c r="H118" t="s">
        <v>4389</v>
      </c>
      <c r="I118" t="s">
        <v>13</v>
      </c>
      <c r="J118">
        <v>1.8962654108489418E-2</v>
      </c>
      <c r="K118" t="s">
        <v>14</v>
      </c>
      <c r="P118" t="s">
        <v>4256</v>
      </c>
      <c r="Q118" t="s">
        <v>4540</v>
      </c>
      <c r="R118" t="s">
        <v>4541</v>
      </c>
      <c r="S118" t="s">
        <v>17</v>
      </c>
      <c r="U118" t="s">
        <v>4256</v>
      </c>
      <c r="V118" t="s">
        <v>4542</v>
      </c>
      <c r="W118" t="s">
        <v>4277</v>
      </c>
      <c r="X118" t="s">
        <v>19</v>
      </c>
    </row>
    <row r="119" spans="8:24" x14ac:dyDescent="0.45">
      <c r="H119" t="s">
        <v>4389</v>
      </c>
      <c r="I119" t="s">
        <v>27</v>
      </c>
      <c r="J119">
        <v>1.8962654108489418E-2</v>
      </c>
      <c r="K119" t="s">
        <v>14</v>
      </c>
      <c r="P119" t="s">
        <v>4256</v>
      </c>
      <c r="Q119" t="s">
        <v>4543</v>
      </c>
      <c r="R119" t="s">
        <v>4544</v>
      </c>
      <c r="S119" t="s">
        <v>17</v>
      </c>
      <c r="U119" t="s">
        <v>4256</v>
      </c>
      <c r="V119" t="s">
        <v>4545</v>
      </c>
      <c r="W119" t="s">
        <v>4277</v>
      </c>
      <c r="X119" t="s">
        <v>19</v>
      </c>
    </row>
    <row r="120" spans="8:24" x14ac:dyDescent="0.45">
      <c r="H120" t="s">
        <v>4389</v>
      </c>
      <c r="I120" t="s">
        <v>36</v>
      </c>
      <c r="J120">
        <v>1.8962654108489418E-2</v>
      </c>
      <c r="K120" t="s">
        <v>14</v>
      </c>
      <c r="P120" t="s">
        <v>4256</v>
      </c>
      <c r="Q120" t="s">
        <v>4546</v>
      </c>
      <c r="R120" t="s">
        <v>4547</v>
      </c>
      <c r="S120" t="s">
        <v>17</v>
      </c>
      <c r="U120" t="s">
        <v>4256</v>
      </c>
      <c r="V120" t="s">
        <v>4548</v>
      </c>
      <c r="W120" t="s">
        <v>4277</v>
      </c>
      <c r="X120" t="s">
        <v>19</v>
      </c>
    </row>
    <row r="121" spans="8:24" x14ac:dyDescent="0.45">
      <c r="H121" t="s">
        <v>4392</v>
      </c>
      <c r="I121" t="s">
        <v>13</v>
      </c>
      <c r="J121">
        <v>5.7774531135718059E-2</v>
      </c>
      <c r="K121" t="s">
        <v>14</v>
      </c>
      <c r="P121" t="s">
        <v>4256</v>
      </c>
      <c r="Q121" t="s">
        <v>4549</v>
      </c>
      <c r="R121" t="s">
        <v>4463</v>
      </c>
      <c r="S121" t="s">
        <v>17</v>
      </c>
      <c r="U121" t="s">
        <v>4256</v>
      </c>
      <c r="V121" t="s">
        <v>4550</v>
      </c>
      <c r="W121" t="s">
        <v>4277</v>
      </c>
      <c r="X121" t="s">
        <v>19</v>
      </c>
    </row>
    <row r="122" spans="8:24" x14ac:dyDescent="0.45">
      <c r="H122" t="s">
        <v>4392</v>
      </c>
      <c r="I122" t="s">
        <v>27</v>
      </c>
      <c r="J122">
        <v>5.7774531135718059E-2</v>
      </c>
      <c r="K122" t="s">
        <v>14</v>
      </c>
      <c r="P122" t="s">
        <v>4256</v>
      </c>
      <c r="Q122" t="s">
        <v>4551</v>
      </c>
      <c r="R122" t="s">
        <v>4552</v>
      </c>
      <c r="S122" t="s">
        <v>17</v>
      </c>
      <c r="U122" t="s">
        <v>4256</v>
      </c>
      <c r="V122" t="s">
        <v>4553</v>
      </c>
      <c r="W122" t="s">
        <v>4277</v>
      </c>
      <c r="X122" t="s">
        <v>19</v>
      </c>
    </row>
    <row r="123" spans="8:24" x14ac:dyDescent="0.45">
      <c r="H123" t="s">
        <v>4392</v>
      </c>
      <c r="I123" t="s">
        <v>36</v>
      </c>
      <c r="J123">
        <v>5.7774531135718059E-2</v>
      </c>
      <c r="K123" t="s">
        <v>14</v>
      </c>
      <c r="P123" t="s">
        <v>4256</v>
      </c>
      <c r="Q123" t="s">
        <v>4554</v>
      </c>
      <c r="R123" t="s">
        <v>4503</v>
      </c>
      <c r="S123" t="s">
        <v>17</v>
      </c>
      <c r="U123" t="s">
        <v>4256</v>
      </c>
      <c r="V123" t="s">
        <v>4555</v>
      </c>
      <c r="W123" t="s">
        <v>4277</v>
      </c>
      <c r="X123" t="s">
        <v>19</v>
      </c>
    </row>
    <row r="124" spans="8:24" x14ac:dyDescent="0.45">
      <c r="H124" t="s">
        <v>4394</v>
      </c>
      <c r="I124" t="s">
        <v>13</v>
      </c>
      <c r="J124">
        <v>3.9997308388165322E-2</v>
      </c>
      <c r="K124" t="s">
        <v>14</v>
      </c>
      <c r="U124" t="s">
        <v>4256</v>
      </c>
      <c r="V124" t="s">
        <v>4556</v>
      </c>
      <c r="W124" t="s">
        <v>4277</v>
      </c>
      <c r="X124" t="s">
        <v>19</v>
      </c>
    </row>
    <row r="125" spans="8:24" x14ac:dyDescent="0.45">
      <c r="H125" t="s">
        <v>4394</v>
      </c>
      <c r="I125" t="s">
        <v>27</v>
      </c>
      <c r="J125">
        <v>3.9997308388165322E-2</v>
      </c>
      <c r="K125" t="s">
        <v>14</v>
      </c>
      <c r="U125" t="s">
        <v>4256</v>
      </c>
      <c r="V125" t="s">
        <v>4556</v>
      </c>
      <c r="W125" t="s">
        <v>4523</v>
      </c>
      <c r="X125" t="s">
        <v>19</v>
      </c>
    </row>
    <row r="126" spans="8:24" x14ac:dyDescent="0.45">
      <c r="H126" t="s">
        <v>4394</v>
      </c>
      <c r="I126" t="s">
        <v>36</v>
      </c>
      <c r="J126">
        <v>3.9997308388165322E-2</v>
      </c>
      <c r="K126" t="s">
        <v>14</v>
      </c>
      <c r="U126" t="s">
        <v>4256</v>
      </c>
      <c r="V126" t="s">
        <v>4557</v>
      </c>
      <c r="W126" t="s">
        <v>4277</v>
      </c>
      <c r="X126" t="s">
        <v>19</v>
      </c>
    </row>
    <row r="127" spans="8:24" x14ac:dyDescent="0.45">
      <c r="H127" t="s">
        <v>4396</v>
      </c>
      <c r="I127" t="s">
        <v>13</v>
      </c>
      <c r="J127">
        <v>3.7072829096448587E-2</v>
      </c>
      <c r="K127" t="s">
        <v>14</v>
      </c>
      <c r="U127" t="s">
        <v>4256</v>
      </c>
      <c r="V127" t="s">
        <v>4557</v>
      </c>
      <c r="W127" t="s">
        <v>4523</v>
      </c>
      <c r="X127" t="s">
        <v>19</v>
      </c>
    </row>
    <row r="128" spans="8:24" x14ac:dyDescent="0.45">
      <c r="H128" t="s">
        <v>4396</v>
      </c>
      <c r="I128" t="s">
        <v>27</v>
      </c>
      <c r="J128">
        <v>3.7072829096448587E-2</v>
      </c>
      <c r="K128" t="s">
        <v>14</v>
      </c>
      <c r="U128" t="s">
        <v>4256</v>
      </c>
      <c r="V128" t="s">
        <v>4558</v>
      </c>
      <c r="W128" t="s">
        <v>4277</v>
      </c>
      <c r="X128" t="s">
        <v>19</v>
      </c>
    </row>
    <row r="129" spans="8:24" x14ac:dyDescent="0.45">
      <c r="H129" t="s">
        <v>4396</v>
      </c>
      <c r="I129" t="s">
        <v>36</v>
      </c>
      <c r="J129">
        <v>3.7072829096448587E-2</v>
      </c>
      <c r="K129" t="s">
        <v>14</v>
      </c>
      <c r="U129" t="s">
        <v>4256</v>
      </c>
      <c r="V129" t="s">
        <v>4558</v>
      </c>
      <c r="W129" t="s">
        <v>4523</v>
      </c>
      <c r="X129" t="s">
        <v>19</v>
      </c>
    </row>
    <row r="130" spans="8:24" x14ac:dyDescent="0.45">
      <c r="H130" t="s">
        <v>4397</v>
      </c>
      <c r="I130" t="s">
        <v>13</v>
      </c>
      <c r="J130">
        <v>5.8533821504819554E-2</v>
      </c>
      <c r="K130" t="s">
        <v>14</v>
      </c>
      <c r="U130" t="s">
        <v>4256</v>
      </c>
      <c r="V130" t="s">
        <v>4559</v>
      </c>
      <c r="W130" t="s">
        <v>4523</v>
      </c>
      <c r="X130" t="s">
        <v>19</v>
      </c>
    </row>
    <row r="131" spans="8:24" x14ac:dyDescent="0.45">
      <c r="H131" t="s">
        <v>4397</v>
      </c>
      <c r="I131" t="s">
        <v>27</v>
      </c>
      <c r="J131">
        <v>5.8533821504819554E-2</v>
      </c>
      <c r="K131" t="s">
        <v>14</v>
      </c>
      <c r="U131" t="s">
        <v>4256</v>
      </c>
      <c r="V131" t="s">
        <v>4560</v>
      </c>
      <c r="W131" t="s">
        <v>4523</v>
      </c>
      <c r="X131" t="s">
        <v>19</v>
      </c>
    </row>
    <row r="132" spans="8:24" x14ac:dyDescent="0.45">
      <c r="H132" t="s">
        <v>4397</v>
      </c>
      <c r="I132" t="s">
        <v>36</v>
      </c>
      <c r="J132">
        <v>5.8533821504819554E-2</v>
      </c>
      <c r="K132" t="s">
        <v>14</v>
      </c>
      <c r="U132" t="s">
        <v>4256</v>
      </c>
      <c r="V132" t="s">
        <v>4561</v>
      </c>
      <c r="W132" t="s">
        <v>4523</v>
      </c>
      <c r="X132" t="s">
        <v>19</v>
      </c>
    </row>
    <row r="133" spans="8:24" x14ac:dyDescent="0.45">
      <c r="H133" t="s">
        <v>4399</v>
      </c>
      <c r="I133" t="s">
        <v>13</v>
      </c>
      <c r="J133">
        <v>5.7069421275448021E-2</v>
      </c>
      <c r="K133" t="s">
        <v>14</v>
      </c>
      <c r="U133" t="s">
        <v>4256</v>
      </c>
      <c r="V133" t="s">
        <v>4561</v>
      </c>
      <c r="W133" t="s">
        <v>4277</v>
      </c>
      <c r="X133" t="s">
        <v>17</v>
      </c>
    </row>
    <row r="134" spans="8:24" x14ac:dyDescent="0.45">
      <c r="H134" t="s">
        <v>4399</v>
      </c>
      <c r="I134" t="s">
        <v>27</v>
      </c>
      <c r="J134">
        <v>5.7069421275448021E-2</v>
      </c>
      <c r="K134" t="s">
        <v>14</v>
      </c>
      <c r="U134" t="s">
        <v>4256</v>
      </c>
      <c r="V134" t="s">
        <v>4562</v>
      </c>
      <c r="W134" t="s">
        <v>4523</v>
      </c>
      <c r="X134" t="s">
        <v>19</v>
      </c>
    </row>
    <row r="135" spans="8:24" x14ac:dyDescent="0.45">
      <c r="H135" t="s">
        <v>4399</v>
      </c>
      <c r="I135" t="s">
        <v>36</v>
      </c>
      <c r="J135">
        <v>5.7069421275448021E-2</v>
      </c>
      <c r="K135" t="s">
        <v>14</v>
      </c>
      <c r="U135" t="s">
        <v>4256</v>
      </c>
      <c r="V135" t="s">
        <v>4562</v>
      </c>
      <c r="W135" t="s">
        <v>4277</v>
      </c>
      <c r="X135" t="s">
        <v>17</v>
      </c>
    </row>
    <row r="136" spans="8:24" x14ac:dyDescent="0.45">
      <c r="H136" t="s">
        <v>4400</v>
      </c>
      <c r="I136" t="s">
        <v>13</v>
      </c>
      <c r="J136">
        <v>4.0586503791623776E-2</v>
      </c>
      <c r="K136" t="s">
        <v>14</v>
      </c>
      <c r="U136" t="s">
        <v>4256</v>
      </c>
      <c r="V136" t="s">
        <v>4563</v>
      </c>
      <c r="W136" t="s">
        <v>4281</v>
      </c>
      <c r="X136" t="s">
        <v>19</v>
      </c>
    </row>
    <row r="137" spans="8:24" x14ac:dyDescent="0.45">
      <c r="H137" t="s">
        <v>4400</v>
      </c>
      <c r="I137" t="s">
        <v>27</v>
      </c>
      <c r="J137">
        <v>4.0586503791623776E-2</v>
      </c>
      <c r="K137" t="s">
        <v>14</v>
      </c>
      <c r="U137" t="s">
        <v>4256</v>
      </c>
      <c r="V137" t="s">
        <v>4564</v>
      </c>
      <c r="W137" t="s">
        <v>4281</v>
      </c>
      <c r="X137" t="s">
        <v>19</v>
      </c>
    </row>
    <row r="138" spans="8:24" x14ac:dyDescent="0.45">
      <c r="H138" t="s">
        <v>4400</v>
      </c>
      <c r="I138" t="s">
        <v>36</v>
      </c>
      <c r="J138">
        <v>4.0586503791623776E-2</v>
      </c>
      <c r="K138" t="s">
        <v>14</v>
      </c>
      <c r="U138" t="s">
        <v>4256</v>
      </c>
      <c r="V138" t="s">
        <v>4565</v>
      </c>
      <c r="W138" t="s">
        <v>4281</v>
      </c>
      <c r="X138" t="s">
        <v>19</v>
      </c>
    </row>
    <row r="139" spans="8:24" x14ac:dyDescent="0.45">
      <c r="H139" t="s">
        <v>4402</v>
      </c>
      <c r="I139" t="s">
        <v>13</v>
      </c>
      <c r="J139">
        <v>1.1279208920086967E-2</v>
      </c>
      <c r="K139" t="s">
        <v>14</v>
      </c>
      <c r="U139" t="s">
        <v>4256</v>
      </c>
      <c r="V139" t="s">
        <v>4566</v>
      </c>
      <c r="W139" t="s">
        <v>4281</v>
      </c>
      <c r="X139" t="s">
        <v>19</v>
      </c>
    </row>
    <row r="140" spans="8:24" x14ac:dyDescent="0.45">
      <c r="H140" t="s">
        <v>4402</v>
      </c>
      <c r="I140" t="s">
        <v>27</v>
      </c>
      <c r="J140">
        <v>1.1279208920086967E-2</v>
      </c>
      <c r="K140" t="s">
        <v>14</v>
      </c>
      <c r="U140" t="s">
        <v>4256</v>
      </c>
      <c r="V140" t="s">
        <v>4567</v>
      </c>
      <c r="W140" t="s">
        <v>4281</v>
      </c>
      <c r="X140" t="s">
        <v>19</v>
      </c>
    </row>
    <row r="141" spans="8:24" x14ac:dyDescent="0.45">
      <c r="H141" t="s">
        <v>4402</v>
      </c>
      <c r="I141" t="s">
        <v>36</v>
      </c>
      <c r="J141">
        <v>1.1279208920086967E-2</v>
      </c>
      <c r="K141" t="s">
        <v>14</v>
      </c>
      <c r="U141" t="s">
        <v>4256</v>
      </c>
      <c r="V141" t="s">
        <v>4568</v>
      </c>
      <c r="W141" t="s">
        <v>4281</v>
      </c>
      <c r="X141" t="s">
        <v>19</v>
      </c>
    </row>
    <row r="142" spans="8:24" x14ac:dyDescent="0.45">
      <c r="H142" t="s">
        <v>4404</v>
      </c>
      <c r="I142" t="s">
        <v>13</v>
      </c>
      <c r="J142">
        <v>1.5162556520179544E-2</v>
      </c>
      <c r="K142" t="s">
        <v>14</v>
      </c>
      <c r="U142" t="s">
        <v>4256</v>
      </c>
      <c r="V142" t="s">
        <v>4569</v>
      </c>
      <c r="W142" t="s">
        <v>4281</v>
      </c>
      <c r="X142" t="s">
        <v>19</v>
      </c>
    </row>
    <row r="143" spans="8:24" x14ac:dyDescent="0.45">
      <c r="H143" t="s">
        <v>4404</v>
      </c>
      <c r="I143" t="s">
        <v>27</v>
      </c>
      <c r="J143">
        <v>1.5162556520179544E-2</v>
      </c>
      <c r="K143" t="s">
        <v>14</v>
      </c>
      <c r="U143" t="s">
        <v>4256</v>
      </c>
      <c r="V143" t="s">
        <v>4570</v>
      </c>
      <c r="W143" t="s">
        <v>4281</v>
      </c>
      <c r="X143" t="s">
        <v>19</v>
      </c>
    </row>
    <row r="144" spans="8:24" x14ac:dyDescent="0.45">
      <c r="H144" t="s">
        <v>4404</v>
      </c>
      <c r="I144" t="s">
        <v>36</v>
      </c>
      <c r="J144">
        <v>1.5162556520179544E-2</v>
      </c>
      <c r="K144" t="s">
        <v>14</v>
      </c>
      <c r="U144" t="s">
        <v>4256</v>
      </c>
      <c r="V144" t="s">
        <v>4571</v>
      </c>
      <c r="W144" t="s">
        <v>4281</v>
      </c>
      <c r="X144" t="s">
        <v>19</v>
      </c>
    </row>
    <row r="145" spans="8:24" x14ac:dyDescent="0.45">
      <c r="H145" t="s">
        <v>4406</v>
      </c>
      <c r="I145" t="s">
        <v>13</v>
      </c>
      <c r="J145">
        <v>1.3940756810674821E-2</v>
      </c>
      <c r="K145" t="s">
        <v>14</v>
      </c>
      <c r="U145" t="s">
        <v>4256</v>
      </c>
      <c r="V145" t="s">
        <v>4572</v>
      </c>
      <c r="W145" t="s">
        <v>4281</v>
      </c>
      <c r="X145" t="s">
        <v>19</v>
      </c>
    </row>
    <row r="146" spans="8:24" x14ac:dyDescent="0.45">
      <c r="H146" t="s">
        <v>4406</v>
      </c>
      <c r="I146" t="s">
        <v>27</v>
      </c>
      <c r="J146">
        <v>1.3940756810674821E-2</v>
      </c>
      <c r="K146" t="s">
        <v>14</v>
      </c>
      <c r="U146" t="s">
        <v>4256</v>
      </c>
      <c r="V146" t="s">
        <v>4573</v>
      </c>
      <c r="W146" t="s">
        <v>4281</v>
      </c>
      <c r="X146" t="s">
        <v>19</v>
      </c>
    </row>
    <row r="147" spans="8:24" x14ac:dyDescent="0.45">
      <c r="H147" t="s">
        <v>4406</v>
      </c>
      <c r="I147" t="s">
        <v>36</v>
      </c>
      <c r="J147">
        <v>1.3940756810674821E-2</v>
      </c>
      <c r="K147" t="s">
        <v>14</v>
      </c>
      <c r="U147" t="s">
        <v>4256</v>
      </c>
      <c r="V147" t="s">
        <v>4573</v>
      </c>
      <c r="W147" t="s">
        <v>4574</v>
      </c>
      <c r="X147" t="s">
        <v>19</v>
      </c>
    </row>
    <row r="148" spans="8:24" x14ac:dyDescent="0.45">
      <c r="H148" t="s">
        <v>4408</v>
      </c>
      <c r="I148" t="s">
        <v>13</v>
      </c>
      <c r="J148">
        <v>0.14686629567306916</v>
      </c>
      <c r="K148" t="s">
        <v>14</v>
      </c>
      <c r="U148" t="s">
        <v>4256</v>
      </c>
      <c r="V148" t="s">
        <v>4575</v>
      </c>
      <c r="W148" t="s">
        <v>4281</v>
      </c>
      <c r="X148" t="s">
        <v>19</v>
      </c>
    </row>
    <row r="149" spans="8:24" x14ac:dyDescent="0.45">
      <c r="H149" t="s">
        <v>4408</v>
      </c>
      <c r="I149" t="s">
        <v>27</v>
      </c>
      <c r="J149">
        <v>0.14686629567306916</v>
      </c>
      <c r="K149" t="s">
        <v>14</v>
      </c>
      <c r="U149" t="s">
        <v>4256</v>
      </c>
      <c r="V149" t="s">
        <v>4575</v>
      </c>
      <c r="W149" t="s">
        <v>4574</v>
      </c>
      <c r="X149" t="s">
        <v>19</v>
      </c>
    </row>
    <row r="150" spans="8:24" x14ac:dyDescent="0.45">
      <c r="H150" t="s">
        <v>4408</v>
      </c>
      <c r="I150" t="s">
        <v>36</v>
      </c>
      <c r="J150">
        <v>0.14686629567306916</v>
      </c>
      <c r="K150" t="s">
        <v>14</v>
      </c>
      <c r="U150" t="s">
        <v>4256</v>
      </c>
      <c r="V150" t="s">
        <v>4576</v>
      </c>
      <c r="W150" t="s">
        <v>4281</v>
      </c>
      <c r="X150" t="s">
        <v>19</v>
      </c>
    </row>
    <row r="151" spans="8:24" x14ac:dyDescent="0.45">
      <c r="H151" t="s">
        <v>4410</v>
      </c>
      <c r="I151" t="s">
        <v>13</v>
      </c>
      <c r="J151">
        <v>3.1656222966063639E-3</v>
      </c>
      <c r="K151" t="s">
        <v>14</v>
      </c>
      <c r="U151" t="s">
        <v>4256</v>
      </c>
      <c r="V151" t="s">
        <v>4576</v>
      </c>
      <c r="W151" t="s">
        <v>4574</v>
      </c>
      <c r="X151" t="s">
        <v>19</v>
      </c>
    </row>
    <row r="152" spans="8:24" x14ac:dyDescent="0.45">
      <c r="H152" t="s">
        <v>4410</v>
      </c>
      <c r="I152" t="s">
        <v>27</v>
      </c>
      <c r="J152">
        <v>3.1656222966063639E-3</v>
      </c>
      <c r="K152" t="s">
        <v>14</v>
      </c>
      <c r="U152" t="s">
        <v>4256</v>
      </c>
      <c r="V152" t="s">
        <v>4577</v>
      </c>
      <c r="W152" t="s">
        <v>4574</v>
      </c>
      <c r="X152" t="s">
        <v>19</v>
      </c>
    </row>
    <row r="153" spans="8:24" x14ac:dyDescent="0.45">
      <c r="H153" t="s">
        <v>4410</v>
      </c>
      <c r="I153" t="s">
        <v>36</v>
      </c>
      <c r="J153">
        <v>3.1656222966063639E-3</v>
      </c>
      <c r="K153" t="s">
        <v>14</v>
      </c>
      <c r="U153" t="s">
        <v>4256</v>
      </c>
      <c r="V153" t="s">
        <v>4578</v>
      </c>
      <c r="W153" t="s">
        <v>4574</v>
      </c>
      <c r="X153" t="s">
        <v>19</v>
      </c>
    </row>
    <row r="154" spans="8:24" x14ac:dyDescent="0.45">
      <c r="H154" t="s">
        <v>4412</v>
      </c>
      <c r="I154" t="s">
        <v>13</v>
      </c>
      <c r="J154">
        <v>1.1038512297064125E-2</v>
      </c>
      <c r="K154" t="s">
        <v>14</v>
      </c>
      <c r="U154" t="s">
        <v>4256</v>
      </c>
      <c r="V154" t="s">
        <v>4579</v>
      </c>
      <c r="W154" t="s">
        <v>4574</v>
      </c>
      <c r="X154" t="s">
        <v>19</v>
      </c>
    </row>
    <row r="155" spans="8:24" x14ac:dyDescent="0.45">
      <c r="H155" t="s">
        <v>4412</v>
      </c>
      <c r="I155" t="s">
        <v>27</v>
      </c>
      <c r="J155">
        <v>1.1038512297064125E-2</v>
      </c>
      <c r="K155" t="s">
        <v>14</v>
      </c>
      <c r="U155" t="s">
        <v>4256</v>
      </c>
      <c r="V155" t="s">
        <v>4579</v>
      </c>
      <c r="W155" t="s">
        <v>4281</v>
      </c>
      <c r="X155" t="s">
        <v>17</v>
      </c>
    </row>
    <row r="156" spans="8:24" x14ac:dyDescent="0.45">
      <c r="H156" t="s">
        <v>4412</v>
      </c>
      <c r="I156" t="s">
        <v>36</v>
      </c>
      <c r="J156">
        <v>1.1038512297064125E-2</v>
      </c>
      <c r="K156" t="s">
        <v>14</v>
      </c>
      <c r="U156" t="s">
        <v>4256</v>
      </c>
      <c r="V156" t="s">
        <v>4580</v>
      </c>
      <c r="W156" t="s">
        <v>4574</v>
      </c>
      <c r="X156" t="s">
        <v>19</v>
      </c>
    </row>
    <row r="157" spans="8:24" x14ac:dyDescent="0.45">
      <c r="H157" t="s">
        <v>4414</v>
      </c>
      <c r="I157" t="s">
        <v>13</v>
      </c>
      <c r="J157">
        <v>5.0452933239717255E-3</v>
      </c>
      <c r="K157" t="s">
        <v>14</v>
      </c>
      <c r="U157" t="s">
        <v>4256</v>
      </c>
      <c r="V157" t="s">
        <v>4580</v>
      </c>
      <c r="W157" t="s">
        <v>4281</v>
      </c>
      <c r="X157" t="s">
        <v>17</v>
      </c>
    </row>
    <row r="158" spans="8:24" x14ac:dyDescent="0.45">
      <c r="H158" t="s">
        <v>4414</v>
      </c>
      <c r="I158" t="s">
        <v>27</v>
      </c>
      <c r="J158">
        <v>5.0452933239717255E-3</v>
      </c>
      <c r="K158" t="s">
        <v>14</v>
      </c>
      <c r="U158" t="s">
        <v>4256</v>
      </c>
      <c r="V158" t="s">
        <v>4581</v>
      </c>
      <c r="W158" t="s">
        <v>4285</v>
      </c>
      <c r="X158" t="s">
        <v>19</v>
      </c>
    </row>
    <row r="159" spans="8:24" x14ac:dyDescent="0.45">
      <c r="H159" t="s">
        <v>4414</v>
      </c>
      <c r="I159" t="s">
        <v>36</v>
      </c>
      <c r="J159">
        <v>5.0452933239717255E-3</v>
      </c>
      <c r="K159" t="s">
        <v>14</v>
      </c>
      <c r="U159" t="s">
        <v>4256</v>
      </c>
      <c r="V159" t="s">
        <v>4582</v>
      </c>
      <c r="W159" t="s">
        <v>4285</v>
      </c>
      <c r="X159" t="s">
        <v>19</v>
      </c>
    </row>
    <row r="160" spans="8:24" x14ac:dyDescent="0.45">
      <c r="H160" t="s">
        <v>4416</v>
      </c>
      <c r="I160" t="s">
        <v>13</v>
      </c>
      <c r="J160">
        <v>2.9525791427738046E-2</v>
      </c>
      <c r="K160" t="s">
        <v>14</v>
      </c>
      <c r="U160" t="s">
        <v>4256</v>
      </c>
      <c r="V160" t="s">
        <v>4583</v>
      </c>
      <c r="W160" t="s">
        <v>4285</v>
      </c>
      <c r="X160" t="s">
        <v>19</v>
      </c>
    </row>
    <row r="161" spans="8:24" x14ac:dyDescent="0.45">
      <c r="H161" t="s">
        <v>4416</v>
      </c>
      <c r="I161" t="s">
        <v>27</v>
      </c>
      <c r="J161">
        <v>2.9525791427738046E-2</v>
      </c>
      <c r="K161" t="s">
        <v>14</v>
      </c>
      <c r="U161" t="s">
        <v>4256</v>
      </c>
      <c r="V161" t="s">
        <v>4584</v>
      </c>
      <c r="W161" t="s">
        <v>4285</v>
      </c>
      <c r="X161" t="s">
        <v>19</v>
      </c>
    </row>
    <row r="162" spans="8:24" x14ac:dyDescent="0.45">
      <c r="H162" t="s">
        <v>4416</v>
      </c>
      <c r="I162" t="s">
        <v>36</v>
      </c>
      <c r="J162">
        <v>2.9525791427738046E-2</v>
      </c>
      <c r="K162" t="s">
        <v>14</v>
      </c>
      <c r="U162" t="s">
        <v>4256</v>
      </c>
      <c r="V162" t="s">
        <v>4585</v>
      </c>
      <c r="W162" t="s">
        <v>4285</v>
      </c>
      <c r="X162" t="s">
        <v>19</v>
      </c>
    </row>
    <row r="163" spans="8:24" x14ac:dyDescent="0.45">
      <c r="H163" t="s">
        <v>4418</v>
      </c>
      <c r="I163" t="s">
        <v>13</v>
      </c>
      <c r="J163">
        <v>2.1014312133035118E-2</v>
      </c>
      <c r="K163" t="s">
        <v>14</v>
      </c>
      <c r="U163" t="s">
        <v>4256</v>
      </c>
      <c r="V163" t="s">
        <v>4586</v>
      </c>
      <c r="W163" t="s">
        <v>4285</v>
      </c>
      <c r="X163" t="s">
        <v>19</v>
      </c>
    </row>
    <row r="164" spans="8:24" x14ac:dyDescent="0.45">
      <c r="H164" t="s">
        <v>4418</v>
      </c>
      <c r="I164" t="s">
        <v>27</v>
      </c>
      <c r="J164">
        <v>2.1014312133035118E-2</v>
      </c>
      <c r="K164" t="s">
        <v>14</v>
      </c>
      <c r="U164" t="s">
        <v>4256</v>
      </c>
      <c r="V164" t="s">
        <v>4587</v>
      </c>
      <c r="W164" t="s">
        <v>4285</v>
      </c>
      <c r="X164" t="s">
        <v>19</v>
      </c>
    </row>
    <row r="165" spans="8:24" x14ac:dyDescent="0.45">
      <c r="H165" t="s">
        <v>4418</v>
      </c>
      <c r="I165" t="s">
        <v>36</v>
      </c>
      <c r="J165">
        <v>2.1014312133035118E-2</v>
      </c>
      <c r="K165" t="s">
        <v>14</v>
      </c>
      <c r="U165" t="s">
        <v>4256</v>
      </c>
      <c r="V165" t="s">
        <v>4588</v>
      </c>
      <c r="W165" t="s">
        <v>4285</v>
      </c>
      <c r="X165" t="s">
        <v>19</v>
      </c>
    </row>
    <row r="166" spans="8:24" x14ac:dyDescent="0.45">
      <c r="H166" t="s">
        <v>4420</v>
      </c>
      <c r="I166" t="s">
        <v>13</v>
      </c>
      <c r="J166">
        <v>1.4957046650590057E-2</v>
      </c>
      <c r="K166" t="s">
        <v>14</v>
      </c>
      <c r="U166" t="s">
        <v>4256</v>
      </c>
      <c r="V166" t="s">
        <v>4589</v>
      </c>
      <c r="W166" t="s">
        <v>4285</v>
      </c>
      <c r="X166" t="s">
        <v>19</v>
      </c>
    </row>
    <row r="167" spans="8:24" x14ac:dyDescent="0.45">
      <c r="H167" t="s">
        <v>4420</v>
      </c>
      <c r="I167" t="s">
        <v>27</v>
      </c>
      <c r="J167">
        <v>1.4957046650590057E-2</v>
      </c>
      <c r="K167" t="s">
        <v>14</v>
      </c>
      <c r="U167" t="s">
        <v>4256</v>
      </c>
      <c r="V167" t="s">
        <v>4590</v>
      </c>
      <c r="W167" t="s">
        <v>4285</v>
      </c>
      <c r="X167" t="s">
        <v>19</v>
      </c>
    </row>
    <row r="168" spans="8:24" x14ac:dyDescent="0.45">
      <c r="H168" t="s">
        <v>4420</v>
      </c>
      <c r="I168" t="s">
        <v>36</v>
      </c>
      <c r="J168">
        <v>1.4957046650590057E-2</v>
      </c>
      <c r="K168" t="s">
        <v>14</v>
      </c>
      <c r="U168" t="s">
        <v>4256</v>
      </c>
      <c r="V168" t="s">
        <v>4591</v>
      </c>
      <c r="W168" t="s">
        <v>4285</v>
      </c>
      <c r="X168" t="s">
        <v>19</v>
      </c>
    </row>
    <row r="169" spans="8:24" x14ac:dyDescent="0.45">
      <c r="H169" t="s">
        <v>4422</v>
      </c>
      <c r="I169" t="s">
        <v>13</v>
      </c>
      <c r="J169">
        <v>9.2817127331105091E-3</v>
      </c>
      <c r="K169" t="s">
        <v>14</v>
      </c>
      <c r="U169" t="s">
        <v>4256</v>
      </c>
      <c r="V169" t="s">
        <v>4591</v>
      </c>
      <c r="W169" t="s">
        <v>4528</v>
      </c>
      <c r="X169" t="s">
        <v>19</v>
      </c>
    </row>
    <row r="170" spans="8:24" x14ac:dyDescent="0.45">
      <c r="H170" t="s">
        <v>4422</v>
      </c>
      <c r="I170" t="s">
        <v>27</v>
      </c>
      <c r="J170">
        <v>9.2817127331105091E-3</v>
      </c>
      <c r="K170" t="s">
        <v>14</v>
      </c>
      <c r="U170" t="s">
        <v>4256</v>
      </c>
      <c r="V170" t="s">
        <v>4592</v>
      </c>
      <c r="W170" t="s">
        <v>4285</v>
      </c>
      <c r="X170" t="s">
        <v>19</v>
      </c>
    </row>
    <row r="171" spans="8:24" x14ac:dyDescent="0.45">
      <c r="H171" t="s">
        <v>4422</v>
      </c>
      <c r="I171" t="s">
        <v>36</v>
      </c>
      <c r="J171">
        <v>9.2817127331105091E-3</v>
      </c>
      <c r="K171" t="s">
        <v>14</v>
      </c>
      <c r="U171" t="s">
        <v>4256</v>
      </c>
      <c r="V171" t="s">
        <v>4592</v>
      </c>
      <c r="W171" t="s">
        <v>4528</v>
      </c>
      <c r="X171" t="s">
        <v>19</v>
      </c>
    </row>
    <row r="172" spans="8:24" x14ac:dyDescent="0.45">
      <c r="H172" t="s">
        <v>4424</v>
      </c>
      <c r="I172" t="s">
        <v>13</v>
      </c>
      <c r="J172">
        <v>1.9711662984737781E-3</v>
      </c>
      <c r="K172" t="s">
        <v>14</v>
      </c>
      <c r="U172" t="s">
        <v>4256</v>
      </c>
      <c r="V172" t="s">
        <v>4593</v>
      </c>
      <c r="W172" t="s">
        <v>4285</v>
      </c>
      <c r="X172" t="s">
        <v>19</v>
      </c>
    </row>
    <row r="173" spans="8:24" x14ac:dyDescent="0.45">
      <c r="H173" t="s">
        <v>4424</v>
      </c>
      <c r="I173" t="s">
        <v>27</v>
      </c>
      <c r="J173">
        <v>1.9711662984737781E-3</v>
      </c>
      <c r="K173" t="s">
        <v>14</v>
      </c>
      <c r="U173" t="s">
        <v>4256</v>
      </c>
      <c r="V173" t="s">
        <v>4593</v>
      </c>
      <c r="W173" t="s">
        <v>4528</v>
      </c>
      <c r="X173" t="s">
        <v>19</v>
      </c>
    </row>
    <row r="174" spans="8:24" x14ac:dyDescent="0.45">
      <c r="H174" t="s">
        <v>4424</v>
      </c>
      <c r="I174" t="s">
        <v>36</v>
      </c>
      <c r="J174">
        <v>1.9711662984737781E-3</v>
      </c>
      <c r="K174" t="s">
        <v>14</v>
      </c>
      <c r="U174" t="s">
        <v>4256</v>
      </c>
      <c r="V174" t="s">
        <v>4594</v>
      </c>
      <c r="W174" t="s">
        <v>4528</v>
      </c>
      <c r="X174" t="s">
        <v>19</v>
      </c>
    </row>
    <row r="175" spans="8:24" x14ac:dyDescent="0.45">
      <c r="H175" t="s">
        <v>4426</v>
      </c>
      <c r="I175" t="s">
        <v>13</v>
      </c>
      <c r="J175">
        <v>5.4999851048952456E-2</v>
      </c>
      <c r="K175" t="s">
        <v>14</v>
      </c>
      <c r="U175" t="s">
        <v>4256</v>
      </c>
      <c r="V175" t="s">
        <v>4595</v>
      </c>
      <c r="W175" t="s">
        <v>4528</v>
      </c>
      <c r="X175" t="s">
        <v>19</v>
      </c>
    </row>
    <row r="176" spans="8:24" x14ac:dyDescent="0.45">
      <c r="H176" t="s">
        <v>4426</v>
      </c>
      <c r="I176" t="s">
        <v>27</v>
      </c>
      <c r="J176">
        <v>5.4999851048952456E-2</v>
      </c>
      <c r="K176" t="s">
        <v>14</v>
      </c>
      <c r="U176" t="s">
        <v>4256</v>
      </c>
      <c r="V176" t="s">
        <v>4596</v>
      </c>
      <c r="W176" t="s">
        <v>4528</v>
      </c>
      <c r="X176" t="s">
        <v>19</v>
      </c>
    </row>
    <row r="177" spans="8:24" x14ac:dyDescent="0.45">
      <c r="H177" t="s">
        <v>4426</v>
      </c>
      <c r="I177" t="s">
        <v>36</v>
      </c>
      <c r="J177">
        <v>5.4999851048952456E-2</v>
      </c>
      <c r="K177" t="s">
        <v>14</v>
      </c>
      <c r="U177" t="s">
        <v>4256</v>
      </c>
      <c r="V177" t="s">
        <v>4596</v>
      </c>
      <c r="W177" t="s">
        <v>4285</v>
      </c>
      <c r="X177" t="s">
        <v>17</v>
      </c>
    </row>
    <row r="178" spans="8:24" x14ac:dyDescent="0.45">
      <c r="H178" t="s">
        <v>4427</v>
      </c>
      <c r="I178" t="s">
        <v>13</v>
      </c>
      <c r="J178">
        <v>0.14079546528895878</v>
      </c>
      <c r="K178" t="s">
        <v>14</v>
      </c>
      <c r="U178" t="s">
        <v>4256</v>
      </c>
      <c r="V178" t="s">
        <v>4597</v>
      </c>
      <c r="W178" t="s">
        <v>4528</v>
      </c>
      <c r="X178" t="s">
        <v>19</v>
      </c>
    </row>
    <row r="179" spans="8:24" x14ac:dyDescent="0.45">
      <c r="H179" t="s">
        <v>4427</v>
      </c>
      <c r="I179" t="s">
        <v>27</v>
      </c>
      <c r="J179">
        <v>0.14079546528895878</v>
      </c>
      <c r="K179" t="s">
        <v>14</v>
      </c>
      <c r="U179" t="s">
        <v>4256</v>
      </c>
      <c r="V179" t="s">
        <v>4597</v>
      </c>
      <c r="W179" t="s">
        <v>4285</v>
      </c>
      <c r="X179" t="s">
        <v>17</v>
      </c>
    </row>
    <row r="180" spans="8:24" x14ac:dyDescent="0.45">
      <c r="H180" t="s">
        <v>4427</v>
      </c>
      <c r="I180" t="s">
        <v>36</v>
      </c>
      <c r="J180">
        <v>0.14079546528895878</v>
      </c>
      <c r="K180" t="s">
        <v>14</v>
      </c>
      <c r="U180" t="s">
        <v>4256</v>
      </c>
      <c r="V180" t="s">
        <v>4598</v>
      </c>
      <c r="W180" t="s">
        <v>4289</v>
      </c>
      <c r="X180" t="s">
        <v>19</v>
      </c>
    </row>
    <row r="181" spans="8:24" x14ac:dyDescent="0.45">
      <c r="H181" t="s">
        <v>4429</v>
      </c>
      <c r="I181" t="s">
        <v>13</v>
      </c>
      <c r="J181">
        <v>8.7581994018226375E-2</v>
      </c>
      <c r="K181" t="s">
        <v>14</v>
      </c>
      <c r="U181" t="s">
        <v>4256</v>
      </c>
      <c r="V181" t="s">
        <v>4599</v>
      </c>
      <c r="W181" t="s">
        <v>4289</v>
      </c>
      <c r="X181" t="s">
        <v>19</v>
      </c>
    </row>
    <row r="182" spans="8:24" x14ac:dyDescent="0.45">
      <c r="H182" t="s">
        <v>4429</v>
      </c>
      <c r="I182" t="s">
        <v>27</v>
      </c>
      <c r="J182">
        <v>8.7581994018226375E-2</v>
      </c>
      <c r="K182" t="s">
        <v>14</v>
      </c>
      <c r="U182" t="s">
        <v>4256</v>
      </c>
      <c r="V182" t="s">
        <v>4600</v>
      </c>
      <c r="W182" t="s">
        <v>4289</v>
      </c>
      <c r="X182" t="s">
        <v>19</v>
      </c>
    </row>
    <row r="183" spans="8:24" x14ac:dyDescent="0.45">
      <c r="H183" t="s">
        <v>4429</v>
      </c>
      <c r="I183" t="s">
        <v>36</v>
      </c>
      <c r="J183">
        <v>8.7581994018226375E-2</v>
      </c>
      <c r="K183" t="s">
        <v>14</v>
      </c>
      <c r="U183" t="s">
        <v>4256</v>
      </c>
      <c r="V183" t="s">
        <v>4601</v>
      </c>
      <c r="W183" t="s">
        <v>4289</v>
      </c>
      <c r="X183" t="s">
        <v>19</v>
      </c>
    </row>
    <row r="184" spans="8:24" x14ac:dyDescent="0.45">
      <c r="H184" t="s">
        <v>4430</v>
      </c>
      <c r="I184" t="s">
        <v>13</v>
      </c>
      <c r="J184">
        <v>3.8799591828759243E-2</v>
      </c>
      <c r="K184" t="s">
        <v>14</v>
      </c>
      <c r="U184" t="s">
        <v>4256</v>
      </c>
      <c r="V184" t="s">
        <v>4602</v>
      </c>
      <c r="W184" t="s">
        <v>4289</v>
      </c>
      <c r="X184" t="s">
        <v>19</v>
      </c>
    </row>
    <row r="185" spans="8:24" x14ac:dyDescent="0.45">
      <c r="H185" t="s">
        <v>4430</v>
      </c>
      <c r="I185" t="s">
        <v>27</v>
      </c>
      <c r="J185">
        <v>3.8799591828759243E-2</v>
      </c>
      <c r="K185" t="s">
        <v>14</v>
      </c>
      <c r="U185" t="s">
        <v>4256</v>
      </c>
      <c r="V185" t="s">
        <v>4603</v>
      </c>
      <c r="W185" t="s">
        <v>4289</v>
      </c>
      <c r="X185" t="s">
        <v>19</v>
      </c>
    </row>
    <row r="186" spans="8:24" x14ac:dyDescent="0.45">
      <c r="H186" t="s">
        <v>4430</v>
      </c>
      <c r="I186" t="s">
        <v>36</v>
      </c>
      <c r="J186">
        <v>3.8799591828759243E-2</v>
      </c>
      <c r="K186" t="s">
        <v>14</v>
      </c>
      <c r="U186" t="s">
        <v>4256</v>
      </c>
      <c r="V186" t="s">
        <v>4604</v>
      </c>
      <c r="W186" t="s">
        <v>4289</v>
      </c>
      <c r="X186" t="s">
        <v>19</v>
      </c>
    </row>
    <row r="187" spans="8:24" x14ac:dyDescent="0.45">
      <c r="H187" t="s">
        <v>4432</v>
      </c>
      <c r="I187" t="s">
        <v>13</v>
      </c>
      <c r="J187">
        <v>6.1592649432204299E-2</v>
      </c>
      <c r="K187" t="s">
        <v>14</v>
      </c>
      <c r="U187" t="s">
        <v>4256</v>
      </c>
      <c r="V187" t="s">
        <v>4605</v>
      </c>
      <c r="W187" t="s">
        <v>4289</v>
      </c>
      <c r="X187" t="s">
        <v>19</v>
      </c>
    </row>
    <row r="188" spans="8:24" x14ac:dyDescent="0.45">
      <c r="H188" t="s">
        <v>4432</v>
      </c>
      <c r="I188" t="s">
        <v>27</v>
      </c>
      <c r="J188">
        <v>6.1592649432204299E-2</v>
      </c>
      <c r="K188" t="s">
        <v>14</v>
      </c>
      <c r="U188" t="s">
        <v>4256</v>
      </c>
      <c r="V188" t="s">
        <v>4606</v>
      </c>
      <c r="W188" t="s">
        <v>4289</v>
      </c>
      <c r="X188" t="s">
        <v>19</v>
      </c>
    </row>
    <row r="189" spans="8:24" x14ac:dyDescent="0.45">
      <c r="H189" t="s">
        <v>4432</v>
      </c>
      <c r="I189" t="s">
        <v>36</v>
      </c>
      <c r="J189">
        <v>6.1592649432204299E-2</v>
      </c>
      <c r="K189" t="s">
        <v>14</v>
      </c>
      <c r="U189" t="s">
        <v>4256</v>
      </c>
      <c r="V189" t="s">
        <v>4607</v>
      </c>
      <c r="W189" t="s">
        <v>4289</v>
      </c>
      <c r="X189" t="s">
        <v>19</v>
      </c>
    </row>
    <row r="190" spans="8:24" x14ac:dyDescent="0.45">
      <c r="H190" t="s">
        <v>4434</v>
      </c>
      <c r="I190" t="s">
        <v>13</v>
      </c>
      <c r="J190">
        <v>2.98510399758487E-3</v>
      </c>
      <c r="K190" t="s">
        <v>14</v>
      </c>
      <c r="U190" t="s">
        <v>4256</v>
      </c>
      <c r="V190" t="s">
        <v>4608</v>
      </c>
      <c r="W190" t="s">
        <v>4289</v>
      </c>
      <c r="X190" t="s">
        <v>19</v>
      </c>
    </row>
    <row r="191" spans="8:24" x14ac:dyDescent="0.45">
      <c r="H191" t="s">
        <v>4434</v>
      </c>
      <c r="I191" t="s">
        <v>27</v>
      </c>
      <c r="J191">
        <v>2.98510399758487E-3</v>
      </c>
      <c r="K191" t="s">
        <v>14</v>
      </c>
      <c r="U191" t="s">
        <v>4256</v>
      </c>
      <c r="V191" t="s">
        <v>4608</v>
      </c>
      <c r="W191" t="s">
        <v>4535</v>
      </c>
      <c r="X191" t="s">
        <v>19</v>
      </c>
    </row>
    <row r="192" spans="8:24" x14ac:dyDescent="0.45">
      <c r="H192" t="s">
        <v>4434</v>
      </c>
      <c r="I192" t="s">
        <v>36</v>
      </c>
      <c r="J192">
        <v>2.98510399758487E-3</v>
      </c>
      <c r="K192" t="s">
        <v>14</v>
      </c>
      <c r="U192" t="s">
        <v>4256</v>
      </c>
      <c r="V192" t="s">
        <v>4609</v>
      </c>
      <c r="W192" t="s">
        <v>4289</v>
      </c>
      <c r="X192" t="s">
        <v>19</v>
      </c>
    </row>
    <row r="193" spans="8:24" x14ac:dyDescent="0.45">
      <c r="H193" t="s">
        <v>4436</v>
      </c>
      <c r="I193" t="s">
        <v>13</v>
      </c>
      <c r="J193">
        <v>1.8962654108489418E-2</v>
      </c>
      <c r="K193" t="s">
        <v>14</v>
      </c>
      <c r="U193" t="s">
        <v>4256</v>
      </c>
      <c r="V193" t="s">
        <v>4609</v>
      </c>
      <c r="W193" t="s">
        <v>4535</v>
      </c>
      <c r="X193" t="s">
        <v>19</v>
      </c>
    </row>
    <row r="194" spans="8:24" x14ac:dyDescent="0.45">
      <c r="H194" t="s">
        <v>4436</v>
      </c>
      <c r="I194" t="s">
        <v>27</v>
      </c>
      <c r="J194">
        <v>1.8962654108489418E-2</v>
      </c>
      <c r="K194" t="s">
        <v>14</v>
      </c>
      <c r="U194" t="s">
        <v>4256</v>
      </c>
      <c r="V194" t="s">
        <v>4610</v>
      </c>
      <c r="W194" t="s">
        <v>4289</v>
      </c>
      <c r="X194" t="s">
        <v>19</v>
      </c>
    </row>
    <row r="195" spans="8:24" x14ac:dyDescent="0.45">
      <c r="H195" t="s">
        <v>4436</v>
      </c>
      <c r="I195" t="s">
        <v>36</v>
      </c>
      <c r="J195">
        <v>1.8962654108489418E-2</v>
      </c>
      <c r="K195" t="s">
        <v>14</v>
      </c>
      <c r="U195" t="s">
        <v>4256</v>
      </c>
      <c r="V195" t="s">
        <v>4610</v>
      </c>
      <c r="W195" t="s">
        <v>4535</v>
      </c>
      <c r="X195" t="s">
        <v>19</v>
      </c>
    </row>
    <row r="196" spans="8:24" x14ac:dyDescent="0.45">
      <c r="H196" t="s">
        <v>4437</v>
      </c>
      <c r="I196" t="s">
        <v>13</v>
      </c>
      <c r="J196">
        <v>5.7774531135718059E-2</v>
      </c>
      <c r="K196" t="s">
        <v>14</v>
      </c>
      <c r="U196" t="s">
        <v>4256</v>
      </c>
      <c r="V196" t="s">
        <v>4611</v>
      </c>
      <c r="W196" t="s">
        <v>4535</v>
      </c>
      <c r="X196" t="s">
        <v>19</v>
      </c>
    </row>
    <row r="197" spans="8:24" x14ac:dyDescent="0.45">
      <c r="H197" t="s">
        <v>4437</v>
      </c>
      <c r="I197" t="s">
        <v>27</v>
      </c>
      <c r="J197">
        <v>5.7774531135718059E-2</v>
      </c>
      <c r="K197" t="s">
        <v>14</v>
      </c>
      <c r="U197" t="s">
        <v>4256</v>
      </c>
      <c r="V197" t="s">
        <v>4612</v>
      </c>
      <c r="W197" t="s">
        <v>4535</v>
      </c>
      <c r="X197" t="s">
        <v>19</v>
      </c>
    </row>
    <row r="198" spans="8:24" x14ac:dyDescent="0.45">
      <c r="H198" t="s">
        <v>4437</v>
      </c>
      <c r="I198" t="s">
        <v>36</v>
      </c>
      <c r="J198">
        <v>5.7774531135718059E-2</v>
      </c>
      <c r="K198" t="s">
        <v>14</v>
      </c>
      <c r="U198" t="s">
        <v>4256</v>
      </c>
      <c r="V198" t="s">
        <v>4613</v>
      </c>
      <c r="W198" t="s">
        <v>4535</v>
      </c>
      <c r="X198" t="s">
        <v>19</v>
      </c>
    </row>
    <row r="199" spans="8:24" x14ac:dyDescent="0.45">
      <c r="H199" t="s">
        <v>4439</v>
      </c>
      <c r="I199" t="s">
        <v>13</v>
      </c>
      <c r="J199">
        <v>3.9997308388165322E-2</v>
      </c>
      <c r="K199" t="s">
        <v>14</v>
      </c>
      <c r="U199" t="s">
        <v>4256</v>
      </c>
      <c r="V199" t="s">
        <v>4613</v>
      </c>
      <c r="W199" t="s">
        <v>4289</v>
      </c>
      <c r="X199" t="s">
        <v>17</v>
      </c>
    </row>
    <row r="200" spans="8:24" x14ac:dyDescent="0.45">
      <c r="H200" t="s">
        <v>4439</v>
      </c>
      <c r="I200" t="s">
        <v>27</v>
      </c>
      <c r="J200">
        <v>3.9997308388165322E-2</v>
      </c>
      <c r="K200" t="s">
        <v>14</v>
      </c>
      <c r="U200" t="s">
        <v>4256</v>
      </c>
      <c r="V200" t="s">
        <v>4614</v>
      </c>
      <c r="W200" t="s">
        <v>4535</v>
      </c>
      <c r="X200" t="s">
        <v>19</v>
      </c>
    </row>
    <row r="201" spans="8:24" x14ac:dyDescent="0.45">
      <c r="H201" t="s">
        <v>4439</v>
      </c>
      <c r="I201" t="s">
        <v>36</v>
      </c>
      <c r="J201">
        <v>3.9997308388165322E-2</v>
      </c>
      <c r="K201" t="s">
        <v>14</v>
      </c>
      <c r="U201" t="s">
        <v>4256</v>
      </c>
      <c r="V201" t="s">
        <v>4614</v>
      </c>
      <c r="W201" t="s">
        <v>4289</v>
      </c>
      <c r="X201" t="s">
        <v>17</v>
      </c>
    </row>
    <row r="202" spans="8:24" x14ac:dyDescent="0.45">
      <c r="H202" t="s">
        <v>4440</v>
      </c>
      <c r="I202" t="s">
        <v>13</v>
      </c>
      <c r="J202">
        <v>3.7072829096448587E-2</v>
      </c>
      <c r="K202" t="s">
        <v>14</v>
      </c>
      <c r="U202" t="s">
        <v>4256</v>
      </c>
      <c r="V202" t="s">
        <v>4615</v>
      </c>
      <c r="W202" t="s">
        <v>4293</v>
      </c>
      <c r="X202" t="s">
        <v>19</v>
      </c>
    </row>
    <row r="203" spans="8:24" x14ac:dyDescent="0.45">
      <c r="H203" t="s">
        <v>4440</v>
      </c>
      <c r="I203" t="s">
        <v>27</v>
      </c>
      <c r="J203">
        <v>3.7072829096448587E-2</v>
      </c>
      <c r="K203" t="s">
        <v>14</v>
      </c>
      <c r="U203" t="s">
        <v>4256</v>
      </c>
      <c r="V203" t="s">
        <v>4616</v>
      </c>
      <c r="W203" t="s">
        <v>4293</v>
      </c>
      <c r="X203" t="s">
        <v>19</v>
      </c>
    </row>
    <row r="204" spans="8:24" x14ac:dyDescent="0.45">
      <c r="H204" t="s">
        <v>4440</v>
      </c>
      <c r="I204" t="s">
        <v>36</v>
      </c>
      <c r="J204">
        <v>3.7072829096448587E-2</v>
      </c>
      <c r="K204" t="s">
        <v>14</v>
      </c>
      <c r="U204" t="s">
        <v>4256</v>
      </c>
      <c r="V204" t="s">
        <v>4617</v>
      </c>
      <c r="W204" t="s">
        <v>4293</v>
      </c>
      <c r="X204" t="s">
        <v>19</v>
      </c>
    </row>
    <row r="205" spans="8:24" x14ac:dyDescent="0.45">
      <c r="H205" t="s">
        <v>4442</v>
      </c>
      <c r="I205" t="s">
        <v>13</v>
      </c>
      <c r="J205">
        <v>5.8533821504819554E-2</v>
      </c>
      <c r="K205" t="s">
        <v>14</v>
      </c>
      <c r="U205" t="s">
        <v>4256</v>
      </c>
      <c r="V205" t="s">
        <v>4618</v>
      </c>
      <c r="W205" t="s">
        <v>4293</v>
      </c>
      <c r="X205" t="s">
        <v>19</v>
      </c>
    </row>
    <row r="206" spans="8:24" x14ac:dyDescent="0.45">
      <c r="H206" t="s">
        <v>4442</v>
      </c>
      <c r="I206" t="s">
        <v>27</v>
      </c>
      <c r="J206">
        <v>5.8533821504819554E-2</v>
      </c>
      <c r="K206" t="s">
        <v>14</v>
      </c>
      <c r="U206" t="s">
        <v>4256</v>
      </c>
      <c r="V206" t="s">
        <v>4619</v>
      </c>
      <c r="W206" t="s">
        <v>4293</v>
      </c>
      <c r="X206" t="s">
        <v>19</v>
      </c>
    </row>
    <row r="207" spans="8:24" x14ac:dyDescent="0.45">
      <c r="H207" t="s">
        <v>4442</v>
      </c>
      <c r="I207" t="s">
        <v>36</v>
      </c>
      <c r="J207">
        <v>5.8533821504819554E-2</v>
      </c>
      <c r="K207" t="s">
        <v>14</v>
      </c>
      <c r="U207" t="s">
        <v>4256</v>
      </c>
      <c r="V207" t="s">
        <v>4620</v>
      </c>
      <c r="W207" t="s">
        <v>4293</v>
      </c>
      <c r="X207" t="s">
        <v>19</v>
      </c>
    </row>
    <row r="208" spans="8:24" x14ac:dyDescent="0.45">
      <c r="H208" t="s">
        <v>4444</v>
      </c>
      <c r="I208" t="s">
        <v>13</v>
      </c>
      <c r="J208">
        <v>5.7069421275448021E-2</v>
      </c>
      <c r="K208" t="s">
        <v>14</v>
      </c>
      <c r="U208" t="s">
        <v>4256</v>
      </c>
      <c r="V208" t="s">
        <v>4621</v>
      </c>
      <c r="W208" t="s">
        <v>4293</v>
      </c>
      <c r="X208" t="s">
        <v>19</v>
      </c>
    </row>
    <row r="209" spans="8:24" x14ac:dyDescent="0.45">
      <c r="H209" t="s">
        <v>4444</v>
      </c>
      <c r="I209" t="s">
        <v>27</v>
      </c>
      <c r="J209">
        <v>5.7069421275448021E-2</v>
      </c>
      <c r="K209" t="s">
        <v>14</v>
      </c>
      <c r="U209" t="s">
        <v>4256</v>
      </c>
      <c r="V209" t="s">
        <v>4622</v>
      </c>
      <c r="W209" t="s">
        <v>4293</v>
      </c>
      <c r="X209" t="s">
        <v>19</v>
      </c>
    </row>
    <row r="210" spans="8:24" x14ac:dyDescent="0.45">
      <c r="H210" t="s">
        <v>4444</v>
      </c>
      <c r="I210" t="s">
        <v>36</v>
      </c>
      <c r="J210">
        <v>5.7069421275448021E-2</v>
      </c>
      <c r="K210" t="s">
        <v>14</v>
      </c>
      <c r="U210" t="s">
        <v>4256</v>
      </c>
      <c r="V210" t="s">
        <v>4623</v>
      </c>
      <c r="W210" t="s">
        <v>4293</v>
      </c>
      <c r="X210" t="s">
        <v>19</v>
      </c>
    </row>
    <row r="211" spans="8:24" x14ac:dyDescent="0.45">
      <c r="H211" t="s">
        <v>4446</v>
      </c>
      <c r="I211" t="s">
        <v>13</v>
      </c>
      <c r="J211">
        <v>4.0586503791623776E-2</v>
      </c>
      <c r="K211" t="s">
        <v>14</v>
      </c>
      <c r="U211" t="s">
        <v>4256</v>
      </c>
      <c r="V211" t="s">
        <v>4624</v>
      </c>
      <c r="W211" t="s">
        <v>4293</v>
      </c>
      <c r="X211" t="s">
        <v>19</v>
      </c>
    </row>
    <row r="212" spans="8:24" x14ac:dyDescent="0.45">
      <c r="H212" t="s">
        <v>4446</v>
      </c>
      <c r="I212" t="s">
        <v>27</v>
      </c>
      <c r="J212">
        <v>4.0586503791623776E-2</v>
      </c>
      <c r="K212" t="s">
        <v>14</v>
      </c>
      <c r="U212" t="s">
        <v>4256</v>
      </c>
      <c r="V212" t="s">
        <v>4625</v>
      </c>
      <c r="W212" t="s">
        <v>4293</v>
      </c>
      <c r="X212" t="s">
        <v>19</v>
      </c>
    </row>
    <row r="213" spans="8:24" x14ac:dyDescent="0.45">
      <c r="H213" t="s">
        <v>4446</v>
      </c>
      <c r="I213" t="s">
        <v>36</v>
      </c>
      <c r="J213">
        <v>4.0586503791623776E-2</v>
      </c>
      <c r="K213" t="s">
        <v>14</v>
      </c>
      <c r="U213" t="s">
        <v>4256</v>
      </c>
      <c r="V213" t="s">
        <v>4625</v>
      </c>
      <c r="W213" t="s">
        <v>4517</v>
      </c>
      <c r="X213" t="s">
        <v>19</v>
      </c>
    </row>
    <row r="214" spans="8:24" x14ac:dyDescent="0.45">
      <c r="H214" t="s">
        <v>4448</v>
      </c>
      <c r="I214" t="s">
        <v>13</v>
      </c>
      <c r="J214">
        <v>1.1279208920086967E-2</v>
      </c>
      <c r="K214" t="s">
        <v>14</v>
      </c>
      <c r="U214" t="s">
        <v>4256</v>
      </c>
      <c r="V214" t="s">
        <v>4626</v>
      </c>
      <c r="W214" t="s">
        <v>4293</v>
      </c>
      <c r="X214" t="s">
        <v>19</v>
      </c>
    </row>
    <row r="215" spans="8:24" x14ac:dyDescent="0.45">
      <c r="H215" t="s">
        <v>4448</v>
      </c>
      <c r="I215" t="s">
        <v>27</v>
      </c>
      <c r="J215">
        <v>1.1279208920086967E-2</v>
      </c>
      <c r="K215" t="s">
        <v>14</v>
      </c>
      <c r="U215" t="s">
        <v>4256</v>
      </c>
      <c r="V215" t="s">
        <v>4626</v>
      </c>
      <c r="W215" t="s">
        <v>4517</v>
      </c>
      <c r="X215" t="s">
        <v>19</v>
      </c>
    </row>
    <row r="216" spans="8:24" x14ac:dyDescent="0.45">
      <c r="H216" t="s">
        <v>4448</v>
      </c>
      <c r="I216" t="s">
        <v>36</v>
      </c>
      <c r="J216">
        <v>1.1279208920086967E-2</v>
      </c>
      <c r="K216" t="s">
        <v>14</v>
      </c>
      <c r="U216" t="s">
        <v>4256</v>
      </c>
      <c r="V216" t="s">
        <v>4627</v>
      </c>
      <c r="W216" t="s">
        <v>4293</v>
      </c>
      <c r="X216" t="s">
        <v>19</v>
      </c>
    </row>
    <row r="217" spans="8:24" x14ac:dyDescent="0.45">
      <c r="H217" t="s">
        <v>4450</v>
      </c>
      <c r="I217" t="s">
        <v>13</v>
      </c>
      <c r="J217">
        <v>1.5162556520179544E-2</v>
      </c>
      <c r="K217" t="s">
        <v>14</v>
      </c>
      <c r="U217" t="s">
        <v>4256</v>
      </c>
      <c r="V217" t="s">
        <v>4627</v>
      </c>
      <c r="W217" t="s">
        <v>4517</v>
      </c>
      <c r="X217" t="s">
        <v>19</v>
      </c>
    </row>
    <row r="218" spans="8:24" x14ac:dyDescent="0.45">
      <c r="H218" t="s">
        <v>4450</v>
      </c>
      <c r="I218" t="s">
        <v>27</v>
      </c>
      <c r="J218">
        <v>1.5162556520179544E-2</v>
      </c>
      <c r="K218" t="s">
        <v>14</v>
      </c>
      <c r="U218" t="s">
        <v>4256</v>
      </c>
      <c r="V218" t="s">
        <v>4628</v>
      </c>
      <c r="W218" t="s">
        <v>4517</v>
      </c>
      <c r="X218" t="s">
        <v>19</v>
      </c>
    </row>
    <row r="219" spans="8:24" x14ac:dyDescent="0.45">
      <c r="H219" t="s">
        <v>4450</v>
      </c>
      <c r="I219" t="s">
        <v>36</v>
      </c>
      <c r="J219">
        <v>1.5162556520179544E-2</v>
      </c>
      <c r="K219" t="s">
        <v>14</v>
      </c>
      <c r="U219" t="s">
        <v>4256</v>
      </c>
      <c r="V219" t="s">
        <v>4629</v>
      </c>
      <c r="W219" t="s">
        <v>4517</v>
      </c>
      <c r="X219" t="s">
        <v>19</v>
      </c>
    </row>
    <row r="220" spans="8:24" x14ac:dyDescent="0.45">
      <c r="H220" t="s">
        <v>4452</v>
      </c>
      <c r="I220" t="s">
        <v>13</v>
      </c>
      <c r="J220">
        <v>1.3940756810674821E-2</v>
      </c>
      <c r="K220" t="s">
        <v>14</v>
      </c>
      <c r="U220" t="s">
        <v>4256</v>
      </c>
      <c r="V220" t="s">
        <v>4630</v>
      </c>
      <c r="W220" t="s">
        <v>4517</v>
      </c>
      <c r="X220" t="s">
        <v>19</v>
      </c>
    </row>
    <row r="221" spans="8:24" x14ac:dyDescent="0.45">
      <c r="H221" t="s">
        <v>4452</v>
      </c>
      <c r="I221" t="s">
        <v>27</v>
      </c>
      <c r="J221">
        <v>1.3940756810674821E-2</v>
      </c>
      <c r="K221" t="s">
        <v>14</v>
      </c>
      <c r="U221" t="s">
        <v>4256</v>
      </c>
      <c r="V221" t="s">
        <v>4630</v>
      </c>
      <c r="W221" t="s">
        <v>4293</v>
      </c>
      <c r="X221" t="s">
        <v>17</v>
      </c>
    </row>
    <row r="222" spans="8:24" x14ac:dyDescent="0.45">
      <c r="H222" t="s">
        <v>4452</v>
      </c>
      <c r="I222" t="s">
        <v>36</v>
      </c>
      <c r="J222">
        <v>1.3940756810674821E-2</v>
      </c>
      <c r="K222" t="s">
        <v>14</v>
      </c>
      <c r="U222" t="s">
        <v>4256</v>
      </c>
      <c r="V222" t="s">
        <v>4631</v>
      </c>
      <c r="W222" t="s">
        <v>4517</v>
      </c>
      <c r="X222" t="s">
        <v>19</v>
      </c>
    </row>
    <row r="223" spans="8:24" x14ac:dyDescent="0.45">
      <c r="H223" t="s">
        <v>4454</v>
      </c>
      <c r="I223" t="s">
        <v>13</v>
      </c>
      <c r="J223">
        <v>0.14686629567306916</v>
      </c>
      <c r="K223" t="s">
        <v>14</v>
      </c>
      <c r="U223" t="s">
        <v>4256</v>
      </c>
      <c r="V223" t="s">
        <v>4631</v>
      </c>
      <c r="W223" t="s">
        <v>4293</v>
      </c>
      <c r="X223" t="s">
        <v>17</v>
      </c>
    </row>
    <row r="224" spans="8:24" x14ac:dyDescent="0.45">
      <c r="H224" t="s">
        <v>4454</v>
      </c>
      <c r="I224" t="s">
        <v>27</v>
      </c>
      <c r="J224">
        <v>0.14686629567306916</v>
      </c>
      <c r="K224" t="s">
        <v>14</v>
      </c>
      <c r="U224" t="s">
        <v>4256</v>
      </c>
      <c r="V224" t="s">
        <v>4632</v>
      </c>
      <c r="W224" t="s">
        <v>4297</v>
      </c>
      <c r="X224" t="s">
        <v>19</v>
      </c>
    </row>
    <row r="225" spans="8:24" x14ac:dyDescent="0.45">
      <c r="H225" t="s">
        <v>4454</v>
      </c>
      <c r="I225" t="s">
        <v>36</v>
      </c>
      <c r="J225">
        <v>0.14686629567306916</v>
      </c>
      <c r="K225" t="s">
        <v>14</v>
      </c>
      <c r="U225" t="s">
        <v>4256</v>
      </c>
      <c r="V225" t="s">
        <v>4633</v>
      </c>
      <c r="W225" t="s">
        <v>4297</v>
      </c>
      <c r="X225" t="s">
        <v>19</v>
      </c>
    </row>
    <row r="226" spans="8:24" x14ac:dyDescent="0.45">
      <c r="H226" t="s">
        <v>4456</v>
      </c>
      <c r="I226" t="s">
        <v>13</v>
      </c>
      <c r="J226">
        <v>3.1656222966063639E-3</v>
      </c>
      <c r="K226" t="s">
        <v>14</v>
      </c>
      <c r="U226" t="s">
        <v>4256</v>
      </c>
      <c r="V226" t="s">
        <v>4634</v>
      </c>
      <c r="W226" t="s">
        <v>4297</v>
      </c>
      <c r="X226" t="s">
        <v>19</v>
      </c>
    </row>
    <row r="227" spans="8:24" x14ac:dyDescent="0.45">
      <c r="H227" t="s">
        <v>4456</v>
      </c>
      <c r="I227" t="s">
        <v>27</v>
      </c>
      <c r="J227">
        <v>3.1656222966063639E-3</v>
      </c>
      <c r="K227" t="s">
        <v>14</v>
      </c>
      <c r="U227" t="s">
        <v>4256</v>
      </c>
      <c r="V227" t="s">
        <v>4635</v>
      </c>
      <c r="W227" t="s">
        <v>4297</v>
      </c>
      <c r="X227" t="s">
        <v>19</v>
      </c>
    </row>
    <row r="228" spans="8:24" x14ac:dyDescent="0.45">
      <c r="H228" t="s">
        <v>4456</v>
      </c>
      <c r="I228" t="s">
        <v>36</v>
      </c>
      <c r="J228">
        <v>3.1656222966063639E-3</v>
      </c>
      <c r="K228" t="s">
        <v>14</v>
      </c>
      <c r="U228" t="s">
        <v>4256</v>
      </c>
      <c r="V228" t="s">
        <v>4636</v>
      </c>
      <c r="W228" t="s">
        <v>4297</v>
      </c>
      <c r="X228" t="s">
        <v>19</v>
      </c>
    </row>
    <row r="229" spans="8:24" x14ac:dyDescent="0.45">
      <c r="H229" t="s">
        <v>4458</v>
      </c>
      <c r="I229" t="s">
        <v>13</v>
      </c>
      <c r="J229">
        <v>1.1038512297064125E-2</v>
      </c>
      <c r="K229" t="s">
        <v>14</v>
      </c>
      <c r="U229" t="s">
        <v>4256</v>
      </c>
      <c r="V229" t="s">
        <v>4637</v>
      </c>
      <c r="W229" t="s">
        <v>4297</v>
      </c>
      <c r="X229" t="s">
        <v>19</v>
      </c>
    </row>
    <row r="230" spans="8:24" x14ac:dyDescent="0.45">
      <c r="H230" t="s">
        <v>4458</v>
      </c>
      <c r="I230" t="s">
        <v>27</v>
      </c>
      <c r="J230">
        <v>1.1038512297064125E-2</v>
      </c>
      <c r="K230" t="s">
        <v>14</v>
      </c>
      <c r="U230" t="s">
        <v>4256</v>
      </c>
      <c r="V230" t="s">
        <v>4638</v>
      </c>
      <c r="W230" t="s">
        <v>4297</v>
      </c>
      <c r="X230" t="s">
        <v>19</v>
      </c>
    </row>
    <row r="231" spans="8:24" x14ac:dyDescent="0.45">
      <c r="H231" t="s">
        <v>4458</v>
      </c>
      <c r="I231" t="s">
        <v>36</v>
      </c>
      <c r="J231">
        <v>1.1038512297064125E-2</v>
      </c>
      <c r="K231" t="s">
        <v>14</v>
      </c>
      <c r="U231" t="s">
        <v>4256</v>
      </c>
      <c r="V231" t="s">
        <v>4639</v>
      </c>
      <c r="W231" t="s">
        <v>4297</v>
      </c>
      <c r="X231" t="s">
        <v>19</v>
      </c>
    </row>
    <row r="232" spans="8:24" x14ac:dyDescent="0.45">
      <c r="H232" t="s">
        <v>4460</v>
      </c>
      <c r="I232" t="s">
        <v>13</v>
      </c>
      <c r="J232">
        <v>5.0452933239717255E-3</v>
      </c>
      <c r="K232" t="s">
        <v>14</v>
      </c>
      <c r="U232" t="s">
        <v>4256</v>
      </c>
      <c r="V232" t="s">
        <v>4640</v>
      </c>
      <c r="W232" t="s">
        <v>4297</v>
      </c>
      <c r="X232" t="s">
        <v>19</v>
      </c>
    </row>
    <row r="233" spans="8:24" x14ac:dyDescent="0.45">
      <c r="H233" t="s">
        <v>4460</v>
      </c>
      <c r="I233" t="s">
        <v>27</v>
      </c>
      <c r="J233">
        <v>5.0452933239717255E-3</v>
      </c>
      <c r="K233" t="s">
        <v>14</v>
      </c>
      <c r="U233" t="s">
        <v>4256</v>
      </c>
      <c r="V233" t="s">
        <v>4641</v>
      </c>
      <c r="W233" t="s">
        <v>4297</v>
      </c>
      <c r="X233" t="s">
        <v>19</v>
      </c>
    </row>
    <row r="234" spans="8:24" x14ac:dyDescent="0.45">
      <c r="H234" t="s">
        <v>4460</v>
      </c>
      <c r="I234" t="s">
        <v>36</v>
      </c>
      <c r="J234">
        <v>5.0452933239717255E-3</v>
      </c>
      <c r="K234" t="s">
        <v>14</v>
      </c>
      <c r="U234" t="s">
        <v>4256</v>
      </c>
      <c r="V234" t="s">
        <v>4642</v>
      </c>
      <c r="W234" t="s">
        <v>4297</v>
      </c>
      <c r="X234" t="s">
        <v>19</v>
      </c>
    </row>
    <row r="235" spans="8:24" x14ac:dyDescent="0.45">
      <c r="H235" t="s">
        <v>4462</v>
      </c>
      <c r="I235" t="s">
        <v>13</v>
      </c>
      <c r="J235">
        <v>2.9525791427738046E-2</v>
      </c>
      <c r="K235" t="s">
        <v>14</v>
      </c>
      <c r="U235" t="s">
        <v>4256</v>
      </c>
      <c r="V235" t="s">
        <v>4642</v>
      </c>
      <c r="W235" t="s">
        <v>4525</v>
      </c>
      <c r="X235" t="s">
        <v>19</v>
      </c>
    </row>
    <row r="236" spans="8:24" x14ac:dyDescent="0.45">
      <c r="H236" t="s">
        <v>4462</v>
      </c>
      <c r="I236" t="s">
        <v>27</v>
      </c>
      <c r="J236">
        <v>2.9525791427738046E-2</v>
      </c>
      <c r="K236" t="s">
        <v>14</v>
      </c>
      <c r="U236" t="s">
        <v>4256</v>
      </c>
      <c r="V236" t="s">
        <v>4643</v>
      </c>
      <c r="W236" t="s">
        <v>4297</v>
      </c>
      <c r="X236" t="s">
        <v>19</v>
      </c>
    </row>
    <row r="237" spans="8:24" x14ac:dyDescent="0.45">
      <c r="H237" t="s">
        <v>4462</v>
      </c>
      <c r="I237" t="s">
        <v>36</v>
      </c>
      <c r="J237">
        <v>2.9525791427738046E-2</v>
      </c>
      <c r="K237" t="s">
        <v>14</v>
      </c>
      <c r="U237" t="s">
        <v>4256</v>
      </c>
      <c r="V237" t="s">
        <v>4643</v>
      </c>
      <c r="W237" t="s">
        <v>4525</v>
      </c>
      <c r="X237" t="s">
        <v>19</v>
      </c>
    </row>
    <row r="238" spans="8:24" x14ac:dyDescent="0.45">
      <c r="H238" t="s">
        <v>4464</v>
      </c>
      <c r="I238" t="s">
        <v>13</v>
      </c>
      <c r="J238">
        <v>2.1014312133035118E-2</v>
      </c>
      <c r="K238" t="s">
        <v>14</v>
      </c>
      <c r="U238" t="s">
        <v>4256</v>
      </c>
      <c r="V238" t="s">
        <v>4644</v>
      </c>
      <c r="W238" t="s">
        <v>4297</v>
      </c>
      <c r="X238" t="s">
        <v>19</v>
      </c>
    </row>
    <row r="239" spans="8:24" x14ac:dyDescent="0.45">
      <c r="H239" t="s">
        <v>4464</v>
      </c>
      <c r="I239" t="s">
        <v>27</v>
      </c>
      <c r="J239">
        <v>2.1014312133035118E-2</v>
      </c>
      <c r="K239" t="s">
        <v>14</v>
      </c>
      <c r="U239" t="s">
        <v>4256</v>
      </c>
      <c r="V239" t="s">
        <v>4644</v>
      </c>
      <c r="W239" t="s">
        <v>4525</v>
      </c>
      <c r="X239" t="s">
        <v>19</v>
      </c>
    </row>
    <row r="240" spans="8:24" x14ac:dyDescent="0.45">
      <c r="H240" t="s">
        <v>4464</v>
      </c>
      <c r="I240" t="s">
        <v>36</v>
      </c>
      <c r="J240">
        <v>2.1014312133035118E-2</v>
      </c>
      <c r="K240" t="s">
        <v>14</v>
      </c>
      <c r="U240" t="s">
        <v>4256</v>
      </c>
      <c r="V240" t="s">
        <v>4645</v>
      </c>
      <c r="W240" t="s">
        <v>4525</v>
      </c>
      <c r="X240" t="s">
        <v>19</v>
      </c>
    </row>
    <row r="241" spans="8:24" x14ac:dyDescent="0.45">
      <c r="H241" t="s">
        <v>4466</v>
      </c>
      <c r="I241" t="s">
        <v>13</v>
      </c>
      <c r="J241">
        <v>1.4957046650590057E-2</v>
      </c>
      <c r="K241" t="s">
        <v>14</v>
      </c>
      <c r="U241" t="s">
        <v>4256</v>
      </c>
      <c r="V241" t="s">
        <v>4646</v>
      </c>
      <c r="W241" t="s">
        <v>4525</v>
      </c>
      <c r="X241" t="s">
        <v>19</v>
      </c>
    </row>
    <row r="242" spans="8:24" x14ac:dyDescent="0.45">
      <c r="H242" t="s">
        <v>4466</v>
      </c>
      <c r="I242" t="s">
        <v>27</v>
      </c>
      <c r="J242">
        <v>1.4957046650590057E-2</v>
      </c>
      <c r="K242" t="s">
        <v>14</v>
      </c>
      <c r="U242" t="s">
        <v>4256</v>
      </c>
      <c r="V242" t="s">
        <v>4647</v>
      </c>
      <c r="W242" t="s">
        <v>4525</v>
      </c>
      <c r="X242" t="s">
        <v>19</v>
      </c>
    </row>
    <row r="243" spans="8:24" x14ac:dyDescent="0.45">
      <c r="H243" t="s">
        <v>4466</v>
      </c>
      <c r="I243" t="s">
        <v>36</v>
      </c>
      <c r="J243">
        <v>1.4957046650590057E-2</v>
      </c>
      <c r="K243" t="s">
        <v>14</v>
      </c>
      <c r="U243" t="s">
        <v>4256</v>
      </c>
      <c r="V243" t="s">
        <v>4647</v>
      </c>
      <c r="W243" t="s">
        <v>4297</v>
      </c>
      <c r="X243" t="s">
        <v>17</v>
      </c>
    </row>
    <row r="244" spans="8:24" x14ac:dyDescent="0.45">
      <c r="H244" t="s">
        <v>4467</v>
      </c>
      <c r="I244" t="s">
        <v>13</v>
      </c>
      <c r="J244">
        <v>9.2817127331105091E-3</v>
      </c>
      <c r="K244" t="s">
        <v>14</v>
      </c>
      <c r="U244" t="s">
        <v>4256</v>
      </c>
      <c r="V244" t="s">
        <v>4648</v>
      </c>
      <c r="W244" t="s">
        <v>4525</v>
      </c>
      <c r="X244" t="s">
        <v>19</v>
      </c>
    </row>
    <row r="245" spans="8:24" x14ac:dyDescent="0.45">
      <c r="H245" t="s">
        <v>4467</v>
      </c>
      <c r="I245" t="s">
        <v>27</v>
      </c>
      <c r="J245">
        <v>9.2817127331105091E-3</v>
      </c>
      <c r="K245" t="s">
        <v>14</v>
      </c>
      <c r="U245" t="s">
        <v>4256</v>
      </c>
      <c r="V245" t="s">
        <v>4648</v>
      </c>
      <c r="W245" t="s">
        <v>4297</v>
      </c>
      <c r="X245" t="s">
        <v>17</v>
      </c>
    </row>
    <row r="246" spans="8:24" x14ac:dyDescent="0.45">
      <c r="H246" t="s">
        <v>4467</v>
      </c>
      <c r="I246" t="s">
        <v>36</v>
      </c>
      <c r="J246">
        <v>9.2817127331105091E-3</v>
      </c>
      <c r="K246" t="s">
        <v>14</v>
      </c>
      <c r="U246" t="s">
        <v>4256</v>
      </c>
      <c r="V246" t="s">
        <v>4649</v>
      </c>
      <c r="W246" t="s">
        <v>4301</v>
      </c>
      <c r="X246" t="s">
        <v>19</v>
      </c>
    </row>
    <row r="247" spans="8:24" x14ac:dyDescent="0.45">
      <c r="H247" t="s">
        <v>4469</v>
      </c>
      <c r="I247" t="s">
        <v>13</v>
      </c>
      <c r="J247">
        <v>1.9711662984737781E-3</v>
      </c>
      <c r="K247" t="s">
        <v>14</v>
      </c>
      <c r="U247" t="s">
        <v>4256</v>
      </c>
      <c r="V247" t="s">
        <v>4650</v>
      </c>
      <c r="W247" t="s">
        <v>4301</v>
      </c>
      <c r="X247" t="s">
        <v>19</v>
      </c>
    </row>
    <row r="248" spans="8:24" x14ac:dyDescent="0.45">
      <c r="H248" t="s">
        <v>4469</v>
      </c>
      <c r="I248" t="s">
        <v>27</v>
      </c>
      <c r="J248">
        <v>1.9711662984737781E-3</v>
      </c>
      <c r="K248" t="s">
        <v>14</v>
      </c>
      <c r="U248" t="s">
        <v>4256</v>
      </c>
      <c r="V248" t="s">
        <v>4651</v>
      </c>
      <c r="W248" t="s">
        <v>4301</v>
      </c>
      <c r="X248" t="s">
        <v>19</v>
      </c>
    </row>
    <row r="249" spans="8:24" x14ac:dyDescent="0.45">
      <c r="H249" t="s">
        <v>4469</v>
      </c>
      <c r="I249" t="s">
        <v>36</v>
      </c>
      <c r="J249">
        <v>1.9711662984737781E-3</v>
      </c>
      <c r="K249" t="s">
        <v>14</v>
      </c>
      <c r="U249" t="s">
        <v>4256</v>
      </c>
      <c r="V249" t="s">
        <v>4652</v>
      </c>
      <c r="W249" t="s">
        <v>4301</v>
      </c>
      <c r="X249" t="s">
        <v>19</v>
      </c>
    </row>
    <row r="250" spans="8:24" x14ac:dyDescent="0.45">
      <c r="H250" t="s">
        <v>4470</v>
      </c>
      <c r="I250" t="s">
        <v>13</v>
      </c>
      <c r="J250">
        <v>5.4999851048952456E-2</v>
      </c>
      <c r="K250" t="s">
        <v>14</v>
      </c>
      <c r="U250" t="s">
        <v>4256</v>
      </c>
      <c r="V250" t="s">
        <v>4653</v>
      </c>
      <c r="W250" t="s">
        <v>4301</v>
      </c>
      <c r="X250" t="s">
        <v>19</v>
      </c>
    </row>
    <row r="251" spans="8:24" x14ac:dyDescent="0.45">
      <c r="H251" t="s">
        <v>4470</v>
      </c>
      <c r="I251" t="s">
        <v>27</v>
      </c>
      <c r="J251">
        <v>5.4999851048952456E-2</v>
      </c>
      <c r="K251" t="s">
        <v>14</v>
      </c>
      <c r="U251" t="s">
        <v>4256</v>
      </c>
      <c r="V251" t="s">
        <v>4654</v>
      </c>
      <c r="W251" t="s">
        <v>4301</v>
      </c>
      <c r="X251" t="s">
        <v>19</v>
      </c>
    </row>
    <row r="252" spans="8:24" x14ac:dyDescent="0.45">
      <c r="H252" t="s">
        <v>4470</v>
      </c>
      <c r="I252" t="s">
        <v>36</v>
      </c>
      <c r="J252">
        <v>5.4999851048952456E-2</v>
      </c>
      <c r="K252" t="s">
        <v>14</v>
      </c>
      <c r="U252" t="s">
        <v>4256</v>
      </c>
      <c r="V252" t="s">
        <v>4655</v>
      </c>
      <c r="W252" t="s">
        <v>4301</v>
      </c>
      <c r="X252" t="s">
        <v>19</v>
      </c>
    </row>
    <row r="253" spans="8:24" x14ac:dyDescent="0.45">
      <c r="H253" t="s">
        <v>4472</v>
      </c>
      <c r="I253" t="s">
        <v>13</v>
      </c>
      <c r="J253">
        <v>0.14079546528895878</v>
      </c>
      <c r="K253" t="s">
        <v>14</v>
      </c>
      <c r="U253" t="s">
        <v>4256</v>
      </c>
      <c r="V253" t="s">
        <v>4656</v>
      </c>
      <c r="W253" t="s">
        <v>4301</v>
      </c>
      <c r="X253" t="s">
        <v>19</v>
      </c>
    </row>
    <row r="254" spans="8:24" x14ac:dyDescent="0.45">
      <c r="H254" t="s">
        <v>4472</v>
      </c>
      <c r="I254" t="s">
        <v>27</v>
      </c>
      <c r="J254">
        <v>0.14079546528895878</v>
      </c>
      <c r="K254" t="s">
        <v>14</v>
      </c>
      <c r="U254" t="s">
        <v>4256</v>
      </c>
      <c r="V254" t="s">
        <v>4657</v>
      </c>
      <c r="W254" t="s">
        <v>4301</v>
      </c>
      <c r="X254" t="s">
        <v>19</v>
      </c>
    </row>
    <row r="255" spans="8:24" x14ac:dyDescent="0.45">
      <c r="H255" t="s">
        <v>4472</v>
      </c>
      <c r="I255" t="s">
        <v>36</v>
      </c>
      <c r="J255">
        <v>0.14079546528895878</v>
      </c>
      <c r="K255" t="s">
        <v>14</v>
      </c>
      <c r="U255" t="s">
        <v>4256</v>
      </c>
      <c r="V255" t="s">
        <v>4658</v>
      </c>
      <c r="W255" t="s">
        <v>4301</v>
      </c>
      <c r="X255" t="s">
        <v>19</v>
      </c>
    </row>
    <row r="256" spans="8:24" x14ac:dyDescent="0.45">
      <c r="H256" t="s">
        <v>4474</v>
      </c>
      <c r="I256" t="s">
        <v>13</v>
      </c>
      <c r="J256">
        <v>8.7581994018226375E-2</v>
      </c>
      <c r="K256" t="s">
        <v>14</v>
      </c>
      <c r="U256" t="s">
        <v>4256</v>
      </c>
      <c r="V256" t="s">
        <v>4659</v>
      </c>
      <c r="W256" t="s">
        <v>4301</v>
      </c>
      <c r="X256" t="s">
        <v>19</v>
      </c>
    </row>
    <row r="257" spans="8:24" x14ac:dyDescent="0.45">
      <c r="H257" t="s">
        <v>4474</v>
      </c>
      <c r="I257" t="s">
        <v>27</v>
      </c>
      <c r="J257">
        <v>8.7581994018226375E-2</v>
      </c>
      <c r="K257" t="s">
        <v>14</v>
      </c>
      <c r="U257" t="s">
        <v>4256</v>
      </c>
      <c r="V257" t="s">
        <v>4659</v>
      </c>
      <c r="W257" t="s">
        <v>4520</v>
      </c>
      <c r="X257" t="s">
        <v>19</v>
      </c>
    </row>
    <row r="258" spans="8:24" x14ac:dyDescent="0.45">
      <c r="H258" t="s">
        <v>4474</v>
      </c>
      <c r="I258" t="s">
        <v>36</v>
      </c>
      <c r="J258">
        <v>8.7581994018226375E-2</v>
      </c>
      <c r="K258" t="s">
        <v>14</v>
      </c>
      <c r="U258" t="s">
        <v>4256</v>
      </c>
      <c r="V258" t="s">
        <v>4660</v>
      </c>
      <c r="W258" t="s">
        <v>4301</v>
      </c>
      <c r="X258" t="s">
        <v>19</v>
      </c>
    </row>
    <row r="259" spans="8:24" x14ac:dyDescent="0.45">
      <c r="H259" t="s">
        <v>4476</v>
      </c>
      <c r="I259" t="s">
        <v>13</v>
      </c>
      <c r="J259">
        <v>3.8799591828759243E-2</v>
      </c>
      <c r="K259" t="s">
        <v>14</v>
      </c>
      <c r="U259" t="s">
        <v>4256</v>
      </c>
      <c r="V259" t="s">
        <v>4660</v>
      </c>
      <c r="W259" t="s">
        <v>4520</v>
      </c>
      <c r="X259" t="s">
        <v>19</v>
      </c>
    </row>
    <row r="260" spans="8:24" x14ac:dyDescent="0.45">
      <c r="H260" t="s">
        <v>4476</v>
      </c>
      <c r="I260" t="s">
        <v>27</v>
      </c>
      <c r="J260">
        <v>3.8799591828759243E-2</v>
      </c>
      <c r="K260" t="s">
        <v>14</v>
      </c>
      <c r="U260" t="s">
        <v>4256</v>
      </c>
      <c r="V260" t="s">
        <v>4661</v>
      </c>
      <c r="W260" t="s">
        <v>4301</v>
      </c>
      <c r="X260" t="s">
        <v>19</v>
      </c>
    </row>
    <row r="261" spans="8:24" x14ac:dyDescent="0.45">
      <c r="H261" t="s">
        <v>4476</v>
      </c>
      <c r="I261" t="s">
        <v>36</v>
      </c>
      <c r="J261">
        <v>3.8799591828759243E-2</v>
      </c>
      <c r="K261" t="s">
        <v>14</v>
      </c>
      <c r="U261" t="s">
        <v>4256</v>
      </c>
      <c r="V261" t="s">
        <v>4661</v>
      </c>
      <c r="W261" t="s">
        <v>4520</v>
      </c>
      <c r="X261" t="s">
        <v>19</v>
      </c>
    </row>
    <row r="262" spans="8:24" x14ac:dyDescent="0.45">
      <c r="H262" t="s">
        <v>4477</v>
      </c>
      <c r="I262" t="s">
        <v>13</v>
      </c>
      <c r="J262">
        <v>6.1592649432204299E-2</v>
      </c>
      <c r="K262" t="s">
        <v>14</v>
      </c>
      <c r="U262" t="s">
        <v>4256</v>
      </c>
      <c r="V262" t="s">
        <v>4662</v>
      </c>
      <c r="W262" t="s">
        <v>4520</v>
      </c>
      <c r="X262" t="s">
        <v>19</v>
      </c>
    </row>
    <row r="263" spans="8:24" x14ac:dyDescent="0.45">
      <c r="H263" t="s">
        <v>4477</v>
      </c>
      <c r="I263" t="s">
        <v>27</v>
      </c>
      <c r="J263">
        <v>6.1592649432204299E-2</v>
      </c>
      <c r="K263" t="s">
        <v>14</v>
      </c>
      <c r="U263" t="s">
        <v>4256</v>
      </c>
      <c r="V263" t="s">
        <v>4663</v>
      </c>
      <c r="W263" t="s">
        <v>4520</v>
      </c>
      <c r="X263" t="s">
        <v>19</v>
      </c>
    </row>
    <row r="264" spans="8:24" x14ac:dyDescent="0.45">
      <c r="H264" t="s">
        <v>4477</v>
      </c>
      <c r="I264" t="s">
        <v>36</v>
      </c>
      <c r="J264">
        <v>6.1592649432204299E-2</v>
      </c>
      <c r="K264" t="s">
        <v>14</v>
      </c>
      <c r="U264" t="s">
        <v>4256</v>
      </c>
      <c r="V264" t="s">
        <v>4664</v>
      </c>
      <c r="W264" t="s">
        <v>4520</v>
      </c>
      <c r="X264" t="s">
        <v>19</v>
      </c>
    </row>
    <row r="265" spans="8:24" x14ac:dyDescent="0.45">
      <c r="H265" t="s">
        <v>4479</v>
      </c>
      <c r="I265" t="s">
        <v>13</v>
      </c>
      <c r="J265">
        <v>2.98510399758487E-3</v>
      </c>
      <c r="K265" t="s">
        <v>14</v>
      </c>
      <c r="U265" t="s">
        <v>4256</v>
      </c>
      <c r="V265" t="s">
        <v>4664</v>
      </c>
      <c r="W265" t="s">
        <v>4301</v>
      </c>
      <c r="X265" t="s">
        <v>17</v>
      </c>
    </row>
    <row r="266" spans="8:24" x14ac:dyDescent="0.45">
      <c r="H266" t="s">
        <v>4479</v>
      </c>
      <c r="I266" t="s">
        <v>27</v>
      </c>
      <c r="J266">
        <v>2.98510399758487E-3</v>
      </c>
      <c r="K266" t="s">
        <v>14</v>
      </c>
      <c r="U266" t="s">
        <v>4256</v>
      </c>
      <c r="V266" t="s">
        <v>4665</v>
      </c>
      <c r="W266" t="s">
        <v>4520</v>
      </c>
      <c r="X266" t="s">
        <v>19</v>
      </c>
    </row>
    <row r="267" spans="8:24" x14ac:dyDescent="0.45">
      <c r="H267" t="s">
        <v>4479</v>
      </c>
      <c r="I267" t="s">
        <v>36</v>
      </c>
      <c r="J267">
        <v>2.98510399758487E-3</v>
      </c>
      <c r="K267" t="s">
        <v>14</v>
      </c>
      <c r="U267" t="s">
        <v>4256</v>
      </c>
      <c r="V267" t="s">
        <v>4665</v>
      </c>
      <c r="W267" t="s">
        <v>4301</v>
      </c>
      <c r="X267" t="s">
        <v>17</v>
      </c>
    </row>
    <row r="268" spans="8:24" x14ac:dyDescent="0.45">
      <c r="H268" t="s">
        <v>4480</v>
      </c>
      <c r="I268" t="s">
        <v>13</v>
      </c>
      <c r="J268">
        <v>1.8962654108489418E-2</v>
      </c>
      <c r="K268" t="s">
        <v>14</v>
      </c>
      <c r="U268" t="s">
        <v>4256</v>
      </c>
      <c r="V268" t="s">
        <v>4666</v>
      </c>
      <c r="W268" t="s">
        <v>4305</v>
      </c>
      <c r="X268" t="s">
        <v>19</v>
      </c>
    </row>
    <row r="269" spans="8:24" x14ac:dyDescent="0.45">
      <c r="H269" t="s">
        <v>4480</v>
      </c>
      <c r="I269" t="s">
        <v>27</v>
      </c>
      <c r="J269">
        <v>1.8962654108489418E-2</v>
      </c>
      <c r="K269" t="s">
        <v>14</v>
      </c>
      <c r="U269" t="s">
        <v>4256</v>
      </c>
      <c r="V269" t="s">
        <v>4667</v>
      </c>
      <c r="W269" t="s">
        <v>4305</v>
      </c>
      <c r="X269" t="s">
        <v>19</v>
      </c>
    </row>
    <row r="270" spans="8:24" x14ac:dyDescent="0.45">
      <c r="H270" t="s">
        <v>4480</v>
      </c>
      <c r="I270" t="s">
        <v>36</v>
      </c>
      <c r="J270">
        <v>1.8962654108489418E-2</v>
      </c>
      <c r="K270" t="s">
        <v>14</v>
      </c>
      <c r="U270" t="s">
        <v>4256</v>
      </c>
      <c r="V270" t="s">
        <v>4668</v>
      </c>
      <c r="W270" t="s">
        <v>4305</v>
      </c>
      <c r="X270" t="s">
        <v>19</v>
      </c>
    </row>
    <row r="271" spans="8:24" x14ac:dyDescent="0.45">
      <c r="H271" t="s">
        <v>4482</v>
      </c>
      <c r="I271" t="s">
        <v>13</v>
      </c>
      <c r="J271">
        <v>5.7774531135718059E-2</v>
      </c>
      <c r="K271" t="s">
        <v>14</v>
      </c>
      <c r="U271" t="s">
        <v>4256</v>
      </c>
      <c r="V271" t="s">
        <v>4669</v>
      </c>
      <c r="W271" t="s">
        <v>4305</v>
      </c>
      <c r="X271" t="s">
        <v>19</v>
      </c>
    </row>
    <row r="272" spans="8:24" x14ac:dyDescent="0.45">
      <c r="H272" t="s">
        <v>4482</v>
      </c>
      <c r="I272" t="s">
        <v>27</v>
      </c>
      <c r="J272">
        <v>5.7774531135718059E-2</v>
      </c>
      <c r="K272" t="s">
        <v>14</v>
      </c>
      <c r="U272" t="s">
        <v>4256</v>
      </c>
      <c r="V272" t="s">
        <v>4670</v>
      </c>
      <c r="W272" t="s">
        <v>4305</v>
      </c>
      <c r="X272" t="s">
        <v>19</v>
      </c>
    </row>
    <row r="273" spans="8:24" x14ac:dyDescent="0.45">
      <c r="H273" t="s">
        <v>4482</v>
      </c>
      <c r="I273" t="s">
        <v>36</v>
      </c>
      <c r="J273">
        <v>5.7774531135718059E-2</v>
      </c>
      <c r="K273" t="s">
        <v>14</v>
      </c>
      <c r="U273" t="s">
        <v>4256</v>
      </c>
      <c r="V273" t="s">
        <v>4671</v>
      </c>
      <c r="W273" t="s">
        <v>4305</v>
      </c>
      <c r="X273" t="s">
        <v>19</v>
      </c>
    </row>
    <row r="274" spans="8:24" x14ac:dyDescent="0.45">
      <c r="H274" t="s">
        <v>4484</v>
      </c>
      <c r="I274" t="s">
        <v>13</v>
      </c>
      <c r="J274">
        <v>3.9997308388165322E-2</v>
      </c>
      <c r="K274" t="s">
        <v>14</v>
      </c>
      <c r="U274" t="s">
        <v>4256</v>
      </c>
      <c r="V274" t="s">
        <v>4672</v>
      </c>
      <c r="W274" t="s">
        <v>4305</v>
      </c>
      <c r="X274" t="s">
        <v>19</v>
      </c>
    </row>
    <row r="275" spans="8:24" x14ac:dyDescent="0.45">
      <c r="H275" t="s">
        <v>4484</v>
      </c>
      <c r="I275" t="s">
        <v>27</v>
      </c>
      <c r="J275">
        <v>3.9997308388165322E-2</v>
      </c>
      <c r="K275" t="s">
        <v>14</v>
      </c>
      <c r="U275" t="s">
        <v>4256</v>
      </c>
      <c r="V275" t="s">
        <v>4673</v>
      </c>
      <c r="W275" t="s">
        <v>4305</v>
      </c>
      <c r="X275" t="s">
        <v>19</v>
      </c>
    </row>
    <row r="276" spans="8:24" x14ac:dyDescent="0.45">
      <c r="H276" t="s">
        <v>4484</v>
      </c>
      <c r="I276" t="s">
        <v>36</v>
      </c>
      <c r="J276">
        <v>3.9997308388165322E-2</v>
      </c>
      <c r="K276" t="s">
        <v>14</v>
      </c>
      <c r="U276" t="s">
        <v>4256</v>
      </c>
      <c r="V276" t="s">
        <v>4674</v>
      </c>
      <c r="W276" t="s">
        <v>4305</v>
      </c>
      <c r="X276" t="s">
        <v>19</v>
      </c>
    </row>
    <row r="277" spans="8:24" x14ac:dyDescent="0.45">
      <c r="H277" t="s">
        <v>4486</v>
      </c>
      <c r="I277" t="s">
        <v>13</v>
      </c>
      <c r="J277">
        <v>3.7072829096448587E-2</v>
      </c>
      <c r="K277" t="s">
        <v>14</v>
      </c>
      <c r="U277" t="s">
        <v>4256</v>
      </c>
      <c r="V277" t="s">
        <v>4675</v>
      </c>
      <c r="W277" t="s">
        <v>4305</v>
      </c>
      <c r="X277" t="s">
        <v>19</v>
      </c>
    </row>
    <row r="278" spans="8:24" x14ac:dyDescent="0.45">
      <c r="H278" t="s">
        <v>4486</v>
      </c>
      <c r="I278" t="s">
        <v>27</v>
      </c>
      <c r="J278">
        <v>3.7072829096448587E-2</v>
      </c>
      <c r="K278" t="s">
        <v>14</v>
      </c>
      <c r="U278" t="s">
        <v>4256</v>
      </c>
      <c r="V278" t="s">
        <v>4676</v>
      </c>
      <c r="W278" t="s">
        <v>4305</v>
      </c>
      <c r="X278" t="s">
        <v>19</v>
      </c>
    </row>
    <row r="279" spans="8:24" x14ac:dyDescent="0.45">
      <c r="H279" t="s">
        <v>4486</v>
      </c>
      <c r="I279" t="s">
        <v>36</v>
      </c>
      <c r="J279">
        <v>3.7072829096448587E-2</v>
      </c>
      <c r="K279" t="s">
        <v>14</v>
      </c>
      <c r="U279" t="s">
        <v>4256</v>
      </c>
      <c r="V279" t="s">
        <v>4676</v>
      </c>
      <c r="W279" t="s">
        <v>4541</v>
      </c>
      <c r="X279" t="s">
        <v>19</v>
      </c>
    </row>
    <row r="280" spans="8:24" x14ac:dyDescent="0.45">
      <c r="H280" t="s">
        <v>4488</v>
      </c>
      <c r="I280" t="s">
        <v>13</v>
      </c>
      <c r="J280">
        <v>5.8533821504819554E-2</v>
      </c>
      <c r="K280" t="s">
        <v>14</v>
      </c>
      <c r="U280" t="s">
        <v>4256</v>
      </c>
      <c r="V280" t="s">
        <v>4677</v>
      </c>
      <c r="W280" t="s">
        <v>4305</v>
      </c>
      <c r="X280" t="s">
        <v>19</v>
      </c>
    </row>
    <row r="281" spans="8:24" x14ac:dyDescent="0.45">
      <c r="H281" t="s">
        <v>4488</v>
      </c>
      <c r="I281" t="s">
        <v>27</v>
      </c>
      <c r="J281">
        <v>5.8533821504819554E-2</v>
      </c>
      <c r="K281" t="s">
        <v>14</v>
      </c>
      <c r="U281" t="s">
        <v>4256</v>
      </c>
      <c r="V281" t="s">
        <v>4677</v>
      </c>
      <c r="W281" t="s">
        <v>4541</v>
      </c>
      <c r="X281" t="s">
        <v>19</v>
      </c>
    </row>
    <row r="282" spans="8:24" x14ac:dyDescent="0.45">
      <c r="H282" t="s">
        <v>4488</v>
      </c>
      <c r="I282" t="s">
        <v>36</v>
      </c>
      <c r="J282">
        <v>5.8533821504819554E-2</v>
      </c>
      <c r="K282" t="s">
        <v>14</v>
      </c>
      <c r="U282" t="s">
        <v>4256</v>
      </c>
      <c r="V282" t="s">
        <v>4678</v>
      </c>
      <c r="W282" t="s">
        <v>4305</v>
      </c>
      <c r="X282" t="s">
        <v>19</v>
      </c>
    </row>
    <row r="283" spans="8:24" x14ac:dyDescent="0.45">
      <c r="H283" t="s">
        <v>4490</v>
      </c>
      <c r="I283" t="s">
        <v>13</v>
      </c>
      <c r="J283">
        <v>5.7069421275448021E-2</v>
      </c>
      <c r="K283" t="s">
        <v>14</v>
      </c>
      <c r="U283" t="s">
        <v>4256</v>
      </c>
      <c r="V283" t="s">
        <v>4678</v>
      </c>
      <c r="W283" t="s">
        <v>4541</v>
      </c>
      <c r="X283" t="s">
        <v>19</v>
      </c>
    </row>
    <row r="284" spans="8:24" x14ac:dyDescent="0.45">
      <c r="H284" t="s">
        <v>4490</v>
      </c>
      <c r="I284" t="s">
        <v>27</v>
      </c>
      <c r="J284">
        <v>5.7069421275448021E-2</v>
      </c>
      <c r="K284" t="s">
        <v>14</v>
      </c>
      <c r="U284" t="s">
        <v>4256</v>
      </c>
      <c r="V284" t="s">
        <v>4679</v>
      </c>
      <c r="W284" t="s">
        <v>4541</v>
      </c>
      <c r="X284" t="s">
        <v>19</v>
      </c>
    </row>
    <row r="285" spans="8:24" x14ac:dyDescent="0.45">
      <c r="H285" t="s">
        <v>4490</v>
      </c>
      <c r="I285" t="s">
        <v>36</v>
      </c>
      <c r="J285">
        <v>5.7069421275448021E-2</v>
      </c>
      <c r="K285" t="s">
        <v>14</v>
      </c>
      <c r="U285" t="s">
        <v>4256</v>
      </c>
      <c r="V285" t="s">
        <v>4680</v>
      </c>
      <c r="W285" t="s">
        <v>4541</v>
      </c>
      <c r="X285" t="s">
        <v>19</v>
      </c>
    </row>
    <row r="286" spans="8:24" x14ac:dyDescent="0.45">
      <c r="H286" t="s">
        <v>4492</v>
      </c>
      <c r="I286" t="s">
        <v>13</v>
      </c>
      <c r="J286">
        <v>4.0586503791623776E-2</v>
      </c>
      <c r="K286" t="s">
        <v>14</v>
      </c>
      <c r="U286" t="s">
        <v>4256</v>
      </c>
      <c r="V286" t="s">
        <v>4681</v>
      </c>
      <c r="W286" t="s">
        <v>4541</v>
      </c>
      <c r="X286" t="s">
        <v>19</v>
      </c>
    </row>
    <row r="287" spans="8:24" x14ac:dyDescent="0.45">
      <c r="H287" t="s">
        <v>4492</v>
      </c>
      <c r="I287" t="s">
        <v>27</v>
      </c>
      <c r="J287">
        <v>4.0586503791623776E-2</v>
      </c>
      <c r="K287" t="s">
        <v>14</v>
      </c>
      <c r="U287" t="s">
        <v>4256</v>
      </c>
      <c r="V287" t="s">
        <v>4681</v>
      </c>
      <c r="W287" t="s">
        <v>4305</v>
      </c>
      <c r="X287" t="s">
        <v>17</v>
      </c>
    </row>
    <row r="288" spans="8:24" x14ac:dyDescent="0.45">
      <c r="H288" t="s">
        <v>4492</v>
      </c>
      <c r="I288" t="s">
        <v>36</v>
      </c>
      <c r="J288">
        <v>4.0586503791623776E-2</v>
      </c>
      <c r="K288" t="s">
        <v>14</v>
      </c>
      <c r="U288" t="s">
        <v>4256</v>
      </c>
      <c r="V288" t="s">
        <v>4682</v>
      </c>
      <c r="W288" t="s">
        <v>4541</v>
      </c>
      <c r="X288" t="s">
        <v>19</v>
      </c>
    </row>
    <row r="289" spans="8:24" x14ac:dyDescent="0.45">
      <c r="H289" t="s">
        <v>4494</v>
      </c>
      <c r="I289" t="s">
        <v>13</v>
      </c>
      <c r="J289">
        <v>1.1279208920086967E-2</v>
      </c>
      <c r="K289" t="s">
        <v>14</v>
      </c>
      <c r="U289" t="s">
        <v>4256</v>
      </c>
      <c r="V289" t="s">
        <v>4682</v>
      </c>
      <c r="W289" t="s">
        <v>4305</v>
      </c>
      <c r="X289" t="s">
        <v>17</v>
      </c>
    </row>
    <row r="290" spans="8:24" x14ac:dyDescent="0.45">
      <c r="H290" t="s">
        <v>4494</v>
      </c>
      <c r="I290" t="s">
        <v>27</v>
      </c>
      <c r="J290">
        <v>1.1279208920086967E-2</v>
      </c>
      <c r="K290" t="s">
        <v>14</v>
      </c>
      <c r="U290" t="s">
        <v>4256</v>
      </c>
      <c r="V290" t="s">
        <v>4683</v>
      </c>
      <c r="W290" t="s">
        <v>4309</v>
      </c>
      <c r="X290" t="s">
        <v>19</v>
      </c>
    </row>
    <row r="291" spans="8:24" x14ac:dyDescent="0.45">
      <c r="H291" t="s">
        <v>4494</v>
      </c>
      <c r="I291" t="s">
        <v>36</v>
      </c>
      <c r="J291">
        <v>1.1279208920086967E-2</v>
      </c>
      <c r="K291" t="s">
        <v>14</v>
      </c>
      <c r="U291" t="s">
        <v>4256</v>
      </c>
      <c r="V291" t="s">
        <v>4684</v>
      </c>
      <c r="W291" t="s">
        <v>4309</v>
      </c>
      <c r="X291" t="s">
        <v>19</v>
      </c>
    </row>
    <row r="292" spans="8:24" x14ac:dyDescent="0.45">
      <c r="H292" t="s">
        <v>4496</v>
      </c>
      <c r="I292" t="s">
        <v>13</v>
      </c>
      <c r="J292">
        <v>1.5162556520179544E-2</v>
      </c>
      <c r="K292" t="s">
        <v>14</v>
      </c>
      <c r="U292" t="s">
        <v>4256</v>
      </c>
      <c r="V292" t="s">
        <v>4685</v>
      </c>
      <c r="W292" t="s">
        <v>4309</v>
      </c>
      <c r="X292" t="s">
        <v>19</v>
      </c>
    </row>
    <row r="293" spans="8:24" x14ac:dyDescent="0.45">
      <c r="H293" t="s">
        <v>4496</v>
      </c>
      <c r="I293" t="s">
        <v>27</v>
      </c>
      <c r="J293">
        <v>1.5162556520179544E-2</v>
      </c>
      <c r="K293" t="s">
        <v>14</v>
      </c>
      <c r="U293" t="s">
        <v>4256</v>
      </c>
      <c r="V293" t="s">
        <v>4686</v>
      </c>
      <c r="W293" t="s">
        <v>4309</v>
      </c>
      <c r="X293" t="s">
        <v>19</v>
      </c>
    </row>
    <row r="294" spans="8:24" x14ac:dyDescent="0.45">
      <c r="H294" t="s">
        <v>4496</v>
      </c>
      <c r="I294" t="s">
        <v>36</v>
      </c>
      <c r="J294">
        <v>1.5162556520179544E-2</v>
      </c>
      <c r="K294" t="s">
        <v>14</v>
      </c>
      <c r="U294" t="s">
        <v>4256</v>
      </c>
      <c r="V294" t="s">
        <v>4687</v>
      </c>
      <c r="W294" t="s">
        <v>4309</v>
      </c>
      <c r="X294" t="s">
        <v>19</v>
      </c>
    </row>
    <row r="295" spans="8:24" x14ac:dyDescent="0.45">
      <c r="H295" t="s">
        <v>4498</v>
      </c>
      <c r="I295" t="s">
        <v>13</v>
      </c>
      <c r="J295">
        <v>1.3940756810674821E-2</v>
      </c>
      <c r="K295" t="s">
        <v>14</v>
      </c>
      <c r="U295" t="s">
        <v>4256</v>
      </c>
      <c r="V295" t="s">
        <v>4688</v>
      </c>
      <c r="W295" t="s">
        <v>4309</v>
      </c>
      <c r="X295" t="s">
        <v>19</v>
      </c>
    </row>
    <row r="296" spans="8:24" x14ac:dyDescent="0.45">
      <c r="H296" t="s">
        <v>4498</v>
      </c>
      <c r="I296" t="s">
        <v>27</v>
      </c>
      <c r="J296">
        <v>1.3940756810674821E-2</v>
      </c>
      <c r="K296" t="s">
        <v>14</v>
      </c>
      <c r="U296" t="s">
        <v>4256</v>
      </c>
      <c r="V296" t="s">
        <v>4689</v>
      </c>
      <c r="W296" t="s">
        <v>4309</v>
      </c>
      <c r="X296" t="s">
        <v>19</v>
      </c>
    </row>
    <row r="297" spans="8:24" x14ac:dyDescent="0.45">
      <c r="H297" t="s">
        <v>4498</v>
      </c>
      <c r="I297" t="s">
        <v>36</v>
      </c>
      <c r="J297">
        <v>1.3940756810674821E-2</v>
      </c>
      <c r="K297" t="s">
        <v>14</v>
      </c>
      <c r="U297" t="s">
        <v>4256</v>
      </c>
      <c r="V297" t="s">
        <v>4690</v>
      </c>
      <c r="W297" t="s">
        <v>4309</v>
      </c>
      <c r="X297" t="s">
        <v>19</v>
      </c>
    </row>
    <row r="298" spans="8:24" x14ac:dyDescent="0.45">
      <c r="H298" t="s">
        <v>4500</v>
      </c>
      <c r="I298" t="s">
        <v>13</v>
      </c>
      <c r="J298">
        <v>0.14686629567306916</v>
      </c>
      <c r="K298" t="s">
        <v>14</v>
      </c>
      <c r="U298" t="s">
        <v>4256</v>
      </c>
      <c r="V298" t="s">
        <v>4691</v>
      </c>
      <c r="W298" t="s">
        <v>4309</v>
      </c>
      <c r="X298" t="s">
        <v>19</v>
      </c>
    </row>
    <row r="299" spans="8:24" x14ac:dyDescent="0.45">
      <c r="H299" t="s">
        <v>4500</v>
      </c>
      <c r="I299" t="s">
        <v>27</v>
      </c>
      <c r="J299">
        <v>0.14686629567306916</v>
      </c>
      <c r="K299" t="s">
        <v>14</v>
      </c>
      <c r="U299" t="s">
        <v>4256</v>
      </c>
      <c r="V299" t="s">
        <v>4692</v>
      </c>
      <c r="W299" t="s">
        <v>4309</v>
      </c>
      <c r="X299" t="s">
        <v>19</v>
      </c>
    </row>
    <row r="300" spans="8:24" x14ac:dyDescent="0.45">
      <c r="H300" t="s">
        <v>4500</v>
      </c>
      <c r="I300" t="s">
        <v>36</v>
      </c>
      <c r="J300">
        <v>0.14686629567306916</v>
      </c>
      <c r="K300" t="s">
        <v>14</v>
      </c>
      <c r="U300" t="s">
        <v>4256</v>
      </c>
      <c r="V300" t="s">
        <v>4693</v>
      </c>
      <c r="W300" t="s">
        <v>4309</v>
      </c>
      <c r="X300" t="s">
        <v>19</v>
      </c>
    </row>
    <row r="301" spans="8:24" x14ac:dyDescent="0.45">
      <c r="H301" t="s">
        <v>4502</v>
      </c>
      <c r="I301" t="s">
        <v>13</v>
      </c>
      <c r="J301">
        <v>3.1656222966063639E-3</v>
      </c>
      <c r="K301" t="s">
        <v>14</v>
      </c>
      <c r="U301" t="s">
        <v>4256</v>
      </c>
      <c r="V301" t="s">
        <v>4693</v>
      </c>
      <c r="W301" t="s">
        <v>4538</v>
      </c>
      <c r="X301" t="s">
        <v>19</v>
      </c>
    </row>
    <row r="302" spans="8:24" x14ac:dyDescent="0.45">
      <c r="H302" t="s">
        <v>4502</v>
      </c>
      <c r="I302" t="s">
        <v>27</v>
      </c>
      <c r="J302">
        <v>3.1656222966063639E-3</v>
      </c>
      <c r="K302" t="s">
        <v>14</v>
      </c>
      <c r="U302" t="s">
        <v>4256</v>
      </c>
      <c r="V302" t="s">
        <v>4694</v>
      </c>
      <c r="W302" t="s">
        <v>4309</v>
      </c>
      <c r="X302" t="s">
        <v>19</v>
      </c>
    </row>
    <row r="303" spans="8:24" x14ac:dyDescent="0.45">
      <c r="H303" t="s">
        <v>4502</v>
      </c>
      <c r="I303" t="s">
        <v>36</v>
      </c>
      <c r="J303">
        <v>3.1656222966063639E-3</v>
      </c>
      <c r="K303" t="s">
        <v>14</v>
      </c>
      <c r="U303" t="s">
        <v>4256</v>
      </c>
      <c r="V303" t="s">
        <v>4694</v>
      </c>
      <c r="W303" t="s">
        <v>4538</v>
      </c>
      <c r="X303" t="s">
        <v>19</v>
      </c>
    </row>
    <row r="304" spans="8:24" x14ac:dyDescent="0.45">
      <c r="H304" t="s">
        <v>4255</v>
      </c>
      <c r="I304" t="s">
        <v>632</v>
      </c>
      <c r="J304">
        <v>7.3643664812051285E-2</v>
      </c>
      <c r="K304" t="s">
        <v>14</v>
      </c>
      <c r="U304" t="s">
        <v>4256</v>
      </c>
      <c r="V304" t="s">
        <v>4695</v>
      </c>
      <c r="W304" t="s">
        <v>4309</v>
      </c>
      <c r="X304" t="s">
        <v>19</v>
      </c>
    </row>
    <row r="305" spans="8:24" x14ac:dyDescent="0.45">
      <c r="H305" t="s">
        <v>4260</v>
      </c>
      <c r="I305" t="s">
        <v>632</v>
      </c>
      <c r="J305">
        <v>6.0419337320197794E-4</v>
      </c>
      <c r="K305" t="s">
        <v>14</v>
      </c>
      <c r="U305" t="s">
        <v>4256</v>
      </c>
      <c r="V305" t="s">
        <v>4695</v>
      </c>
      <c r="W305" t="s">
        <v>4538</v>
      </c>
      <c r="X305" t="s">
        <v>19</v>
      </c>
    </row>
    <row r="306" spans="8:24" x14ac:dyDescent="0.45">
      <c r="H306" t="s">
        <v>4264</v>
      </c>
      <c r="I306" t="s">
        <v>632</v>
      </c>
      <c r="J306">
        <v>6.9175016400095622E-3</v>
      </c>
      <c r="K306" t="s">
        <v>14</v>
      </c>
      <c r="U306" t="s">
        <v>4256</v>
      </c>
      <c r="V306" t="s">
        <v>4696</v>
      </c>
      <c r="W306" t="s">
        <v>4538</v>
      </c>
      <c r="X306" t="s">
        <v>19</v>
      </c>
    </row>
    <row r="307" spans="8:24" x14ac:dyDescent="0.45">
      <c r="H307" t="s">
        <v>4268</v>
      </c>
      <c r="I307" t="s">
        <v>632</v>
      </c>
      <c r="J307">
        <v>1.293779311885603E-2</v>
      </c>
      <c r="K307" t="s">
        <v>14</v>
      </c>
      <c r="U307" t="s">
        <v>4256</v>
      </c>
      <c r="V307" t="s">
        <v>4697</v>
      </c>
      <c r="W307" t="s">
        <v>4538</v>
      </c>
      <c r="X307" t="s">
        <v>19</v>
      </c>
    </row>
    <row r="308" spans="8:24" x14ac:dyDescent="0.45">
      <c r="H308" t="s">
        <v>4272</v>
      </c>
      <c r="I308" t="s">
        <v>632</v>
      </c>
      <c r="J308">
        <v>2.6532969204258062E-2</v>
      </c>
      <c r="K308" t="s">
        <v>14</v>
      </c>
      <c r="U308" t="s">
        <v>4256</v>
      </c>
      <c r="V308" t="s">
        <v>4698</v>
      </c>
      <c r="W308" t="s">
        <v>4538</v>
      </c>
      <c r="X308" t="s">
        <v>19</v>
      </c>
    </row>
    <row r="309" spans="8:24" x14ac:dyDescent="0.45">
      <c r="H309" t="s">
        <v>4276</v>
      </c>
      <c r="I309" t="s">
        <v>632</v>
      </c>
      <c r="J309">
        <v>2.1773120548943961E-3</v>
      </c>
      <c r="K309" t="s">
        <v>14</v>
      </c>
      <c r="U309" t="s">
        <v>4256</v>
      </c>
      <c r="V309" t="s">
        <v>4698</v>
      </c>
      <c r="W309" t="s">
        <v>4309</v>
      </c>
      <c r="X309" t="s">
        <v>17</v>
      </c>
    </row>
    <row r="310" spans="8:24" x14ac:dyDescent="0.45">
      <c r="H310" t="s">
        <v>4280</v>
      </c>
      <c r="I310" t="s">
        <v>632</v>
      </c>
      <c r="J310">
        <v>9.4145872104278012E-15</v>
      </c>
      <c r="K310" t="s">
        <v>14</v>
      </c>
      <c r="U310" t="s">
        <v>4256</v>
      </c>
      <c r="V310" t="s">
        <v>4699</v>
      </c>
      <c r="W310" t="s">
        <v>4538</v>
      </c>
      <c r="X310" t="s">
        <v>19</v>
      </c>
    </row>
    <row r="311" spans="8:24" x14ac:dyDescent="0.45">
      <c r="H311" t="s">
        <v>4284</v>
      </c>
      <c r="I311" t="s">
        <v>632</v>
      </c>
      <c r="J311">
        <v>9.4867112332973638E-2</v>
      </c>
      <c r="K311" t="s">
        <v>14</v>
      </c>
      <c r="U311" t="s">
        <v>4256</v>
      </c>
      <c r="V311" t="s">
        <v>4699</v>
      </c>
      <c r="W311" t="s">
        <v>4309</v>
      </c>
      <c r="X311" t="s">
        <v>17</v>
      </c>
    </row>
    <row r="312" spans="8:24" x14ac:dyDescent="0.45">
      <c r="H312" t="s">
        <v>4288</v>
      </c>
      <c r="I312" t="s">
        <v>632</v>
      </c>
      <c r="J312">
        <v>4.2638426816251136E-2</v>
      </c>
      <c r="K312" t="s">
        <v>14</v>
      </c>
      <c r="U312" t="s">
        <v>4256</v>
      </c>
      <c r="V312" t="s">
        <v>4700</v>
      </c>
      <c r="W312" t="s">
        <v>4312</v>
      </c>
      <c r="X312" t="s">
        <v>19</v>
      </c>
    </row>
    <row r="313" spans="8:24" x14ac:dyDescent="0.45">
      <c r="H313" t="s">
        <v>4292</v>
      </c>
      <c r="I313" t="s">
        <v>632</v>
      </c>
      <c r="J313">
        <v>4.4069222829436698E-2</v>
      </c>
      <c r="K313" t="s">
        <v>14</v>
      </c>
      <c r="U313" t="s">
        <v>4256</v>
      </c>
      <c r="V313" t="s">
        <v>4701</v>
      </c>
      <c r="W313" t="s">
        <v>4312</v>
      </c>
      <c r="X313" t="s">
        <v>19</v>
      </c>
    </row>
    <row r="314" spans="8:24" x14ac:dyDescent="0.45">
      <c r="H314" t="s">
        <v>4296</v>
      </c>
      <c r="I314" t="s">
        <v>632</v>
      </c>
      <c r="J314">
        <v>4.2833782325243645E-2</v>
      </c>
      <c r="K314" t="s">
        <v>14</v>
      </c>
      <c r="U314" t="s">
        <v>4256</v>
      </c>
      <c r="V314" t="s">
        <v>4702</v>
      </c>
      <c r="W314" t="s">
        <v>4312</v>
      </c>
      <c r="X314" t="s">
        <v>19</v>
      </c>
    </row>
    <row r="315" spans="8:24" x14ac:dyDescent="0.45">
      <c r="H315" t="s">
        <v>4300</v>
      </c>
      <c r="I315" t="s">
        <v>632</v>
      </c>
      <c r="J315">
        <v>4.0040029931393377E-2</v>
      </c>
      <c r="K315" t="s">
        <v>14</v>
      </c>
      <c r="U315" t="s">
        <v>4256</v>
      </c>
      <c r="V315" t="s">
        <v>4703</v>
      </c>
      <c r="W315" t="s">
        <v>4312</v>
      </c>
      <c r="X315" t="s">
        <v>19</v>
      </c>
    </row>
    <row r="316" spans="8:24" x14ac:dyDescent="0.45">
      <c r="H316" t="s">
        <v>4304</v>
      </c>
      <c r="I316" t="s">
        <v>632</v>
      </c>
      <c r="J316">
        <v>5.0286605405833137E-5</v>
      </c>
      <c r="K316" t="s">
        <v>14</v>
      </c>
      <c r="U316" t="s">
        <v>4256</v>
      </c>
      <c r="V316" t="s">
        <v>4704</v>
      </c>
      <c r="W316" t="s">
        <v>4312</v>
      </c>
      <c r="X316" t="s">
        <v>19</v>
      </c>
    </row>
    <row r="317" spans="8:24" x14ac:dyDescent="0.45">
      <c r="H317" t="s">
        <v>4308</v>
      </c>
      <c r="I317" t="s">
        <v>632</v>
      </c>
      <c r="J317">
        <v>3.2905820498607366E-2</v>
      </c>
      <c r="K317" t="s">
        <v>14</v>
      </c>
      <c r="U317" t="s">
        <v>4256</v>
      </c>
      <c r="V317" t="s">
        <v>4705</v>
      </c>
      <c r="W317" t="s">
        <v>4312</v>
      </c>
      <c r="X317" t="s">
        <v>19</v>
      </c>
    </row>
    <row r="318" spans="8:24" x14ac:dyDescent="0.45">
      <c r="H318" t="s">
        <v>4311</v>
      </c>
      <c r="I318" t="s">
        <v>632</v>
      </c>
      <c r="J318">
        <v>0.10969877017591415</v>
      </c>
      <c r="K318" t="s">
        <v>14</v>
      </c>
      <c r="U318" t="s">
        <v>4256</v>
      </c>
      <c r="V318" t="s">
        <v>4706</v>
      </c>
      <c r="W318" t="s">
        <v>4312</v>
      </c>
      <c r="X318" t="s">
        <v>19</v>
      </c>
    </row>
    <row r="319" spans="8:24" x14ac:dyDescent="0.45">
      <c r="H319" t="s">
        <v>4315</v>
      </c>
      <c r="I319" t="s">
        <v>632</v>
      </c>
      <c r="J319">
        <v>8.3385078946844361E-3</v>
      </c>
      <c r="K319" t="s">
        <v>14</v>
      </c>
      <c r="U319" t="s">
        <v>4256</v>
      </c>
      <c r="V319" t="s">
        <v>4707</v>
      </c>
      <c r="W319" t="s">
        <v>4312</v>
      </c>
      <c r="X319" t="s">
        <v>19</v>
      </c>
    </row>
    <row r="320" spans="8:24" x14ac:dyDescent="0.45">
      <c r="H320" t="s">
        <v>4318</v>
      </c>
      <c r="I320" t="s">
        <v>632</v>
      </c>
      <c r="J320">
        <v>2.3792828648006921E-2</v>
      </c>
      <c r="K320" t="s">
        <v>14</v>
      </c>
      <c r="U320" t="s">
        <v>4256</v>
      </c>
      <c r="V320" t="s">
        <v>4708</v>
      </c>
      <c r="W320" t="s">
        <v>4312</v>
      </c>
      <c r="X320" t="s">
        <v>19</v>
      </c>
    </row>
    <row r="321" spans="8:24" x14ac:dyDescent="0.45">
      <c r="H321" t="s">
        <v>4322</v>
      </c>
      <c r="I321" t="s">
        <v>632</v>
      </c>
      <c r="J321">
        <v>2.2119244552545225E-2</v>
      </c>
      <c r="K321" t="s">
        <v>14</v>
      </c>
      <c r="U321" t="s">
        <v>4256</v>
      </c>
      <c r="V321" t="s">
        <v>4709</v>
      </c>
      <c r="W321" t="s">
        <v>4312</v>
      </c>
      <c r="X321" t="s">
        <v>19</v>
      </c>
    </row>
    <row r="322" spans="8:24" x14ac:dyDescent="0.45">
      <c r="H322" t="s">
        <v>4326</v>
      </c>
      <c r="I322" t="s">
        <v>632</v>
      </c>
      <c r="J322">
        <v>4.034593811362177E-2</v>
      </c>
      <c r="K322" t="s">
        <v>14</v>
      </c>
      <c r="U322" t="s">
        <v>4256</v>
      </c>
      <c r="V322" t="s">
        <v>4710</v>
      </c>
      <c r="W322" t="s">
        <v>4312</v>
      </c>
      <c r="X322" t="s">
        <v>19</v>
      </c>
    </row>
    <row r="323" spans="8:24" x14ac:dyDescent="0.45">
      <c r="H323" t="s">
        <v>4330</v>
      </c>
      <c r="I323" t="s">
        <v>632</v>
      </c>
      <c r="J323">
        <v>0.24913643304871971</v>
      </c>
      <c r="K323" t="s">
        <v>14</v>
      </c>
      <c r="U323" t="s">
        <v>4256</v>
      </c>
      <c r="V323" t="s">
        <v>4710</v>
      </c>
      <c r="W323" t="s">
        <v>4508</v>
      </c>
      <c r="X323" t="s">
        <v>19</v>
      </c>
    </row>
    <row r="324" spans="8:24" x14ac:dyDescent="0.45">
      <c r="H324" t="s">
        <v>4333</v>
      </c>
      <c r="I324" t="s">
        <v>632</v>
      </c>
      <c r="J324">
        <v>3.6737300945834717E-3</v>
      </c>
      <c r="K324" t="s">
        <v>14</v>
      </c>
      <c r="U324" t="s">
        <v>4256</v>
      </c>
      <c r="V324" t="s">
        <v>4711</v>
      </c>
      <c r="W324" t="s">
        <v>4312</v>
      </c>
      <c r="X324" t="s">
        <v>19</v>
      </c>
    </row>
    <row r="325" spans="8:24" x14ac:dyDescent="0.45">
      <c r="H325" t="s">
        <v>4337</v>
      </c>
      <c r="I325" t="s">
        <v>632</v>
      </c>
      <c r="J325">
        <v>4.4838327290314039E-3</v>
      </c>
      <c r="K325" t="s">
        <v>14</v>
      </c>
      <c r="U325" t="s">
        <v>4256</v>
      </c>
      <c r="V325" t="s">
        <v>4711</v>
      </c>
      <c r="W325" t="s">
        <v>4508</v>
      </c>
      <c r="X325" t="s">
        <v>19</v>
      </c>
    </row>
    <row r="326" spans="8:24" x14ac:dyDescent="0.45">
      <c r="H326" t="s">
        <v>4340</v>
      </c>
      <c r="I326" t="s">
        <v>632</v>
      </c>
      <c r="J326">
        <v>2.1747259148521648E-2</v>
      </c>
      <c r="K326" t="s">
        <v>14</v>
      </c>
      <c r="U326" t="s">
        <v>4256</v>
      </c>
      <c r="V326" t="s">
        <v>4712</v>
      </c>
      <c r="W326" t="s">
        <v>4312</v>
      </c>
      <c r="X326" t="s">
        <v>19</v>
      </c>
    </row>
    <row r="327" spans="8:24" x14ac:dyDescent="0.45">
      <c r="H327" t="s">
        <v>4344</v>
      </c>
      <c r="I327" t="s">
        <v>632</v>
      </c>
      <c r="J327">
        <v>7.6445340051768465E-2</v>
      </c>
      <c r="K327" t="s">
        <v>14</v>
      </c>
      <c r="U327" t="s">
        <v>4256</v>
      </c>
      <c r="V327" t="s">
        <v>4712</v>
      </c>
      <c r="W327" t="s">
        <v>4508</v>
      </c>
      <c r="X327" t="s">
        <v>19</v>
      </c>
    </row>
    <row r="328" spans="8:24" x14ac:dyDescent="0.45">
      <c r="H328" t="s">
        <v>4348</v>
      </c>
      <c r="I328" t="s">
        <v>632</v>
      </c>
      <c r="J328">
        <v>9.4145872104278012E-15</v>
      </c>
      <c r="K328" t="s">
        <v>14</v>
      </c>
      <c r="U328" t="s">
        <v>4256</v>
      </c>
      <c r="V328" t="s">
        <v>4713</v>
      </c>
      <c r="W328" t="s">
        <v>4508</v>
      </c>
      <c r="X328" t="s">
        <v>19</v>
      </c>
    </row>
    <row r="329" spans="8:24" x14ac:dyDescent="0.45">
      <c r="H329" t="s">
        <v>4352</v>
      </c>
      <c r="I329" t="s">
        <v>632</v>
      </c>
      <c r="J329">
        <v>7.3643664812051285E-2</v>
      </c>
      <c r="K329" t="s">
        <v>14</v>
      </c>
      <c r="U329" t="s">
        <v>4256</v>
      </c>
      <c r="V329" t="s">
        <v>4714</v>
      </c>
      <c r="W329" t="s">
        <v>4508</v>
      </c>
      <c r="X329" t="s">
        <v>19</v>
      </c>
    </row>
    <row r="330" spans="8:24" x14ac:dyDescent="0.45">
      <c r="H330" t="s">
        <v>4355</v>
      </c>
      <c r="I330" t="s">
        <v>632</v>
      </c>
      <c r="J330">
        <v>6.0419337320197794E-4</v>
      </c>
      <c r="K330" t="s">
        <v>14</v>
      </c>
      <c r="U330" t="s">
        <v>4256</v>
      </c>
      <c r="V330" t="s">
        <v>4715</v>
      </c>
      <c r="W330" t="s">
        <v>4508</v>
      </c>
      <c r="X330" t="s">
        <v>19</v>
      </c>
    </row>
    <row r="331" spans="8:24" x14ac:dyDescent="0.45">
      <c r="H331" t="s">
        <v>4358</v>
      </c>
      <c r="I331" t="s">
        <v>632</v>
      </c>
      <c r="J331">
        <v>6.9175016400095622E-3</v>
      </c>
      <c r="K331" t="s">
        <v>14</v>
      </c>
      <c r="U331" t="s">
        <v>4256</v>
      </c>
      <c r="V331" t="s">
        <v>4715</v>
      </c>
      <c r="W331" t="s">
        <v>4312</v>
      </c>
      <c r="X331" t="s">
        <v>17</v>
      </c>
    </row>
    <row r="332" spans="8:24" x14ac:dyDescent="0.45">
      <c r="H332" t="s">
        <v>4361</v>
      </c>
      <c r="I332" t="s">
        <v>632</v>
      </c>
      <c r="J332">
        <v>1.293779311885603E-2</v>
      </c>
      <c r="K332" t="s">
        <v>14</v>
      </c>
      <c r="U332" t="s">
        <v>4256</v>
      </c>
      <c r="V332" t="s">
        <v>4716</v>
      </c>
      <c r="W332" t="s">
        <v>4508</v>
      </c>
      <c r="X332" t="s">
        <v>19</v>
      </c>
    </row>
    <row r="333" spans="8:24" x14ac:dyDescent="0.45">
      <c r="H333" t="s">
        <v>4364</v>
      </c>
      <c r="I333" t="s">
        <v>632</v>
      </c>
      <c r="J333">
        <v>2.6532969204258062E-2</v>
      </c>
      <c r="K333" t="s">
        <v>14</v>
      </c>
      <c r="U333" t="s">
        <v>4256</v>
      </c>
      <c r="V333" t="s">
        <v>4716</v>
      </c>
      <c r="W333" t="s">
        <v>4312</v>
      </c>
      <c r="X333" t="s">
        <v>17</v>
      </c>
    </row>
    <row r="334" spans="8:24" x14ac:dyDescent="0.45">
      <c r="H334" t="s">
        <v>4367</v>
      </c>
      <c r="I334" t="s">
        <v>632</v>
      </c>
      <c r="J334">
        <v>2.1773120548943961E-3</v>
      </c>
      <c r="K334" t="s">
        <v>14</v>
      </c>
      <c r="U334" t="s">
        <v>4256</v>
      </c>
      <c r="V334" t="s">
        <v>4717</v>
      </c>
      <c r="W334" t="s">
        <v>4316</v>
      </c>
      <c r="X334" t="s">
        <v>19</v>
      </c>
    </row>
    <row r="335" spans="8:24" x14ac:dyDescent="0.45">
      <c r="H335" t="s">
        <v>4370</v>
      </c>
      <c r="I335" t="s">
        <v>632</v>
      </c>
      <c r="J335">
        <v>9.4145872104278012E-15</v>
      </c>
      <c r="K335" t="s">
        <v>14</v>
      </c>
      <c r="U335" t="s">
        <v>4256</v>
      </c>
      <c r="V335" t="s">
        <v>4718</v>
      </c>
      <c r="W335" t="s">
        <v>4316</v>
      </c>
      <c r="X335" t="s">
        <v>19</v>
      </c>
    </row>
    <row r="336" spans="8:24" x14ac:dyDescent="0.45">
      <c r="H336" t="s">
        <v>4373</v>
      </c>
      <c r="I336" t="s">
        <v>632</v>
      </c>
      <c r="J336">
        <v>9.4867112332973638E-2</v>
      </c>
      <c r="K336" t="s">
        <v>14</v>
      </c>
      <c r="U336" t="s">
        <v>4256</v>
      </c>
      <c r="V336" t="s">
        <v>4719</v>
      </c>
      <c r="W336" t="s">
        <v>4316</v>
      </c>
      <c r="X336" t="s">
        <v>19</v>
      </c>
    </row>
    <row r="337" spans="8:24" x14ac:dyDescent="0.45">
      <c r="H337" t="s">
        <v>4376</v>
      </c>
      <c r="I337" t="s">
        <v>632</v>
      </c>
      <c r="J337">
        <v>4.2638426816251136E-2</v>
      </c>
      <c r="K337" t="s">
        <v>14</v>
      </c>
      <c r="U337" t="s">
        <v>4256</v>
      </c>
      <c r="V337" t="s">
        <v>4720</v>
      </c>
      <c r="W337" t="s">
        <v>4316</v>
      </c>
      <c r="X337" t="s">
        <v>19</v>
      </c>
    </row>
    <row r="338" spans="8:24" x14ac:dyDescent="0.45">
      <c r="H338" t="s">
        <v>4379</v>
      </c>
      <c r="I338" t="s">
        <v>632</v>
      </c>
      <c r="J338">
        <v>4.4069222829436698E-2</v>
      </c>
      <c r="K338" t="s">
        <v>14</v>
      </c>
      <c r="U338" t="s">
        <v>4256</v>
      </c>
      <c r="V338" t="s">
        <v>4721</v>
      </c>
      <c r="W338" t="s">
        <v>4316</v>
      </c>
      <c r="X338" t="s">
        <v>19</v>
      </c>
    </row>
    <row r="339" spans="8:24" x14ac:dyDescent="0.45">
      <c r="H339" t="s">
        <v>4382</v>
      </c>
      <c r="I339" t="s">
        <v>632</v>
      </c>
      <c r="J339">
        <v>4.2833782325243645E-2</v>
      </c>
      <c r="K339" t="s">
        <v>14</v>
      </c>
      <c r="U339" t="s">
        <v>4256</v>
      </c>
      <c r="V339" t="s">
        <v>4722</v>
      </c>
      <c r="W339" t="s">
        <v>4316</v>
      </c>
      <c r="X339" t="s">
        <v>19</v>
      </c>
    </row>
    <row r="340" spans="8:24" x14ac:dyDescent="0.45">
      <c r="H340" t="s">
        <v>4384</v>
      </c>
      <c r="I340" t="s">
        <v>632</v>
      </c>
      <c r="J340">
        <v>4.0040029931393377E-2</v>
      </c>
      <c r="K340" t="s">
        <v>14</v>
      </c>
      <c r="U340" t="s">
        <v>4256</v>
      </c>
      <c r="V340" t="s">
        <v>4723</v>
      </c>
      <c r="W340" t="s">
        <v>4316</v>
      </c>
      <c r="X340" t="s">
        <v>19</v>
      </c>
    </row>
    <row r="341" spans="8:24" x14ac:dyDescent="0.45">
      <c r="H341" t="s">
        <v>4387</v>
      </c>
      <c r="I341" t="s">
        <v>632</v>
      </c>
      <c r="J341">
        <v>5.0286605405833137E-5</v>
      </c>
      <c r="K341" t="s">
        <v>14</v>
      </c>
      <c r="U341" t="s">
        <v>4256</v>
      </c>
      <c r="V341" t="s">
        <v>4724</v>
      </c>
      <c r="W341" t="s">
        <v>4316</v>
      </c>
      <c r="X341" t="s">
        <v>19</v>
      </c>
    </row>
    <row r="342" spans="8:24" x14ac:dyDescent="0.45">
      <c r="H342" t="s">
        <v>4389</v>
      </c>
      <c r="I342" t="s">
        <v>632</v>
      </c>
      <c r="J342">
        <v>3.2905820498607366E-2</v>
      </c>
      <c r="K342" t="s">
        <v>14</v>
      </c>
      <c r="U342" t="s">
        <v>4256</v>
      </c>
      <c r="V342" t="s">
        <v>4725</v>
      </c>
      <c r="W342" t="s">
        <v>4316</v>
      </c>
      <c r="X342" t="s">
        <v>19</v>
      </c>
    </row>
    <row r="343" spans="8:24" x14ac:dyDescent="0.45">
      <c r="H343" t="s">
        <v>4392</v>
      </c>
      <c r="I343" t="s">
        <v>632</v>
      </c>
      <c r="J343">
        <v>0.10969877017591415</v>
      </c>
      <c r="K343" t="s">
        <v>14</v>
      </c>
      <c r="U343" t="s">
        <v>4256</v>
      </c>
      <c r="V343" t="s">
        <v>4726</v>
      </c>
      <c r="W343" t="s">
        <v>4316</v>
      </c>
      <c r="X343" t="s">
        <v>19</v>
      </c>
    </row>
    <row r="344" spans="8:24" x14ac:dyDescent="0.45">
      <c r="H344" t="s">
        <v>4394</v>
      </c>
      <c r="I344" t="s">
        <v>632</v>
      </c>
      <c r="J344">
        <v>8.3385078946844361E-3</v>
      </c>
      <c r="K344" t="s">
        <v>14</v>
      </c>
      <c r="U344" t="s">
        <v>4256</v>
      </c>
      <c r="V344" t="s">
        <v>4727</v>
      </c>
      <c r="W344" t="s">
        <v>4316</v>
      </c>
      <c r="X344" t="s">
        <v>19</v>
      </c>
    </row>
    <row r="345" spans="8:24" x14ac:dyDescent="0.45">
      <c r="H345" t="s">
        <v>4396</v>
      </c>
      <c r="I345" t="s">
        <v>632</v>
      </c>
      <c r="J345">
        <v>2.3792828648006921E-2</v>
      </c>
      <c r="K345" t="s">
        <v>14</v>
      </c>
      <c r="U345" t="s">
        <v>4256</v>
      </c>
      <c r="V345" t="s">
        <v>4727</v>
      </c>
      <c r="W345" t="s">
        <v>4728</v>
      </c>
      <c r="X345" t="s">
        <v>19</v>
      </c>
    </row>
    <row r="346" spans="8:24" x14ac:dyDescent="0.45">
      <c r="H346" t="s">
        <v>4397</v>
      </c>
      <c r="I346" t="s">
        <v>632</v>
      </c>
      <c r="J346">
        <v>2.2119244552545225E-2</v>
      </c>
      <c r="K346" t="s">
        <v>14</v>
      </c>
      <c r="U346" t="s">
        <v>4256</v>
      </c>
      <c r="V346" t="s">
        <v>4729</v>
      </c>
      <c r="W346" t="s">
        <v>4316</v>
      </c>
      <c r="X346" t="s">
        <v>19</v>
      </c>
    </row>
    <row r="347" spans="8:24" x14ac:dyDescent="0.45">
      <c r="H347" t="s">
        <v>4399</v>
      </c>
      <c r="I347" t="s">
        <v>632</v>
      </c>
      <c r="J347">
        <v>4.034593811362177E-2</v>
      </c>
      <c r="K347" t="s">
        <v>14</v>
      </c>
      <c r="U347" t="s">
        <v>4256</v>
      </c>
      <c r="V347" t="s">
        <v>4729</v>
      </c>
      <c r="W347" t="s">
        <v>4728</v>
      </c>
      <c r="X347" t="s">
        <v>19</v>
      </c>
    </row>
    <row r="348" spans="8:24" x14ac:dyDescent="0.45">
      <c r="H348" t="s">
        <v>4400</v>
      </c>
      <c r="I348" t="s">
        <v>632</v>
      </c>
      <c r="J348">
        <v>0.24913643304871971</v>
      </c>
      <c r="K348" t="s">
        <v>14</v>
      </c>
      <c r="U348" t="s">
        <v>4256</v>
      </c>
      <c r="V348" t="s">
        <v>4730</v>
      </c>
      <c r="W348" t="s">
        <v>4316</v>
      </c>
      <c r="X348" t="s">
        <v>19</v>
      </c>
    </row>
    <row r="349" spans="8:24" x14ac:dyDescent="0.45">
      <c r="H349" t="s">
        <v>4402</v>
      </c>
      <c r="I349" t="s">
        <v>632</v>
      </c>
      <c r="J349">
        <v>3.6737300945834717E-3</v>
      </c>
      <c r="K349" t="s">
        <v>14</v>
      </c>
      <c r="U349" t="s">
        <v>4256</v>
      </c>
      <c r="V349" t="s">
        <v>4730</v>
      </c>
      <c r="W349" t="s">
        <v>4728</v>
      </c>
      <c r="X349" t="s">
        <v>19</v>
      </c>
    </row>
    <row r="350" spans="8:24" x14ac:dyDescent="0.45">
      <c r="H350" t="s">
        <v>4404</v>
      </c>
      <c r="I350" t="s">
        <v>632</v>
      </c>
      <c r="J350">
        <v>4.4838327290314039E-3</v>
      </c>
      <c r="K350" t="s">
        <v>14</v>
      </c>
      <c r="U350" t="s">
        <v>4256</v>
      </c>
      <c r="V350" t="s">
        <v>4731</v>
      </c>
      <c r="W350" t="s">
        <v>4728</v>
      </c>
      <c r="X350" t="s">
        <v>19</v>
      </c>
    </row>
    <row r="351" spans="8:24" x14ac:dyDescent="0.45">
      <c r="H351" t="s">
        <v>4406</v>
      </c>
      <c r="I351" t="s">
        <v>632</v>
      </c>
      <c r="J351">
        <v>2.1747259148521648E-2</v>
      </c>
      <c r="K351" t="s">
        <v>14</v>
      </c>
      <c r="U351" t="s">
        <v>4256</v>
      </c>
      <c r="V351" t="s">
        <v>4732</v>
      </c>
      <c r="W351" t="s">
        <v>4728</v>
      </c>
      <c r="X351" t="s">
        <v>19</v>
      </c>
    </row>
    <row r="352" spans="8:24" x14ac:dyDescent="0.45">
      <c r="H352" t="s">
        <v>4408</v>
      </c>
      <c r="I352" t="s">
        <v>632</v>
      </c>
      <c r="J352">
        <v>7.6445340051768465E-2</v>
      </c>
      <c r="K352" t="s">
        <v>14</v>
      </c>
      <c r="U352" t="s">
        <v>4256</v>
      </c>
      <c r="V352" t="s">
        <v>4733</v>
      </c>
      <c r="W352" t="s">
        <v>4728</v>
      </c>
      <c r="X352" t="s">
        <v>19</v>
      </c>
    </row>
    <row r="353" spans="8:24" x14ac:dyDescent="0.45">
      <c r="H353" t="s">
        <v>4410</v>
      </c>
      <c r="I353" t="s">
        <v>632</v>
      </c>
      <c r="J353">
        <v>9.4145872104278012E-15</v>
      </c>
      <c r="K353" t="s">
        <v>14</v>
      </c>
      <c r="U353" t="s">
        <v>4256</v>
      </c>
      <c r="V353" t="s">
        <v>4733</v>
      </c>
      <c r="W353" t="s">
        <v>4316</v>
      </c>
      <c r="X353" t="s">
        <v>17</v>
      </c>
    </row>
    <row r="354" spans="8:24" x14ac:dyDescent="0.45">
      <c r="H354" t="s">
        <v>4412</v>
      </c>
      <c r="I354" t="s">
        <v>632</v>
      </c>
      <c r="J354">
        <v>7.3643664812051285E-2</v>
      </c>
      <c r="K354" t="s">
        <v>14</v>
      </c>
      <c r="U354" t="s">
        <v>4256</v>
      </c>
      <c r="V354" t="s">
        <v>4734</v>
      </c>
      <c r="W354" t="s">
        <v>4728</v>
      </c>
      <c r="X354" t="s">
        <v>19</v>
      </c>
    </row>
    <row r="355" spans="8:24" x14ac:dyDescent="0.45">
      <c r="H355" t="s">
        <v>4414</v>
      </c>
      <c r="I355" t="s">
        <v>632</v>
      </c>
      <c r="J355">
        <v>6.0419337320197794E-4</v>
      </c>
      <c r="K355" t="s">
        <v>14</v>
      </c>
      <c r="U355" t="s">
        <v>4256</v>
      </c>
      <c r="V355" t="s">
        <v>4734</v>
      </c>
      <c r="W355" t="s">
        <v>4316</v>
      </c>
      <c r="X355" t="s">
        <v>17</v>
      </c>
    </row>
    <row r="356" spans="8:24" x14ac:dyDescent="0.45">
      <c r="H356" t="s">
        <v>4416</v>
      </c>
      <c r="I356" t="s">
        <v>632</v>
      </c>
      <c r="J356">
        <v>6.9175016400095622E-3</v>
      </c>
      <c r="K356" t="s">
        <v>14</v>
      </c>
      <c r="U356" t="s">
        <v>4256</v>
      </c>
      <c r="V356" t="s">
        <v>4735</v>
      </c>
      <c r="W356" t="s">
        <v>4319</v>
      </c>
      <c r="X356" t="s">
        <v>19</v>
      </c>
    </row>
    <row r="357" spans="8:24" x14ac:dyDescent="0.45">
      <c r="H357" t="s">
        <v>4418</v>
      </c>
      <c r="I357" t="s">
        <v>632</v>
      </c>
      <c r="J357">
        <v>1.293779311885603E-2</v>
      </c>
      <c r="K357" t="s">
        <v>14</v>
      </c>
      <c r="U357" t="s">
        <v>4256</v>
      </c>
      <c r="V357" t="s">
        <v>4736</v>
      </c>
      <c r="W357" t="s">
        <v>4319</v>
      </c>
      <c r="X357" t="s">
        <v>19</v>
      </c>
    </row>
    <row r="358" spans="8:24" x14ac:dyDescent="0.45">
      <c r="H358" t="s">
        <v>4420</v>
      </c>
      <c r="I358" t="s">
        <v>632</v>
      </c>
      <c r="J358">
        <v>2.6532969204258062E-2</v>
      </c>
      <c r="K358" t="s">
        <v>14</v>
      </c>
      <c r="U358" t="s">
        <v>4256</v>
      </c>
      <c r="V358" t="s">
        <v>4737</v>
      </c>
      <c r="W358" t="s">
        <v>4319</v>
      </c>
      <c r="X358" t="s">
        <v>19</v>
      </c>
    </row>
    <row r="359" spans="8:24" x14ac:dyDescent="0.45">
      <c r="H359" t="s">
        <v>4422</v>
      </c>
      <c r="I359" t="s">
        <v>632</v>
      </c>
      <c r="J359">
        <v>2.1773120548943961E-3</v>
      </c>
      <c r="K359" t="s">
        <v>14</v>
      </c>
      <c r="U359" t="s">
        <v>4256</v>
      </c>
      <c r="V359" t="s">
        <v>4738</v>
      </c>
      <c r="W359" t="s">
        <v>4319</v>
      </c>
      <c r="X359" t="s">
        <v>19</v>
      </c>
    </row>
    <row r="360" spans="8:24" x14ac:dyDescent="0.45">
      <c r="H360" t="s">
        <v>4424</v>
      </c>
      <c r="I360" t="s">
        <v>632</v>
      </c>
      <c r="J360">
        <v>9.4145872104278012E-15</v>
      </c>
      <c r="K360" t="s">
        <v>14</v>
      </c>
      <c r="U360" t="s">
        <v>4256</v>
      </c>
      <c r="V360" t="s">
        <v>4739</v>
      </c>
      <c r="W360" t="s">
        <v>4319</v>
      </c>
      <c r="X360" t="s">
        <v>19</v>
      </c>
    </row>
    <row r="361" spans="8:24" x14ac:dyDescent="0.45">
      <c r="H361" t="s">
        <v>4426</v>
      </c>
      <c r="I361" t="s">
        <v>632</v>
      </c>
      <c r="J361">
        <v>9.4867112332973638E-2</v>
      </c>
      <c r="K361" t="s">
        <v>14</v>
      </c>
      <c r="U361" t="s">
        <v>4256</v>
      </c>
      <c r="V361" t="s">
        <v>4740</v>
      </c>
      <c r="W361" t="s">
        <v>4319</v>
      </c>
      <c r="X361" t="s">
        <v>19</v>
      </c>
    </row>
    <row r="362" spans="8:24" x14ac:dyDescent="0.45">
      <c r="H362" t="s">
        <v>4427</v>
      </c>
      <c r="I362" t="s">
        <v>632</v>
      </c>
      <c r="J362">
        <v>4.2638426816251136E-2</v>
      </c>
      <c r="K362" t="s">
        <v>14</v>
      </c>
      <c r="U362" t="s">
        <v>4256</v>
      </c>
      <c r="V362" t="s">
        <v>4741</v>
      </c>
      <c r="W362" t="s">
        <v>4319</v>
      </c>
      <c r="X362" t="s">
        <v>19</v>
      </c>
    </row>
    <row r="363" spans="8:24" x14ac:dyDescent="0.45">
      <c r="H363" t="s">
        <v>4429</v>
      </c>
      <c r="I363" t="s">
        <v>632</v>
      </c>
      <c r="J363">
        <v>4.4069222829436698E-2</v>
      </c>
      <c r="K363" t="s">
        <v>14</v>
      </c>
      <c r="U363" t="s">
        <v>4256</v>
      </c>
      <c r="V363" t="s">
        <v>4742</v>
      </c>
      <c r="W363" t="s">
        <v>4319</v>
      </c>
      <c r="X363" t="s">
        <v>19</v>
      </c>
    </row>
    <row r="364" spans="8:24" x14ac:dyDescent="0.45">
      <c r="H364" t="s">
        <v>4430</v>
      </c>
      <c r="I364" t="s">
        <v>632</v>
      </c>
      <c r="J364">
        <v>4.2833782325243645E-2</v>
      </c>
      <c r="K364" t="s">
        <v>14</v>
      </c>
      <c r="U364" t="s">
        <v>4256</v>
      </c>
      <c r="V364" t="s">
        <v>4743</v>
      </c>
      <c r="W364" t="s">
        <v>4319</v>
      </c>
      <c r="X364" t="s">
        <v>19</v>
      </c>
    </row>
    <row r="365" spans="8:24" x14ac:dyDescent="0.45">
      <c r="H365" t="s">
        <v>4432</v>
      </c>
      <c r="I365" t="s">
        <v>632</v>
      </c>
      <c r="J365">
        <v>4.0040029931393377E-2</v>
      </c>
      <c r="K365" t="s">
        <v>14</v>
      </c>
      <c r="U365" t="s">
        <v>4256</v>
      </c>
      <c r="V365" t="s">
        <v>4744</v>
      </c>
      <c r="W365" t="s">
        <v>4319</v>
      </c>
      <c r="X365" t="s">
        <v>19</v>
      </c>
    </row>
    <row r="366" spans="8:24" x14ac:dyDescent="0.45">
      <c r="H366" t="s">
        <v>4434</v>
      </c>
      <c r="I366" t="s">
        <v>632</v>
      </c>
      <c r="J366">
        <v>5.0286605405833137E-5</v>
      </c>
      <c r="K366" t="s">
        <v>14</v>
      </c>
      <c r="U366" t="s">
        <v>4256</v>
      </c>
      <c r="V366" t="s">
        <v>4745</v>
      </c>
      <c r="W366" t="s">
        <v>4319</v>
      </c>
      <c r="X366" t="s">
        <v>19</v>
      </c>
    </row>
    <row r="367" spans="8:24" x14ac:dyDescent="0.45">
      <c r="H367" t="s">
        <v>4436</v>
      </c>
      <c r="I367" t="s">
        <v>632</v>
      </c>
      <c r="J367">
        <v>3.2905820498607366E-2</v>
      </c>
      <c r="K367" t="s">
        <v>14</v>
      </c>
      <c r="U367" t="s">
        <v>4256</v>
      </c>
      <c r="V367" t="s">
        <v>4745</v>
      </c>
      <c r="W367" t="s">
        <v>4505</v>
      </c>
      <c r="X367" t="s">
        <v>19</v>
      </c>
    </row>
    <row r="368" spans="8:24" x14ac:dyDescent="0.45">
      <c r="H368" t="s">
        <v>4437</v>
      </c>
      <c r="I368" t="s">
        <v>632</v>
      </c>
      <c r="J368">
        <v>0.10969877017591415</v>
      </c>
      <c r="K368" t="s">
        <v>14</v>
      </c>
      <c r="U368" t="s">
        <v>4256</v>
      </c>
      <c r="V368" t="s">
        <v>4746</v>
      </c>
      <c r="W368" t="s">
        <v>4319</v>
      </c>
      <c r="X368" t="s">
        <v>19</v>
      </c>
    </row>
    <row r="369" spans="8:24" x14ac:dyDescent="0.45">
      <c r="H369" t="s">
        <v>4439</v>
      </c>
      <c r="I369" t="s">
        <v>632</v>
      </c>
      <c r="J369">
        <v>8.3385078946844361E-3</v>
      </c>
      <c r="K369" t="s">
        <v>14</v>
      </c>
      <c r="U369" t="s">
        <v>4256</v>
      </c>
      <c r="V369" t="s">
        <v>4746</v>
      </c>
      <c r="W369" t="s">
        <v>4505</v>
      </c>
      <c r="X369" t="s">
        <v>19</v>
      </c>
    </row>
    <row r="370" spans="8:24" x14ac:dyDescent="0.45">
      <c r="H370" t="s">
        <v>4440</v>
      </c>
      <c r="I370" t="s">
        <v>632</v>
      </c>
      <c r="J370">
        <v>2.3792828648006921E-2</v>
      </c>
      <c r="K370" t="s">
        <v>14</v>
      </c>
      <c r="U370" t="s">
        <v>4256</v>
      </c>
      <c r="V370" t="s">
        <v>4747</v>
      </c>
      <c r="W370" t="s">
        <v>4319</v>
      </c>
      <c r="X370" t="s">
        <v>19</v>
      </c>
    </row>
    <row r="371" spans="8:24" x14ac:dyDescent="0.45">
      <c r="H371" t="s">
        <v>4442</v>
      </c>
      <c r="I371" t="s">
        <v>632</v>
      </c>
      <c r="J371">
        <v>2.2119244552545225E-2</v>
      </c>
      <c r="K371" t="s">
        <v>14</v>
      </c>
      <c r="U371" t="s">
        <v>4256</v>
      </c>
      <c r="V371" t="s">
        <v>4747</v>
      </c>
      <c r="W371" t="s">
        <v>4505</v>
      </c>
      <c r="X371" t="s">
        <v>19</v>
      </c>
    </row>
    <row r="372" spans="8:24" x14ac:dyDescent="0.45">
      <c r="H372" t="s">
        <v>4444</v>
      </c>
      <c r="I372" t="s">
        <v>632</v>
      </c>
      <c r="J372">
        <v>4.034593811362177E-2</v>
      </c>
      <c r="K372" t="s">
        <v>14</v>
      </c>
      <c r="U372" t="s">
        <v>4256</v>
      </c>
      <c r="V372" t="s">
        <v>4748</v>
      </c>
      <c r="W372" t="s">
        <v>4505</v>
      </c>
      <c r="X372" t="s">
        <v>19</v>
      </c>
    </row>
    <row r="373" spans="8:24" x14ac:dyDescent="0.45">
      <c r="H373" t="s">
        <v>4446</v>
      </c>
      <c r="I373" t="s">
        <v>632</v>
      </c>
      <c r="J373">
        <v>0.24913643304871971</v>
      </c>
      <c r="K373" t="s">
        <v>14</v>
      </c>
      <c r="U373" t="s">
        <v>4256</v>
      </c>
      <c r="V373" t="s">
        <v>4749</v>
      </c>
      <c r="W373" t="s">
        <v>4505</v>
      </c>
      <c r="X373" t="s">
        <v>19</v>
      </c>
    </row>
    <row r="374" spans="8:24" x14ac:dyDescent="0.45">
      <c r="H374" t="s">
        <v>4448</v>
      </c>
      <c r="I374" t="s">
        <v>632</v>
      </c>
      <c r="J374">
        <v>3.6737300945834717E-3</v>
      </c>
      <c r="K374" t="s">
        <v>14</v>
      </c>
      <c r="U374" t="s">
        <v>4256</v>
      </c>
      <c r="V374" t="s">
        <v>4750</v>
      </c>
      <c r="W374" t="s">
        <v>4505</v>
      </c>
      <c r="X374" t="s">
        <v>19</v>
      </c>
    </row>
    <row r="375" spans="8:24" x14ac:dyDescent="0.45">
      <c r="H375" t="s">
        <v>4450</v>
      </c>
      <c r="I375" t="s">
        <v>632</v>
      </c>
      <c r="J375">
        <v>4.4838327290314039E-3</v>
      </c>
      <c r="K375" t="s">
        <v>14</v>
      </c>
      <c r="U375" t="s">
        <v>4256</v>
      </c>
      <c r="V375" t="s">
        <v>4750</v>
      </c>
      <c r="W375" t="s">
        <v>4319</v>
      </c>
      <c r="X375" t="s">
        <v>17</v>
      </c>
    </row>
    <row r="376" spans="8:24" x14ac:dyDescent="0.45">
      <c r="H376" t="s">
        <v>4452</v>
      </c>
      <c r="I376" t="s">
        <v>632</v>
      </c>
      <c r="J376">
        <v>2.1747259148521648E-2</v>
      </c>
      <c r="K376" t="s">
        <v>14</v>
      </c>
      <c r="U376" t="s">
        <v>4256</v>
      </c>
      <c r="V376" t="s">
        <v>4751</v>
      </c>
      <c r="W376" t="s">
        <v>4505</v>
      </c>
      <c r="X376" t="s">
        <v>19</v>
      </c>
    </row>
    <row r="377" spans="8:24" x14ac:dyDescent="0.45">
      <c r="H377" t="s">
        <v>4454</v>
      </c>
      <c r="I377" t="s">
        <v>632</v>
      </c>
      <c r="J377">
        <v>7.6445340051768465E-2</v>
      </c>
      <c r="K377" t="s">
        <v>14</v>
      </c>
      <c r="U377" t="s">
        <v>4256</v>
      </c>
      <c r="V377" t="s">
        <v>4751</v>
      </c>
      <c r="W377" t="s">
        <v>4319</v>
      </c>
      <c r="X377" t="s">
        <v>17</v>
      </c>
    </row>
    <row r="378" spans="8:24" x14ac:dyDescent="0.45">
      <c r="H378" t="s">
        <v>4456</v>
      </c>
      <c r="I378" t="s">
        <v>632</v>
      </c>
      <c r="J378">
        <v>9.4145872104278012E-15</v>
      </c>
      <c r="K378" t="s">
        <v>14</v>
      </c>
      <c r="U378" t="s">
        <v>4256</v>
      </c>
      <c r="V378" t="s">
        <v>4752</v>
      </c>
      <c r="W378" t="s">
        <v>4323</v>
      </c>
      <c r="X378" t="s">
        <v>19</v>
      </c>
    </row>
    <row r="379" spans="8:24" x14ac:dyDescent="0.45">
      <c r="H379" t="s">
        <v>4458</v>
      </c>
      <c r="I379" t="s">
        <v>632</v>
      </c>
      <c r="J379">
        <v>7.3643664812051285E-2</v>
      </c>
      <c r="K379" t="s">
        <v>14</v>
      </c>
      <c r="U379" t="s">
        <v>4256</v>
      </c>
      <c r="V379" t="s">
        <v>4753</v>
      </c>
      <c r="W379" t="s">
        <v>4323</v>
      </c>
      <c r="X379" t="s">
        <v>19</v>
      </c>
    </row>
    <row r="380" spans="8:24" x14ac:dyDescent="0.45">
      <c r="H380" t="s">
        <v>4460</v>
      </c>
      <c r="I380" t="s">
        <v>632</v>
      </c>
      <c r="J380">
        <v>6.0419337320197794E-4</v>
      </c>
      <c r="K380" t="s">
        <v>14</v>
      </c>
      <c r="U380" t="s">
        <v>4256</v>
      </c>
      <c r="V380" t="s">
        <v>4754</v>
      </c>
      <c r="W380" t="s">
        <v>4323</v>
      </c>
      <c r="X380" t="s">
        <v>19</v>
      </c>
    </row>
    <row r="381" spans="8:24" x14ac:dyDescent="0.45">
      <c r="H381" t="s">
        <v>4462</v>
      </c>
      <c r="I381" t="s">
        <v>632</v>
      </c>
      <c r="J381">
        <v>6.9175016400095622E-3</v>
      </c>
      <c r="K381" t="s">
        <v>14</v>
      </c>
      <c r="U381" t="s">
        <v>4256</v>
      </c>
      <c r="V381" t="s">
        <v>4755</v>
      </c>
      <c r="W381" t="s">
        <v>4323</v>
      </c>
      <c r="X381" t="s">
        <v>19</v>
      </c>
    </row>
    <row r="382" spans="8:24" x14ac:dyDescent="0.45">
      <c r="H382" t="s">
        <v>4464</v>
      </c>
      <c r="I382" t="s">
        <v>632</v>
      </c>
      <c r="J382">
        <v>1.293779311885603E-2</v>
      </c>
      <c r="K382" t="s">
        <v>14</v>
      </c>
      <c r="U382" t="s">
        <v>4256</v>
      </c>
      <c r="V382" t="s">
        <v>4756</v>
      </c>
      <c r="W382" t="s">
        <v>4323</v>
      </c>
      <c r="X382" t="s">
        <v>19</v>
      </c>
    </row>
    <row r="383" spans="8:24" x14ac:dyDescent="0.45">
      <c r="H383" t="s">
        <v>4466</v>
      </c>
      <c r="I383" t="s">
        <v>632</v>
      </c>
      <c r="J383">
        <v>2.6532969204258062E-2</v>
      </c>
      <c r="K383" t="s">
        <v>14</v>
      </c>
      <c r="U383" t="s">
        <v>4256</v>
      </c>
      <c r="V383" t="s">
        <v>4757</v>
      </c>
      <c r="W383" t="s">
        <v>4323</v>
      </c>
      <c r="X383" t="s">
        <v>19</v>
      </c>
    </row>
    <row r="384" spans="8:24" x14ac:dyDescent="0.45">
      <c r="H384" t="s">
        <v>4467</v>
      </c>
      <c r="I384" t="s">
        <v>632</v>
      </c>
      <c r="J384">
        <v>2.1773120548943961E-3</v>
      </c>
      <c r="K384" t="s">
        <v>14</v>
      </c>
      <c r="U384" t="s">
        <v>4256</v>
      </c>
      <c r="V384" t="s">
        <v>4758</v>
      </c>
      <c r="W384" t="s">
        <v>4323</v>
      </c>
      <c r="X384" t="s">
        <v>19</v>
      </c>
    </row>
    <row r="385" spans="8:24" x14ac:dyDescent="0.45">
      <c r="H385" t="s">
        <v>4469</v>
      </c>
      <c r="I385" t="s">
        <v>632</v>
      </c>
      <c r="J385">
        <v>9.4145872104278012E-15</v>
      </c>
      <c r="K385" t="s">
        <v>14</v>
      </c>
      <c r="U385" t="s">
        <v>4256</v>
      </c>
      <c r="V385" t="s">
        <v>4759</v>
      </c>
      <c r="W385" t="s">
        <v>4323</v>
      </c>
      <c r="X385" t="s">
        <v>19</v>
      </c>
    </row>
    <row r="386" spans="8:24" x14ac:dyDescent="0.45">
      <c r="H386" t="s">
        <v>4470</v>
      </c>
      <c r="I386" t="s">
        <v>632</v>
      </c>
      <c r="J386">
        <v>9.4867112332973638E-2</v>
      </c>
      <c r="K386" t="s">
        <v>14</v>
      </c>
      <c r="U386" t="s">
        <v>4256</v>
      </c>
      <c r="V386" t="s">
        <v>4760</v>
      </c>
      <c r="W386" t="s">
        <v>4323</v>
      </c>
      <c r="X386" t="s">
        <v>19</v>
      </c>
    </row>
    <row r="387" spans="8:24" x14ac:dyDescent="0.45">
      <c r="H387" t="s">
        <v>4472</v>
      </c>
      <c r="I387" t="s">
        <v>632</v>
      </c>
      <c r="J387">
        <v>4.2638426816251136E-2</v>
      </c>
      <c r="K387" t="s">
        <v>14</v>
      </c>
      <c r="U387" t="s">
        <v>4256</v>
      </c>
      <c r="V387" t="s">
        <v>4761</v>
      </c>
      <c r="W387" t="s">
        <v>4323</v>
      </c>
      <c r="X387" t="s">
        <v>19</v>
      </c>
    </row>
    <row r="388" spans="8:24" x14ac:dyDescent="0.45">
      <c r="H388" t="s">
        <v>4474</v>
      </c>
      <c r="I388" t="s">
        <v>632</v>
      </c>
      <c r="J388">
        <v>4.4069222829436698E-2</v>
      </c>
      <c r="K388" t="s">
        <v>14</v>
      </c>
      <c r="U388" t="s">
        <v>4256</v>
      </c>
      <c r="V388" t="s">
        <v>4762</v>
      </c>
      <c r="W388" t="s">
        <v>4323</v>
      </c>
      <c r="X388" t="s">
        <v>19</v>
      </c>
    </row>
    <row r="389" spans="8:24" x14ac:dyDescent="0.45">
      <c r="H389" t="s">
        <v>4476</v>
      </c>
      <c r="I389" t="s">
        <v>632</v>
      </c>
      <c r="J389">
        <v>4.2833782325243645E-2</v>
      </c>
      <c r="K389" t="s">
        <v>14</v>
      </c>
      <c r="U389" t="s">
        <v>4256</v>
      </c>
      <c r="V389" t="s">
        <v>4762</v>
      </c>
      <c r="W389" t="s">
        <v>4544</v>
      </c>
      <c r="X389" t="s">
        <v>19</v>
      </c>
    </row>
    <row r="390" spans="8:24" x14ac:dyDescent="0.45">
      <c r="H390" t="s">
        <v>4477</v>
      </c>
      <c r="I390" t="s">
        <v>632</v>
      </c>
      <c r="J390">
        <v>4.0040029931393377E-2</v>
      </c>
      <c r="K390" t="s">
        <v>14</v>
      </c>
      <c r="U390" t="s">
        <v>4256</v>
      </c>
      <c r="V390" t="s">
        <v>4763</v>
      </c>
      <c r="W390" t="s">
        <v>4323</v>
      </c>
      <c r="X390" t="s">
        <v>19</v>
      </c>
    </row>
    <row r="391" spans="8:24" x14ac:dyDescent="0.45">
      <c r="H391" t="s">
        <v>4479</v>
      </c>
      <c r="I391" t="s">
        <v>632</v>
      </c>
      <c r="J391">
        <v>5.0286605405833137E-5</v>
      </c>
      <c r="K391" t="s">
        <v>14</v>
      </c>
      <c r="U391" t="s">
        <v>4256</v>
      </c>
      <c r="V391" t="s">
        <v>4763</v>
      </c>
      <c r="W391" t="s">
        <v>4544</v>
      </c>
      <c r="X391" t="s">
        <v>19</v>
      </c>
    </row>
    <row r="392" spans="8:24" x14ac:dyDescent="0.45">
      <c r="H392" t="s">
        <v>4480</v>
      </c>
      <c r="I392" t="s">
        <v>632</v>
      </c>
      <c r="J392">
        <v>3.2905820498607366E-2</v>
      </c>
      <c r="K392" t="s">
        <v>14</v>
      </c>
      <c r="U392" t="s">
        <v>4256</v>
      </c>
      <c r="V392" t="s">
        <v>4764</v>
      </c>
      <c r="W392" t="s">
        <v>4323</v>
      </c>
      <c r="X392" t="s">
        <v>19</v>
      </c>
    </row>
    <row r="393" spans="8:24" x14ac:dyDescent="0.45">
      <c r="H393" t="s">
        <v>4482</v>
      </c>
      <c r="I393" t="s">
        <v>632</v>
      </c>
      <c r="J393">
        <v>0.10969877017591415</v>
      </c>
      <c r="K393" t="s">
        <v>14</v>
      </c>
      <c r="U393" t="s">
        <v>4256</v>
      </c>
      <c r="V393" t="s">
        <v>4764</v>
      </c>
      <c r="W393" t="s">
        <v>4544</v>
      </c>
      <c r="X393" t="s">
        <v>19</v>
      </c>
    </row>
    <row r="394" spans="8:24" x14ac:dyDescent="0.45">
      <c r="H394" t="s">
        <v>4484</v>
      </c>
      <c r="I394" t="s">
        <v>632</v>
      </c>
      <c r="J394">
        <v>8.3385078946844361E-3</v>
      </c>
      <c r="K394" t="s">
        <v>14</v>
      </c>
      <c r="U394" t="s">
        <v>4256</v>
      </c>
      <c r="V394" t="s">
        <v>4765</v>
      </c>
      <c r="W394" t="s">
        <v>4544</v>
      </c>
      <c r="X394" t="s">
        <v>19</v>
      </c>
    </row>
    <row r="395" spans="8:24" x14ac:dyDescent="0.45">
      <c r="H395" t="s">
        <v>4486</v>
      </c>
      <c r="I395" t="s">
        <v>632</v>
      </c>
      <c r="J395">
        <v>2.3792828648006921E-2</v>
      </c>
      <c r="K395" t="s">
        <v>14</v>
      </c>
      <c r="U395" t="s">
        <v>4256</v>
      </c>
      <c r="V395" t="s">
        <v>4766</v>
      </c>
      <c r="W395" t="s">
        <v>4544</v>
      </c>
      <c r="X395" t="s">
        <v>19</v>
      </c>
    </row>
    <row r="396" spans="8:24" x14ac:dyDescent="0.45">
      <c r="H396" t="s">
        <v>4488</v>
      </c>
      <c r="I396" t="s">
        <v>632</v>
      </c>
      <c r="J396">
        <v>2.2119244552545225E-2</v>
      </c>
      <c r="K396" t="s">
        <v>14</v>
      </c>
      <c r="U396" t="s">
        <v>4256</v>
      </c>
      <c r="V396" t="s">
        <v>4767</v>
      </c>
      <c r="W396" t="s">
        <v>4544</v>
      </c>
      <c r="X396" t="s">
        <v>19</v>
      </c>
    </row>
    <row r="397" spans="8:24" x14ac:dyDescent="0.45">
      <c r="H397" t="s">
        <v>4490</v>
      </c>
      <c r="I397" t="s">
        <v>632</v>
      </c>
      <c r="J397">
        <v>4.034593811362177E-2</v>
      </c>
      <c r="K397" t="s">
        <v>14</v>
      </c>
      <c r="U397" t="s">
        <v>4256</v>
      </c>
      <c r="V397" t="s">
        <v>4767</v>
      </c>
      <c r="W397" t="s">
        <v>4323</v>
      </c>
      <c r="X397" t="s">
        <v>17</v>
      </c>
    </row>
    <row r="398" spans="8:24" x14ac:dyDescent="0.45">
      <c r="H398" t="s">
        <v>4492</v>
      </c>
      <c r="I398" t="s">
        <v>632</v>
      </c>
      <c r="J398">
        <v>0.24913643304871971</v>
      </c>
      <c r="K398" t="s">
        <v>14</v>
      </c>
      <c r="U398" t="s">
        <v>4256</v>
      </c>
      <c r="V398" t="s">
        <v>4768</v>
      </c>
      <c r="W398" t="s">
        <v>4544</v>
      </c>
      <c r="X398" t="s">
        <v>19</v>
      </c>
    </row>
    <row r="399" spans="8:24" x14ac:dyDescent="0.45">
      <c r="H399" t="s">
        <v>4494</v>
      </c>
      <c r="I399" t="s">
        <v>632</v>
      </c>
      <c r="J399">
        <v>3.6737300945834717E-3</v>
      </c>
      <c r="K399" t="s">
        <v>14</v>
      </c>
      <c r="U399" t="s">
        <v>4256</v>
      </c>
      <c r="V399" t="s">
        <v>4768</v>
      </c>
      <c r="W399" t="s">
        <v>4323</v>
      </c>
      <c r="X399" t="s">
        <v>17</v>
      </c>
    </row>
    <row r="400" spans="8:24" x14ac:dyDescent="0.45">
      <c r="H400" t="s">
        <v>4496</v>
      </c>
      <c r="I400" t="s">
        <v>632</v>
      </c>
      <c r="J400">
        <v>4.4838327290314039E-3</v>
      </c>
      <c r="K400" t="s">
        <v>14</v>
      </c>
      <c r="U400" t="s">
        <v>4256</v>
      </c>
      <c r="V400" t="s">
        <v>4769</v>
      </c>
      <c r="W400" t="s">
        <v>4327</v>
      </c>
      <c r="X400" t="s">
        <v>19</v>
      </c>
    </row>
    <row r="401" spans="8:24" x14ac:dyDescent="0.45">
      <c r="H401" t="s">
        <v>4498</v>
      </c>
      <c r="I401" t="s">
        <v>632</v>
      </c>
      <c r="J401">
        <v>2.1747259148521648E-2</v>
      </c>
      <c r="K401" t="s">
        <v>14</v>
      </c>
      <c r="U401" t="s">
        <v>4256</v>
      </c>
      <c r="V401" t="s">
        <v>4770</v>
      </c>
      <c r="W401" t="s">
        <v>4327</v>
      </c>
      <c r="X401" t="s">
        <v>19</v>
      </c>
    </row>
    <row r="402" spans="8:24" x14ac:dyDescent="0.45">
      <c r="H402" t="s">
        <v>4500</v>
      </c>
      <c r="I402" t="s">
        <v>632</v>
      </c>
      <c r="J402">
        <v>7.6445340051768465E-2</v>
      </c>
      <c r="K402" t="s">
        <v>14</v>
      </c>
      <c r="U402" t="s">
        <v>4256</v>
      </c>
      <c r="V402" t="s">
        <v>4771</v>
      </c>
      <c r="W402" t="s">
        <v>4327</v>
      </c>
      <c r="X402" t="s">
        <v>19</v>
      </c>
    </row>
    <row r="403" spans="8:24" x14ac:dyDescent="0.45">
      <c r="H403" t="s">
        <v>4502</v>
      </c>
      <c r="I403" t="s">
        <v>632</v>
      </c>
      <c r="J403">
        <v>9.4145872104278012E-15</v>
      </c>
      <c r="K403" t="s">
        <v>14</v>
      </c>
      <c r="U403" t="s">
        <v>4256</v>
      </c>
      <c r="V403" t="s">
        <v>4772</v>
      </c>
      <c r="W403" t="s">
        <v>4327</v>
      </c>
      <c r="X403" t="s">
        <v>19</v>
      </c>
    </row>
    <row r="404" spans="8:24" x14ac:dyDescent="0.45">
      <c r="H404" t="s">
        <v>4504</v>
      </c>
      <c r="I404" t="s">
        <v>738</v>
      </c>
      <c r="J404">
        <v>7.3779344268369407E-2</v>
      </c>
      <c r="K404" t="s">
        <v>14</v>
      </c>
      <c r="U404" t="s">
        <v>4256</v>
      </c>
      <c r="V404" t="s">
        <v>4773</v>
      </c>
      <c r="W404" t="s">
        <v>4327</v>
      </c>
      <c r="X404" t="s">
        <v>19</v>
      </c>
    </row>
    <row r="405" spans="8:24" x14ac:dyDescent="0.45">
      <c r="H405" t="s">
        <v>4504</v>
      </c>
      <c r="I405" t="s">
        <v>740</v>
      </c>
      <c r="J405">
        <v>3.7407574330034499E-2</v>
      </c>
      <c r="K405" t="s">
        <v>14</v>
      </c>
      <c r="U405" t="s">
        <v>4256</v>
      </c>
      <c r="V405" t="s">
        <v>4774</v>
      </c>
      <c r="W405" t="s">
        <v>4327</v>
      </c>
      <c r="X405" t="s">
        <v>19</v>
      </c>
    </row>
    <row r="406" spans="8:24" x14ac:dyDescent="0.45">
      <c r="H406" t="s">
        <v>4507</v>
      </c>
      <c r="I406" t="s">
        <v>738</v>
      </c>
      <c r="J406">
        <v>4.1380213416038703E-2</v>
      </c>
      <c r="K406" t="s">
        <v>14</v>
      </c>
      <c r="U406" t="s">
        <v>4256</v>
      </c>
      <c r="V406" t="s">
        <v>4775</v>
      </c>
      <c r="W406" t="s">
        <v>4327</v>
      </c>
      <c r="X406" t="s">
        <v>19</v>
      </c>
    </row>
    <row r="407" spans="8:24" x14ac:dyDescent="0.45">
      <c r="H407" t="s">
        <v>4507</v>
      </c>
      <c r="I407" t="s">
        <v>740</v>
      </c>
      <c r="J407">
        <v>6.2071531944002903E-2</v>
      </c>
      <c r="K407" t="s">
        <v>14</v>
      </c>
      <c r="U407" t="s">
        <v>4256</v>
      </c>
      <c r="V407" t="s">
        <v>4776</v>
      </c>
      <c r="W407" t="s">
        <v>4327</v>
      </c>
      <c r="X407" t="s">
        <v>19</v>
      </c>
    </row>
    <row r="408" spans="8:24" x14ac:dyDescent="0.45">
      <c r="H408" t="s">
        <v>4509</v>
      </c>
      <c r="I408" t="s">
        <v>738</v>
      </c>
      <c r="J408">
        <v>3.0553319295276701E-2</v>
      </c>
      <c r="K408" t="s">
        <v>14</v>
      </c>
      <c r="U408" t="s">
        <v>4256</v>
      </c>
      <c r="V408" t="s">
        <v>4777</v>
      </c>
      <c r="W408" t="s">
        <v>4327</v>
      </c>
      <c r="X408" t="s">
        <v>19</v>
      </c>
    </row>
    <row r="409" spans="8:24" x14ac:dyDescent="0.45">
      <c r="H409" t="s">
        <v>4509</v>
      </c>
      <c r="I409" t="s">
        <v>740</v>
      </c>
      <c r="J409">
        <v>5.6551031463810998E-3</v>
      </c>
      <c r="K409" t="s">
        <v>14</v>
      </c>
      <c r="U409" t="s">
        <v>4256</v>
      </c>
      <c r="V409" t="s">
        <v>4778</v>
      </c>
      <c r="W409" t="s">
        <v>4327</v>
      </c>
      <c r="X409" t="s">
        <v>19</v>
      </c>
    </row>
    <row r="410" spans="8:24" x14ac:dyDescent="0.45">
      <c r="H410" t="s">
        <v>4511</v>
      </c>
      <c r="I410" t="s">
        <v>738</v>
      </c>
      <c r="J410">
        <v>7.6742860760266804E-2</v>
      </c>
      <c r="K410" t="s">
        <v>14</v>
      </c>
      <c r="U410" t="s">
        <v>4256</v>
      </c>
      <c r="V410" t="s">
        <v>4779</v>
      </c>
      <c r="W410" t="s">
        <v>4327</v>
      </c>
      <c r="X410" t="s">
        <v>19</v>
      </c>
    </row>
    <row r="411" spans="8:24" x14ac:dyDescent="0.45">
      <c r="H411" t="s">
        <v>4511</v>
      </c>
      <c r="I411" t="s">
        <v>740</v>
      </c>
      <c r="J411">
        <v>4.2861635900038698E-2</v>
      </c>
      <c r="K411" t="s">
        <v>14</v>
      </c>
      <c r="U411" t="s">
        <v>4256</v>
      </c>
      <c r="V411" t="s">
        <v>4779</v>
      </c>
      <c r="W411" t="s">
        <v>4512</v>
      </c>
      <c r="X411" t="s">
        <v>19</v>
      </c>
    </row>
    <row r="412" spans="8:24" x14ac:dyDescent="0.45">
      <c r="H412" t="s">
        <v>4513</v>
      </c>
      <c r="I412" t="s">
        <v>738</v>
      </c>
      <c r="J412">
        <v>0.2358915230875995</v>
      </c>
      <c r="K412" t="s">
        <v>14</v>
      </c>
      <c r="U412" t="s">
        <v>4256</v>
      </c>
      <c r="V412" t="s">
        <v>4780</v>
      </c>
      <c r="W412" t="s">
        <v>4327</v>
      </c>
      <c r="X412" t="s">
        <v>19</v>
      </c>
    </row>
    <row r="413" spans="8:24" x14ac:dyDescent="0.45">
      <c r="H413" t="s">
        <v>4513</v>
      </c>
      <c r="I413" t="s">
        <v>740</v>
      </c>
      <c r="J413">
        <v>9.7000867689393297E-2</v>
      </c>
      <c r="K413" t="s">
        <v>14</v>
      </c>
      <c r="U413" t="s">
        <v>4256</v>
      </c>
      <c r="V413" t="s">
        <v>4780</v>
      </c>
      <c r="W413" t="s">
        <v>4512</v>
      </c>
      <c r="X413" t="s">
        <v>19</v>
      </c>
    </row>
    <row r="414" spans="8:24" x14ac:dyDescent="0.45">
      <c r="H414" t="s">
        <v>4516</v>
      </c>
      <c r="I414" t="s">
        <v>738</v>
      </c>
      <c r="J414">
        <v>0.1277882116850288</v>
      </c>
      <c r="K414" t="s">
        <v>14</v>
      </c>
      <c r="U414" t="s">
        <v>4256</v>
      </c>
      <c r="V414" t="s">
        <v>4781</v>
      </c>
      <c r="W414" t="s">
        <v>4327</v>
      </c>
      <c r="X414" t="s">
        <v>19</v>
      </c>
    </row>
    <row r="415" spans="8:24" x14ac:dyDescent="0.45">
      <c r="H415" t="s">
        <v>4516</v>
      </c>
      <c r="I415" t="s">
        <v>740</v>
      </c>
      <c r="J415">
        <v>5.0797900636301699E-2</v>
      </c>
      <c r="K415" t="s">
        <v>14</v>
      </c>
      <c r="U415" t="s">
        <v>4256</v>
      </c>
      <c r="V415" t="s">
        <v>4781</v>
      </c>
      <c r="W415" t="s">
        <v>4512</v>
      </c>
      <c r="X415" t="s">
        <v>19</v>
      </c>
    </row>
    <row r="416" spans="8:24" x14ac:dyDescent="0.45">
      <c r="H416" t="s">
        <v>4519</v>
      </c>
      <c r="I416" t="s">
        <v>738</v>
      </c>
      <c r="J416">
        <v>9.3287791823710803E-2</v>
      </c>
      <c r="K416" t="s">
        <v>14</v>
      </c>
      <c r="U416" t="s">
        <v>4256</v>
      </c>
      <c r="V416" t="s">
        <v>4782</v>
      </c>
      <c r="W416" t="s">
        <v>4512</v>
      </c>
      <c r="X416" t="s">
        <v>19</v>
      </c>
    </row>
    <row r="417" spans="8:24" x14ac:dyDescent="0.45">
      <c r="H417" t="s">
        <v>4519</v>
      </c>
      <c r="I417" t="s">
        <v>740</v>
      </c>
      <c r="J417">
        <v>4.79098410038249E-2</v>
      </c>
      <c r="K417" t="s">
        <v>14</v>
      </c>
      <c r="U417" t="s">
        <v>4256</v>
      </c>
      <c r="V417" t="s">
        <v>4783</v>
      </c>
      <c r="W417" t="s">
        <v>4512</v>
      </c>
      <c r="X417" t="s">
        <v>19</v>
      </c>
    </row>
    <row r="418" spans="8:24" x14ac:dyDescent="0.45">
      <c r="H418" t="s">
        <v>4522</v>
      </c>
      <c r="I418" t="s">
        <v>738</v>
      </c>
      <c r="J418">
        <v>3.9688949873720002E-4</v>
      </c>
      <c r="K418" t="s">
        <v>14</v>
      </c>
      <c r="U418" t="s">
        <v>4256</v>
      </c>
      <c r="V418" t="s">
        <v>4784</v>
      </c>
      <c r="W418" t="s">
        <v>4512</v>
      </c>
      <c r="X418" t="s">
        <v>19</v>
      </c>
    </row>
    <row r="419" spans="8:24" x14ac:dyDescent="0.45">
      <c r="H419" t="s">
        <v>4522</v>
      </c>
      <c r="I419" t="s">
        <v>740</v>
      </c>
      <c r="J419">
        <v>7.3552353045928433E-5</v>
      </c>
      <c r="K419" t="s">
        <v>14</v>
      </c>
      <c r="U419" t="s">
        <v>4256</v>
      </c>
      <c r="V419" t="s">
        <v>4784</v>
      </c>
      <c r="W419" t="s">
        <v>4327</v>
      </c>
      <c r="X419" t="s">
        <v>17</v>
      </c>
    </row>
    <row r="420" spans="8:24" x14ac:dyDescent="0.45">
      <c r="H420" t="s">
        <v>4524</v>
      </c>
      <c r="I420" t="s">
        <v>738</v>
      </c>
      <c r="J420">
        <v>5.1282317957147099E-2</v>
      </c>
      <c r="K420" t="s">
        <v>14</v>
      </c>
      <c r="U420" t="s">
        <v>4256</v>
      </c>
      <c r="V420" t="s">
        <v>4785</v>
      </c>
      <c r="W420" t="s">
        <v>4512</v>
      </c>
      <c r="X420" t="s">
        <v>19</v>
      </c>
    </row>
    <row r="421" spans="8:24" x14ac:dyDescent="0.45">
      <c r="H421" t="s">
        <v>4524</v>
      </c>
      <c r="I421" t="s">
        <v>740</v>
      </c>
      <c r="J421">
        <v>4.4726130259622299E-2</v>
      </c>
      <c r="K421" t="s">
        <v>14</v>
      </c>
      <c r="U421" t="s">
        <v>4256</v>
      </c>
      <c r="V421" t="s">
        <v>4785</v>
      </c>
      <c r="W421" t="s">
        <v>4327</v>
      </c>
      <c r="X421" t="s">
        <v>17</v>
      </c>
    </row>
    <row r="422" spans="8:24" x14ac:dyDescent="0.45">
      <c r="H422" t="s">
        <v>4527</v>
      </c>
      <c r="I422" t="s">
        <v>738</v>
      </c>
      <c r="J422">
        <v>0.13395933380897981</v>
      </c>
      <c r="K422" t="s">
        <v>14</v>
      </c>
      <c r="U422" t="s">
        <v>4256</v>
      </c>
      <c r="V422" t="s">
        <v>4786</v>
      </c>
      <c r="W422" t="s">
        <v>4331</v>
      </c>
      <c r="X422" t="s">
        <v>19</v>
      </c>
    </row>
    <row r="423" spans="8:24" x14ac:dyDescent="0.45">
      <c r="H423" t="s">
        <v>4527</v>
      </c>
      <c r="I423" t="s">
        <v>740</v>
      </c>
      <c r="J423">
        <v>0.18254147513788341</v>
      </c>
      <c r="K423" t="s">
        <v>14</v>
      </c>
      <c r="U423" t="s">
        <v>4256</v>
      </c>
      <c r="V423" t="s">
        <v>4787</v>
      </c>
      <c r="W423" t="s">
        <v>4331</v>
      </c>
      <c r="X423" t="s">
        <v>19</v>
      </c>
    </row>
    <row r="424" spans="8:24" x14ac:dyDescent="0.45">
      <c r="H424" t="s">
        <v>4529</v>
      </c>
      <c r="I424" t="s">
        <v>738</v>
      </c>
      <c r="J424">
        <v>9.4260577411830002E-3</v>
      </c>
      <c r="K424" t="s">
        <v>14</v>
      </c>
      <c r="U424" t="s">
        <v>4256</v>
      </c>
      <c r="V424" t="s">
        <v>4788</v>
      </c>
      <c r="W424" t="s">
        <v>4331</v>
      </c>
      <c r="X424" t="s">
        <v>19</v>
      </c>
    </row>
    <row r="425" spans="8:24" x14ac:dyDescent="0.45">
      <c r="H425" t="s">
        <v>4529</v>
      </c>
      <c r="I425" t="s">
        <v>740</v>
      </c>
      <c r="J425">
        <v>4.9680888179931097E-2</v>
      </c>
      <c r="K425" t="s">
        <v>14</v>
      </c>
      <c r="U425" t="s">
        <v>4256</v>
      </c>
      <c r="V425" t="s">
        <v>4789</v>
      </c>
      <c r="W425" t="s">
        <v>4331</v>
      </c>
      <c r="X425" t="s">
        <v>19</v>
      </c>
    </row>
    <row r="426" spans="8:24" x14ac:dyDescent="0.45">
      <c r="H426" t="s">
        <v>4531</v>
      </c>
      <c r="I426" t="s">
        <v>738</v>
      </c>
      <c r="J426">
        <v>7.1007738717357105E-2</v>
      </c>
      <c r="K426" t="s">
        <v>14</v>
      </c>
      <c r="U426" t="s">
        <v>4256</v>
      </c>
      <c r="V426" t="s">
        <v>4790</v>
      </c>
      <c r="W426" t="s">
        <v>4331</v>
      </c>
      <c r="X426" t="s">
        <v>19</v>
      </c>
    </row>
    <row r="427" spans="8:24" x14ac:dyDescent="0.45">
      <c r="H427" t="s">
        <v>4531</v>
      </c>
      <c r="I427" t="s">
        <v>740</v>
      </c>
      <c r="J427">
        <v>0.34434651472127159</v>
      </c>
      <c r="K427" t="s">
        <v>14</v>
      </c>
      <c r="U427" t="s">
        <v>4256</v>
      </c>
      <c r="V427" t="s">
        <v>4791</v>
      </c>
      <c r="W427" t="s">
        <v>4331</v>
      </c>
      <c r="X427" t="s">
        <v>19</v>
      </c>
    </row>
    <row r="428" spans="8:24" x14ac:dyDescent="0.45">
      <c r="H428" t="s">
        <v>4534</v>
      </c>
      <c r="I428" t="s">
        <v>738</v>
      </c>
      <c r="J428">
        <v>1.1559295901483999E-2</v>
      </c>
      <c r="K428" t="s">
        <v>14</v>
      </c>
      <c r="U428" t="s">
        <v>4256</v>
      </c>
      <c r="V428" t="s">
        <v>4792</v>
      </c>
      <c r="W428" t="s">
        <v>4331</v>
      </c>
      <c r="X428" t="s">
        <v>19</v>
      </c>
    </row>
    <row r="429" spans="8:24" x14ac:dyDescent="0.45">
      <c r="H429" t="s">
        <v>4534</v>
      </c>
      <c r="I429" t="s">
        <v>740</v>
      </c>
      <c r="J429">
        <v>2.7655294984873999E-3</v>
      </c>
      <c r="K429" t="s">
        <v>14</v>
      </c>
      <c r="U429" t="s">
        <v>4256</v>
      </c>
      <c r="V429" t="s">
        <v>4793</v>
      </c>
      <c r="W429" t="s">
        <v>4331</v>
      </c>
      <c r="X429" t="s">
        <v>19</v>
      </c>
    </row>
    <row r="430" spans="8:24" x14ac:dyDescent="0.45">
      <c r="H430" t="s">
        <v>4537</v>
      </c>
      <c r="I430" t="s">
        <v>738</v>
      </c>
      <c r="J430">
        <v>2.4325504894154E-3</v>
      </c>
      <c r="K430" t="s">
        <v>14</v>
      </c>
      <c r="U430" t="s">
        <v>4256</v>
      </c>
      <c r="V430" t="s">
        <v>4794</v>
      </c>
      <c r="W430" t="s">
        <v>4331</v>
      </c>
      <c r="X430" t="s">
        <v>19</v>
      </c>
    </row>
    <row r="431" spans="8:24" x14ac:dyDescent="0.45">
      <c r="H431" t="s">
        <v>4537</v>
      </c>
      <c r="I431" t="s">
        <v>740</v>
      </c>
      <c r="J431">
        <v>3.3348006150136001E-3</v>
      </c>
      <c r="K431" t="s">
        <v>14</v>
      </c>
      <c r="U431" t="s">
        <v>4256</v>
      </c>
      <c r="V431" t="s">
        <v>4795</v>
      </c>
      <c r="W431" t="s">
        <v>4331</v>
      </c>
      <c r="X431" t="s">
        <v>19</v>
      </c>
    </row>
    <row r="432" spans="8:24" x14ac:dyDescent="0.45">
      <c r="H432" t="s">
        <v>4540</v>
      </c>
      <c r="I432" t="s">
        <v>738</v>
      </c>
      <c r="J432">
        <v>2.042306567069E-4</v>
      </c>
      <c r="K432" t="s">
        <v>14</v>
      </c>
      <c r="U432" t="s">
        <v>4256</v>
      </c>
      <c r="V432" t="s">
        <v>4796</v>
      </c>
      <c r="W432" t="s">
        <v>4331</v>
      </c>
      <c r="X432" t="s">
        <v>19</v>
      </c>
    </row>
    <row r="433" spans="8:24" x14ac:dyDescent="0.45">
      <c r="H433" t="s">
        <v>4540</v>
      </c>
      <c r="I433" t="s">
        <v>740</v>
      </c>
      <c r="J433">
        <v>2.717992137857724E-6</v>
      </c>
      <c r="K433" t="s">
        <v>14</v>
      </c>
      <c r="U433" t="s">
        <v>4256</v>
      </c>
      <c r="V433" t="s">
        <v>4796</v>
      </c>
      <c r="W433" t="s">
        <v>4532</v>
      </c>
      <c r="X433" t="s">
        <v>19</v>
      </c>
    </row>
    <row r="434" spans="8:24" x14ac:dyDescent="0.45">
      <c r="H434" t="s">
        <v>4543</v>
      </c>
      <c r="I434" t="s">
        <v>738</v>
      </c>
      <c r="J434">
        <v>1.0512297775827699E-2</v>
      </c>
      <c r="K434" t="s">
        <v>14</v>
      </c>
      <c r="U434" t="s">
        <v>4256</v>
      </c>
      <c r="V434" t="s">
        <v>4797</v>
      </c>
      <c r="W434" t="s">
        <v>4331</v>
      </c>
      <c r="X434" t="s">
        <v>19</v>
      </c>
    </row>
    <row r="435" spans="8:24" x14ac:dyDescent="0.45">
      <c r="H435" t="s">
        <v>4543</v>
      </c>
      <c r="I435" t="s">
        <v>740</v>
      </c>
      <c r="J435">
        <v>3.1383073543728001E-3</v>
      </c>
      <c r="K435" t="s">
        <v>14</v>
      </c>
      <c r="U435" t="s">
        <v>4256</v>
      </c>
      <c r="V435" t="s">
        <v>4797</v>
      </c>
      <c r="W435" t="s">
        <v>4532</v>
      </c>
      <c r="X435" t="s">
        <v>19</v>
      </c>
    </row>
    <row r="436" spans="8:24" x14ac:dyDescent="0.45">
      <c r="H436" t="s">
        <v>4546</v>
      </c>
      <c r="I436" t="s">
        <v>738</v>
      </c>
      <c r="J436">
        <v>4.7688956913040001E-4</v>
      </c>
      <c r="K436" t="s">
        <v>14</v>
      </c>
      <c r="U436" t="s">
        <v>4256</v>
      </c>
      <c r="V436" t="s">
        <v>4798</v>
      </c>
      <c r="W436" t="s">
        <v>4331</v>
      </c>
      <c r="X436" t="s">
        <v>19</v>
      </c>
    </row>
    <row r="437" spans="8:24" x14ac:dyDescent="0.45">
      <c r="H437" t="s">
        <v>4546</v>
      </c>
      <c r="I437" t="s">
        <v>740</v>
      </c>
      <c r="J437">
        <v>5.8771991973409997E-4</v>
      </c>
      <c r="K437" t="s">
        <v>14</v>
      </c>
      <c r="U437" t="s">
        <v>4256</v>
      </c>
      <c r="V437" t="s">
        <v>4798</v>
      </c>
      <c r="W437" t="s">
        <v>4532</v>
      </c>
      <c r="X437" t="s">
        <v>19</v>
      </c>
    </row>
    <row r="438" spans="8:24" x14ac:dyDescent="0.45">
      <c r="H438" t="s">
        <v>4549</v>
      </c>
      <c r="I438" t="s">
        <v>738</v>
      </c>
      <c r="J438">
        <v>7.3144397802099997E-3</v>
      </c>
      <c r="K438" t="s">
        <v>14</v>
      </c>
      <c r="U438" t="s">
        <v>4256</v>
      </c>
      <c r="V438" t="s">
        <v>4799</v>
      </c>
      <c r="W438" t="s">
        <v>4532</v>
      </c>
      <c r="X438" t="s">
        <v>19</v>
      </c>
    </row>
    <row r="439" spans="8:24" x14ac:dyDescent="0.45">
      <c r="H439" t="s">
        <v>4549</v>
      </c>
      <c r="I439" t="s">
        <v>740</v>
      </c>
      <c r="J439">
        <v>3.5576277260256002E-3</v>
      </c>
      <c r="K439" t="s">
        <v>14</v>
      </c>
      <c r="U439" t="s">
        <v>4256</v>
      </c>
      <c r="V439" t="s">
        <v>4800</v>
      </c>
      <c r="W439" t="s">
        <v>4532</v>
      </c>
      <c r="X439" t="s">
        <v>19</v>
      </c>
    </row>
    <row r="440" spans="8:24" x14ac:dyDescent="0.45">
      <c r="H440" t="s">
        <v>4551</v>
      </c>
      <c r="I440" t="s">
        <v>738</v>
      </c>
      <c r="J440">
        <v>1.1092973158388E-3</v>
      </c>
      <c r="K440" t="s">
        <v>14</v>
      </c>
      <c r="U440" t="s">
        <v>4256</v>
      </c>
      <c r="V440" t="s">
        <v>4801</v>
      </c>
      <c r="W440" t="s">
        <v>4532</v>
      </c>
      <c r="X440" t="s">
        <v>19</v>
      </c>
    </row>
    <row r="441" spans="8:24" x14ac:dyDescent="0.45">
      <c r="H441" t="s">
        <v>4551</v>
      </c>
      <c r="I441" t="s">
        <v>740</v>
      </c>
      <c r="J441">
        <v>2.85437465108E-4</v>
      </c>
      <c r="K441" t="s">
        <v>14</v>
      </c>
      <c r="U441" t="s">
        <v>4256</v>
      </c>
      <c r="V441" t="s">
        <v>4801</v>
      </c>
      <c r="W441" t="s">
        <v>4331</v>
      </c>
      <c r="X441" t="s">
        <v>17</v>
      </c>
    </row>
    <row r="442" spans="8:24" x14ac:dyDescent="0.45">
      <c r="H442" t="s">
        <v>4554</v>
      </c>
      <c r="I442" t="s">
        <v>738</v>
      </c>
      <c r="J442">
        <v>8.9539645169070005E-4</v>
      </c>
      <c r="K442" t="s">
        <v>14</v>
      </c>
      <c r="U442" t="s">
        <v>4256</v>
      </c>
      <c r="V442" t="s">
        <v>4802</v>
      </c>
      <c r="W442" t="s">
        <v>4532</v>
      </c>
      <c r="X442" t="s">
        <v>19</v>
      </c>
    </row>
    <row r="443" spans="8:24" x14ac:dyDescent="0.45">
      <c r="H443" t="s">
        <v>4554</v>
      </c>
      <c r="I443" t="s">
        <v>740</v>
      </c>
      <c r="J443">
        <v>1.2548441273881E-3</v>
      </c>
      <c r="K443" t="s">
        <v>14</v>
      </c>
      <c r="U443" t="s">
        <v>4256</v>
      </c>
      <c r="V443" t="s">
        <v>4802</v>
      </c>
      <c r="W443" t="s">
        <v>4331</v>
      </c>
      <c r="X443" t="s">
        <v>17</v>
      </c>
    </row>
    <row r="444" spans="8:24" x14ac:dyDescent="0.45">
      <c r="U444" t="s">
        <v>4256</v>
      </c>
      <c r="V444" t="s">
        <v>4803</v>
      </c>
      <c r="W444" t="s">
        <v>4334</v>
      </c>
      <c r="X444" t="s">
        <v>19</v>
      </c>
    </row>
    <row r="445" spans="8:24" x14ac:dyDescent="0.45">
      <c r="U445" t="s">
        <v>4256</v>
      </c>
      <c r="V445" t="s">
        <v>4804</v>
      </c>
      <c r="W445" t="s">
        <v>4334</v>
      </c>
      <c r="X445" t="s">
        <v>19</v>
      </c>
    </row>
    <row r="446" spans="8:24" x14ac:dyDescent="0.45">
      <c r="U446" t="s">
        <v>4256</v>
      </c>
      <c r="V446" t="s">
        <v>4805</v>
      </c>
      <c r="W446" t="s">
        <v>4334</v>
      </c>
      <c r="X446" t="s">
        <v>19</v>
      </c>
    </row>
    <row r="447" spans="8:24" x14ac:dyDescent="0.45">
      <c r="U447" t="s">
        <v>4256</v>
      </c>
      <c r="V447" t="s">
        <v>4806</v>
      </c>
      <c r="W447" t="s">
        <v>4334</v>
      </c>
      <c r="X447" t="s">
        <v>19</v>
      </c>
    </row>
    <row r="448" spans="8:24" x14ac:dyDescent="0.45">
      <c r="U448" t="s">
        <v>4256</v>
      </c>
      <c r="V448" t="s">
        <v>4807</v>
      </c>
      <c r="W448" t="s">
        <v>4334</v>
      </c>
      <c r="X448" t="s">
        <v>19</v>
      </c>
    </row>
    <row r="449" spans="21:24" x14ac:dyDescent="0.45">
      <c r="U449" t="s">
        <v>4256</v>
      </c>
      <c r="V449" t="s">
        <v>4808</v>
      </c>
      <c r="W449" t="s">
        <v>4334</v>
      </c>
      <c r="X449" t="s">
        <v>19</v>
      </c>
    </row>
    <row r="450" spans="21:24" x14ac:dyDescent="0.45">
      <c r="U450" t="s">
        <v>4256</v>
      </c>
      <c r="V450" t="s">
        <v>4809</v>
      </c>
      <c r="W450" t="s">
        <v>4334</v>
      </c>
      <c r="X450" t="s">
        <v>19</v>
      </c>
    </row>
    <row r="451" spans="21:24" x14ac:dyDescent="0.45">
      <c r="U451" t="s">
        <v>4256</v>
      </c>
      <c r="V451" t="s">
        <v>4810</v>
      </c>
      <c r="W451" t="s">
        <v>4334</v>
      </c>
      <c r="X451" t="s">
        <v>19</v>
      </c>
    </row>
    <row r="452" spans="21:24" x14ac:dyDescent="0.45">
      <c r="U452" t="s">
        <v>4256</v>
      </c>
      <c r="V452" t="s">
        <v>4811</v>
      </c>
      <c r="W452" t="s">
        <v>4334</v>
      </c>
      <c r="X452" t="s">
        <v>19</v>
      </c>
    </row>
    <row r="453" spans="21:24" x14ac:dyDescent="0.45">
      <c r="U453" t="s">
        <v>4256</v>
      </c>
      <c r="V453" t="s">
        <v>4812</v>
      </c>
      <c r="W453" t="s">
        <v>4334</v>
      </c>
      <c r="X453" t="s">
        <v>19</v>
      </c>
    </row>
    <row r="454" spans="21:24" x14ac:dyDescent="0.45">
      <c r="U454" t="s">
        <v>4256</v>
      </c>
      <c r="V454" t="s">
        <v>4813</v>
      </c>
      <c r="W454" t="s">
        <v>4334</v>
      </c>
      <c r="X454" t="s">
        <v>19</v>
      </c>
    </row>
    <row r="455" spans="21:24" x14ac:dyDescent="0.45">
      <c r="U455" t="s">
        <v>4256</v>
      </c>
      <c r="V455" t="s">
        <v>4813</v>
      </c>
      <c r="W455" t="s">
        <v>4552</v>
      </c>
      <c r="X455" t="s">
        <v>19</v>
      </c>
    </row>
    <row r="456" spans="21:24" x14ac:dyDescent="0.45">
      <c r="U456" t="s">
        <v>4256</v>
      </c>
      <c r="V456" t="s">
        <v>4814</v>
      </c>
      <c r="W456" t="s">
        <v>4334</v>
      </c>
      <c r="X456" t="s">
        <v>19</v>
      </c>
    </row>
    <row r="457" spans="21:24" x14ac:dyDescent="0.45">
      <c r="U457" t="s">
        <v>4256</v>
      </c>
      <c r="V457" t="s">
        <v>4814</v>
      </c>
      <c r="W457" t="s">
        <v>4552</v>
      </c>
      <c r="X457" t="s">
        <v>19</v>
      </c>
    </row>
    <row r="458" spans="21:24" x14ac:dyDescent="0.45">
      <c r="U458" t="s">
        <v>4256</v>
      </c>
      <c r="V458" t="s">
        <v>4815</v>
      </c>
      <c r="W458" t="s">
        <v>4334</v>
      </c>
      <c r="X458" t="s">
        <v>19</v>
      </c>
    </row>
    <row r="459" spans="21:24" x14ac:dyDescent="0.45">
      <c r="U459" t="s">
        <v>4256</v>
      </c>
      <c r="V459" t="s">
        <v>4815</v>
      </c>
      <c r="W459" t="s">
        <v>4552</v>
      </c>
      <c r="X459" t="s">
        <v>19</v>
      </c>
    </row>
    <row r="460" spans="21:24" x14ac:dyDescent="0.45">
      <c r="U460" t="s">
        <v>4256</v>
      </c>
      <c r="V460" t="s">
        <v>4816</v>
      </c>
      <c r="W460" t="s">
        <v>4552</v>
      </c>
      <c r="X460" t="s">
        <v>19</v>
      </c>
    </row>
    <row r="461" spans="21:24" x14ac:dyDescent="0.45">
      <c r="U461" t="s">
        <v>4256</v>
      </c>
      <c r="V461" t="s">
        <v>4817</v>
      </c>
      <c r="W461" t="s">
        <v>4552</v>
      </c>
      <c r="X461" t="s">
        <v>19</v>
      </c>
    </row>
    <row r="462" spans="21:24" x14ac:dyDescent="0.45">
      <c r="U462" t="s">
        <v>4256</v>
      </c>
      <c r="V462" t="s">
        <v>4818</v>
      </c>
      <c r="W462" t="s">
        <v>4552</v>
      </c>
      <c r="X462" t="s">
        <v>19</v>
      </c>
    </row>
    <row r="463" spans="21:24" x14ac:dyDescent="0.45">
      <c r="U463" t="s">
        <v>4256</v>
      </c>
      <c r="V463" t="s">
        <v>4818</v>
      </c>
      <c r="W463" t="s">
        <v>4334</v>
      </c>
      <c r="X463" t="s">
        <v>17</v>
      </c>
    </row>
    <row r="464" spans="21:24" x14ac:dyDescent="0.45">
      <c r="U464" t="s">
        <v>4256</v>
      </c>
      <c r="V464" t="s">
        <v>4819</v>
      </c>
      <c r="W464" t="s">
        <v>4552</v>
      </c>
      <c r="X464" t="s">
        <v>19</v>
      </c>
    </row>
    <row r="465" spans="21:24" x14ac:dyDescent="0.45">
      <c r="U465" t="s">
        <v>4256</v>
      </c>
      <c r="V465" t="s">
        <v>4819</v>
      </c>
      <c r="W465" t="s">
        <v>4334</v>
      </c>
      <c r="X465" t="s">
        <v>17</v>
      </c>
    </row>
    <row r="466" spans="21:24" x14ac:dyDescent="0.45">
      <c r="U466" t="s">
        <v>4256</v>
      </c>
      <c r="V466" t="s">
        <v>4820</v>
      </c>
      <c r="W466" t="s">
        <v>4338</v>
      </c>
      <c r="X466" t="s">
        <v>19</v>
      </c>
    </row>
    <row r="467" spans="21:24" x14ac:dyDescent="0.45">
      <c r="U467" t="s">
        <v>4256</v>
      </c>
      <c r="V467" t="s">
        <v>4821</v>
      </c>
      <c r="W467" t="s">
        <v>4338</v>
      </c>
      <c r="X467" t="s">
        <v>19</v>
      </c>
    </row>
    <row r="468" spans="21:24" x14ac:dyDescent="0.45">
      <c r="U468" t="s">
        <v>4256</v>
      </c>
      <c r="V468" t="s">
        <v>4822</v>
      </c>
      <c r="W468" t="s">
        <v>4338</v>
      </c>
      <c r="X468" t="s">
        <v>19</v>
      </c>
    </row>
    <row r="469" spans="21:24" x14ac:dyDescent="0.45">
      <c r="U469" t="s">
        <v>4256</v>
      </c>
      <c r="V469" t="s">
        <v>4823</v>
      </c>
      <c r="W469" t="s">
        <v>4338</v>
      </c>
      <c r="X469" t="s">
        <v>19</v>
      </c>
    </row>
    <row r="470" spans="21:24" x14ac:dyDescent="0.45">
      <c r="U470" t="s">
        <v>4256</v>
      </c>
      <c r="V470" t="s">
        <v>4824</v>
      </c>
      <c r="W470" t="s">
        <v>4338</v>
      </c>
      <c r="X470" t="s">
        <v>19</v>
      </c>
    </row>
    <row r="471" spans="21:24" x14ac:dyDescent="0.45">
      <c r="U471" t="s">
        <v>4256</v>
      </c>
      <c r="V471" t="s">
        <v>4825</v>
      </c>
      <c r="W471" t="s">
        <v>4338</v>
      </c>
      <c r="X471" t="s">
        <v>19</v>
      </c>
    </row>
    <row r="472" spans="21:24" x14ac:dyDescent="0.45">
      <c r="U472" t="s">
        <v>4256</v>
      </c>
      <c r="V472" t="s">
        <v>4826</v>
      </c>
      <c r="W472" t="s">
        <v>4338</v>
      </c>
      <c r="X472" t="s">
        <v>19</v>
      </c>
    </row>
    <row r="473" spans="21:24" x14ac:dyDescent="0.45">
      <c r="U473" t="s">
        <v>4256</v>
      </c>
      <c r="V473" t="s">
        <v>4827</v>
      </c>
      <c r="W473" t="s">
        <v>4338</v>
      </c>
      <c r="X473" t="s">
        <v>19</v>
      </c>
    </row>
    <row r="474" spans="21:24" x14ac:dyDescent="0.45">
      <c r="U474" t="s">
        <v>4256</v>
      </c>
      <c r="V474" t="s">
        <v>4828</v>
      </c>
      <c r="W474" t="s">
        <v>4338</v>
      </c>
      <c r="X474" t="s">
        <v>19</v>
      </c>
    </row>
    <row r="475" spans="21:24" x14ac:dyDescent="0.45">
      <c r="U475" t="s">
        <v>4256</v>
      </c>
      <c r="V475" t="s">
        <v>4829</v>
      </c>
      <c r="W475" t="s">
        <v>4338</v>
      </c>
      <c r="X475" t="s">
        <v>19</v>
      </c>
    </row>
    <row r="476" spans="21:24" x14ac:dyDescent="0.45">
      <c r="U476" t="s">
        <v>4256</v>
      </c>
      <c r="V476" t="s">
        <v>4830</v>
      </c>
      <c r="W476" t="s">
        <v>4338</v>
      </c>
      <c r="X476" t="s">
        <v>19</v>
      </c>
    </row>
    <row r="477" spans="21:24" x14ac:dyDescent="0.45">
      <c r="U477" t="s">
        <v>4256</v>
      </c>
      <c r="V477" t="s">
        <v>4830</v>
      </c>
      <c r="W477" t="s">
        <v>4831</v>
      </c>
      <c r="X477" t="s">
        <v>19</v>
      </c>
    </row>
    <row r="478" spans="21:24" x14ac:dyDescent="0.45">
      <c r="U478" t="s">
        <v>4256</v>
      </c>
      <c r="V478" t="s">
        <v>4832</v>
      </c>
      <c r="W478" t="s">
        <v>4338</v>
      </c>
      <c r="X478" t="s">
        <v>19</v>
      </c>
    </row>
    <row r="479" spans="21:24" x14ac:dyDescent="0.45">
      <c r="U479" t="s">
        <v>4256</v>
      </c>
      <c r="V479" t="s">
        <v>4832</v>
      </c>
      <c r="W479" t="s">
        <v>4831</v>
      </c>
      <c r="X479" t="s">
        <v>19</v>
      </c>
    </row>
    <row r="480" spans="21:24" x14ac:dyDescent="0.45">
      <c r="U480" t="s">
        <v>4256</v>
      </c>
      <c r="V480" t="s">
        <v>4833</v>
      </c>
      <c r="W480" t="s">
        <v>4338</v>
      </c>
      <c r="X480" t="s">
        <v>19</v>
      </c>
    </row>
    <row r="481" spans="21:24" x14ac:dyDescent="0.45">
      <c r="U481" t="s">
        <v>4256</v>
      </c>
      <c r="V481" t="s">
        <v>4833</v>
      </c>
      <c r="W481" t="s">
        <v>4831</v>
      </c>
      <c r="X481" t="s">
        <v>19</v>
      </c>
    </row>
    <row r="482" spans="21:24" x14ac:dyDescent="0.45">
      <c r="U482" t="s">
        <v>4256</v>
      </c>
      <c r="V482" t="s">
        <v>4834</v>
      </c>
      <c r="W482" t="s">
        <v>4831</v>
      </c>
      <c r="X482" t="s">
        <v>19</v>
      </c>
    </row>
    <row r="483" spans="21:24" x14ac:dyDescent="0.45">
      <c r="U483" t="s">
        <v>4256</v>
      </c>
      <c r="V483" t="s">
        <v>4835</v>
      </c>
      <c r="W483" t="s">
        <v>4831</v>
      </c>
      <c r="X483" t="s">
        <v>19</v>
      </c>
    </row>
    <row r="484" spans="21:24" x14ac:dyDescent="0.45">
      <c r="U484" t="s">
        <v>4256</v>
      </c>
      <c r="V484" t="s">
        <v>4836</v>
      </c>
      <c r="W484" t="s">
        <v>4831</v>
      </c>
      <c r="X484" t="s">
        <v>19</v>
      </c>
    </row>
    <row r="485" spans="21:24" x14ac:dyDescent="0.45">
      <c r="U485" t="s">
        <v>4256</v>
      </c>
      <c r="V485" t="s">
        <v>4836</v>
      </c>
      <c r="W485" t="s">
        <v>4338</v>
      </c>
      <c r="X485" t="s">
        <v>17</v>
      </c>
    </row>
    <row r="486" spans="21:24" x14ac:dyDescent="0.45">
      <c r="U486" t="s">
        <v>4256</v>
      </c>
      <c r="V486" t="s">
        <v>4837</v>
      </c>
      <c r="W486" t="s">
        <v>4831</v>
      </c>
      <c r="X486" t="s">
        <v>19</v>
      </c>
    </row>
    <row r="487" spans="21:24" x14ac:dyDescent="0.45">
      <c r="U487" t="s">
        <v>4256</v>
      </c>
      <c r="V487" t="s">
        <v>4837</v>
      </c>
      <c r="W487" t="s">
        <v>4338</v>
      </c>
      <c r="X487" t="s">
        <v>17</v>
      </c>
    </row>
    <row r="488" spans="21:24" x14ac:dyDescent="0.45">
      <c r="U488" t="s">
        <v>4256</v>
      </c>
      <c r="V488" t="s">
        <v>4838</v>
      </c>
      <c r="W488" t="s">
        <v>4341</v>
      </c>
      <c r="X488" t="s">
        <v>19</v>
      </c>
    </row>
    <row r="489" spans="21:24" x14ac:dyDescent="0.45">
      <c r="U489" t="s">
        <v>4256</v>
      </c>
      <c r="V489" t="s">
        <v>4839</v>
      </c>
      <c r="W489" t="s">
        <v>4341</v>
      </c>
      <c r="X489" t="s">
        <v>19</v>
      </c>
    </row>
    <row r="490" spans="21:24" x14ac:dyDescent="0.45">
      <c r="U490" t="s">
        <v>4256</v>
      </c>
      <c r="V490" t="s">
        <v>4840</v>
      </c>
      <c r="W490" t="s">
        <v>4341</v>
      </c>
      <c r="X490" t="s">
        <v>19</v>
      </c>
    </row>
    <row r="491" spans="21:24" x14ac:dyDescent="0.45">
      <c r="U491" t="s">
        <v>4256</v>
      </c>
      <c r="V491" t="s">
        <v>4841</v>
      </c>
      <c r="W491" t="s">
        <v>4341</v>
      </c>
      <c r="X491" t="s">
        <v>19</v>
      </c>
    </row>
    <row r="492" spans="21:24" x14ac:dyDescent="0.45">
      <c r="U492" t="s">
        <v>4256</v>
      </c>
      <c r="V492" t="s">
        <v>4842</v>
      </c>
      <c r="W492" t="s">
        <v>4341</v>
      </c>
      <c r="X492" t="s">
        <v>19</v>
      </c>
    </row>
    <row r="493" spans="21:24" x14ac:dyDescent="0.45">
      <c r="U493" t="s">
        <v>4256</v>
      </c>
      <c r="V493" t="s">
        <v>4843</v>
      </c>
      <c r="W493" t="s">
        <v>4341</v>
      </c>
      <c r="X493" t="s">
        <v>19</v>
      </c>
    </row>
    <row r="494" spans="21:24" x14ac:dyDescent="0.45">
      <c r="U494" t="s">
        <v>4256</v>
      </c>
      <c r="V494" t="s">
        <v>4844</v>
      </c>
      <c r="W494" t="s">
        <v>4341</v>
      </c>
      <c r="X494" t="s">
        <v>19</v>
      </c>
    </row>
    <row r="495" spans="21:24" x14ac:dyDescent="0.45">
      <c r="U495" t="s">
        <v>4256</v>
      </c>
      <c r="V495" t="s">
        <v>4845</v>
      </c>
      <c r="W495" t="s">
        <v>4341</v>
      </c>
      <c r="X495" t="s">
        <v>19</v>
      </c>
    </row>
    <row r="496" spans="21:24" x14ac:dyDescent="0.45">
      <c r="U496" t="s">
        <v>4256</v>
      </c>
      <c r="V496" t="s">
        <v>4846</v>
      </c>
      <c r="W496" t="s">
        <v>4341</v>
      </c>
      <c r="X496" t="s">
        <v>19</v>
      </c>
    </row>
    <row r="497" spans="21:24" x14ac:dyDescent="0.45">
      <c r="U497" t="s">
        <v>4256</v>
      </c>
      <c r="V497" t="s">
        <v>4847</v>
      </c>
      <c r="W497" t="s">
        <v>4341</v>
      </c>
      <c r="X497" t="s">
        <v>19</v>
      </c>
    </row>
    <row r="498" spans="21:24" x14ac:dyDescent="0.45">
      <c r="U498" t="s">
        <v>4256</v>
      </c>
      <c r="V498" t="s">
        <v>4848</v>
      </c>
      <c r="W498" t="s">
        <v>4341</v>
      </c>
      <c r="X498" t="s">
        <v>19</v>
      </c>
    </row>
    <row r="499" spans="21:24" x14ac:dyDescent="0.45">
      <c r="U499" t="s">
        <v>4256</v>
      </c>
      <c r="V499" t="s">
        <v>4848</v>
      </c>
      <c r="W499" t="s">
        <v>4547</v>
      </c>
      <c r="X499" t="s">
        <v>19</v>
      </c>
    </row>
    <row r="500" spans="21:24" x14ac:dyDescent="0.45">
      <c r="U500" t="s">
        <v>4256</v>
      </c>
      <c r="V500" t="s">
        <v>4849</v>
      </c>
      <c r="W500" t="s">
        <v>4341</v>
      </c>
      <c r="X500" t="s">
        <v>19</v>
      </c>
    </row>
    <row r="501" spans="21:24" x14ac:dyDescent="0.45">
      <c r="U501" t="s">
        <v>4256</v>
      </c>
      <c r="V501" t="s">
        <v>4849</v>
      </c>
      <c r="W501" t="s">
        <v>4547</v>
      </c>
      <c r="X501" t="s">
        <v>19</v>
      </c>
    </row>
    <row r="502" spans="21:24" x14ac:dyDescent="0.45">
      <c r="U502" t="s">
        <v>4256</v>
      </c>
      <c r="V502" t="s">
        <v>4850</v>
      </c>
      <c r="W502" t="s">
        <v>4341</v>
      </c>
      <c r="X502" t="s">
        <v>19</v>
      </c>
    </row>
    <row r="503" spans="21:24" x14ac:dyDescent="0.45">
      <c r="U503" t="s">
        <v>4256</v>
      </c>
      <c r="V503" t="s">
        <v>4850</v>
      </c>
      <c r="W503" t="s">
        <v>4547</v>
      </c>
      <c r="X503" t="s">
        <v>19</v>
      </c>
    </row>
    <row r="504" spans="21:24" x14ac:dyDescent="0.45">
      <c r="U504" t="s">
        <v>4256</v>
      </c>
      <c r="V504" t="s">
        <v>4851</v>
      </c>
      <c r="W504" t="s">
        <v>4547</v>
      </c>
      <c r="X504" t="s">
        <v>19</v>
      </c>
    </row>
    <row r="505" spans="21:24" x14ac:dyDescent="0.45">
      <c r="U505" t="s">
        <v>4256</v>
      </c>
      <c r="V505" t="s">
        <v>4852</v>
      </c>
      <c r="W505" t="s">
        <v>4547</v>
      </c>
      <c r="X505" t="s">
        <v>19</v>
      </c>
    </row>
    <row r="506" spans="21:24" x14ac:dyDescent="0.45">
      <c r="U506" t="s">
        <v>4256</v>
      </c>
      <c r="V506" t="s">
        <v>4853</v>
      </c>
      <c r="W506" t="s">
        <v>4547</v>
      </c>
      <c r="X506" t="s">
        <v>19</v>
      </c>
    </row>
    <row r="507" spans="21:24" x14ac:dyDescent="0.45">
      <c r="U507" t="s">
        <v>4256</v>
      </c>
      <c r="V507" t="s">
        <v>4853</v>
      </c>
      <c r="W507" t="s">
        <v>4341</v>
      </c>
      <c r="X507" t="s">
        <v>17</v>
      </c>
    </row>
    <row r="508" spans="21:24" x14ac:dyDescent="0.45">
      <c r="U508" t="s">
        <v>4256</v>
      </c>
      <c r="V508" t="s">
        <v>4854</v>
      </c>
      <c r="W508" t="s">
        <v>4547</v>
      </c>
      <c r="X508" t="s">
        <v>19</v>
      </c>
    </row>
    <row r="509" spans="21:24" x14ac:dyDescent="0.45">
      <c r="U509" t="s">
        <v>4256</v>
      </c>
      <c r="V509" t="s">
        <v>4854</v>
      </c>
      <c r="W509" t="s">
        <v>4341</v>
      </c>
      <c r="X509" t="s">
        <v>17</v>
      </c>
    </row>
    <row r="510" spans="21:24" x14ac:dyDescent="0.45">
      <c r="U510" t="s">
        <v>4256</v>
      </c>
      <c r="V510" t="s">
        <v>4855</v>
      </c>
      <c r="W510" t="s">
        <v>4345</v>
      </c>
      <c r="X510" t="s">
        <v>19</v>
      </c>
    </row>
    <row r="511" spans="21:24" x14ac:dyDescent="0.45">
      <c r="U511" t="s">
        <v>4256</v>
      </c>
      <c r="V511" t="s">
        <v>4856</v>
      </c>
      <c r="W511" t="s">
        <v>4345</v>
      </c>
      <c r="X511" t="s">
        <v>19</v>
      </c>
    </row>
    <row r="512" spans="21:24" x14ac:dyDescent="0.45">
      <c r="U512" t="s">
        <v>4256</v>
      </c>
      <c r="V512" t="s">
        <v>4857</v>
      </c>
      <c r="W512" t="s">
        <v>4345</v>
      </c>
      <c r="X512" t="s">
        <v>19</v>
      </c>
    </row>
    <row r="513" spans="21:24" x14ac:dyDescent="0.45">
      <c r="U513" t="s">
        <v>4256</v>
      </c>
      <c r="V513" t="s">
        <v>4858</v>
      </c>
      <c r="W513" t="s">
        <v>4345</v>
      </c>
      <c r="X513" t="s">
        <v>19</v>
      </c>
    </row>
    <row r="514" spans="21:24" x14ac:dyDescent="0.45">
      <c r="U514" t="s">
        <v>4256</v>
      </c>
      <c r="V514" t="s">
        <v>4859</v>
      </c>
      <c r="W514" t="s">
        <v>4345</v>
      </c>
      <c r="X514" t="s">
        <v>19</v>
      </c>
    </row>
    <row r="515" spans="21:24" x14ac:dyDescent="0.45">
      <c r="U515" t="s">
        <v>4256</v>
      </c>
      <c r="V515" t="s">
        <v>4860</v>
      </c>
      <c r="W515" t="s">
        <v>4345</v>
      </c>
      <c r="X515" t="s">
        <v>19</v>
      </c>
    </row>
    <row r="516" spans="21:24" x14ac:dyDescent="0.45">
      <c r="U516" t="s">
        <v>4256</v>
      </c>
      <c r="V516" t="s">
        <v>4861</v>
      </c>
      <c r="W516" t="s">
        <v>4345</v>
      </c>
      <c r="X516" t="s">
        <v>19</v>
      </c>
    </row>
    <row r="517" spans="21:24" x14ac:dyDescent="0.45">
      <c r="U517" t="s">
        <v>4256</v>
      </c>
      <c r="V517" t="s">
        <v>4862</v>
      </c>
      <c r="W517" t="s">
        <v>4345</v>
      </c>
      <c r="X517" t="s">
        <v>19</v>
      </c>
    </row>
    <row r="518" spans="21:24" x14ac:dyDescent="0.45">
      <c r="U518" t="s">
        <v>4256</v>
      </c>
      <c r="V518" t="s">
        <v>4863</v>
      </c>
      <c r="W518" t="s">
        <v>4345</v>
      </c>
      <c r="X518" t="s">
        <v>19</v>
      </c>
    </row>
    <row r="519" spans="21:24" x14ac:dyDescent="0.45">
      <c r="U519" t="s">
        <v>4256</v>
      </c>
      <c r="V519" t="s">
        <v>4864</v>
      </c>
      <c r="W519" t="s">
        <v>4345</v>
      </c>
      <c r="X519" t="s">
        <v>19</v>
      </c>
    </row>
    <row r="520" spans="21:24" x14ac:dyDescent="0.45">
      <c r="U520" t="s">
        <v>4256</v>
      </c>
      <c r="V520" t="s">
        <v>4865</v>
      </c>
      <c r="W520" t="s">
        <v>4345</v>
      </c>
      <c r="X520" t="s">
        <v>19</v>
      </c>
    </row>
    <row r="521" spans="21:24" x14ac:dyDescent="0.45">
      <c r="U521" t="s">
        <v>4256</v>
      </c>
      <c r="V521" t="s">
        <v>4865</v>
      </c>
      <c r="W521" t="s">
        <v>4514</v>
      </c>
      <c r="X521" t="s">
        <v>19</v>
      </c>
    </row>
    <row r="522" spans="21:24" x14ac:dyDescent="0.45">
      <c r="U522" t="s">
        <v>4256</v>
      </c>
      <c r="V522" t="s">
        <v>4866</v>
      </c>
      <c r="W522" t="s">
        <v>4345</v>
      </c>
      <c r="X522" t="s">
        <v>19</v>
      </c>
    </row>
    <row r="523" spans="21:24" x14ac:dyDescent="0.45">
      <c r="U523" t="s">
        <v>4256</v>
      </c>
      <c r="V523" t="s">
        <v>4866</v>
      </c>
      <c r="W523" t="s">
        <v>4514</v>
      </c>
      <c r="X523" t="s">
        <v>19</v>
      </c>
    </row>
    <row r="524" spans="21:24" x14ac:dyDescent="0.45">
      <c r="U524" t="s">
        <v>4256</v>
      </c>
      <c r="V524" t="s">
        <v>4867</v>
      </c>
      <c r="W524" t="s">
        <v>4345</v>
      </c>
      <c r="X524" t="s">
        <v>19</v>
      </c>
    </row>
    <row r="525" spans="21:24" x14ac:dyDescent="0.45">
      <c r="U525" t="s">
        <v>4256</v>
      </c>
      <c r="V525" t="s">
        <v>4867</v>
      </c>
      <c r="W525" t="s">
        <v>4514</v>
      </c>
      <c r="X525" t="s">
        <v>19</v>
      </c>
    </row>
    <row r="526" spans="21:24" x14ac:dyDescent="0.45">
      <c r="U526" t="s">
        <v>4256</v>
      </c>
      <c r="V526" t="s">
        <v>4868</v>
      </c>
      <c r="W526" t="s">
        <v>4514</v>
      </c>
      <c r="X526" t="s">
        <v>19</v>
      </c>
    </row>
    <row r="527" spans="21:24" x14ac:dyDescent="0.45">
      <c r="U527" t="s">
        <v>4256</v>
      </c>
      <c r="V527" t="s">
        <v>4869</v>
      </c>
      <c r="W527" t="s">
        <v>4514</v>
      </c>
      <c r="X527" t="s">
        <v>19</v>
      </c>
    </row>
    <row r="528" spans="21:24" x14ac:dyDescent="0.45">
      <c r="U528" t="s">
        <v>4256</v>
      </c>
      <c r="V528" t="s">
        <v>4870</v>
      </c>
      <c r="W528" t="s">
        <v>4514</v>
      </c>
      <c r="X528" t="s">
        <v>19</v>
      </c>
    </row>
    <row r="529" spans="21:24" x14ac:dyDescent="0.45">
      <c r="U529" t="s">
        <v>4256</v>
      </c>
      <c r="V529" t="s">
        <v>4870</v>
      </c>
      <c r="W529" t="s">
        <v>4345</v>
      </c>
      <c r="X529" t="s">
        <v>17</v>
      </c>
    </row>
    <row r="530" spans="21:24" x14ac:dyDescent="0.45">
      <c r="U530" t="s">
        <v>4256</v>
      </c>
      <c r="V530" t="s">
        <v>4871</v>
      </c>
      <c r="W530" t="s">
        <v>4514</v>
      </c>
      <c r="X530" t="s">
        <v>19</v>
      </c>
    </row>
    <row r="531" spans="21:24" x14ac:dyDescent="0.45">
      <c r="U531" t="s">
        <v>4256</v>
      </c>
      <c r="V531" t="s">
        <v>4871</v>
      </c>
      <c r="W531" t="s">
        <v>4345</v>
      </c>
      <c r="X531" t="s">
        <v>17</v>
      </c>
    </row>
    <row r="532" spans="21:24" x14ac:dyDescent="0.45">
      <c r="U532" t="s">
        <v>4256</v>
      </c>
      <c r="V532" t="s">
        <v>4872</v>
      </c>
      <c r="W532" t="s">
        <v>4349</v>
      </c>
      <c r="X532" t="s">
        <v>19</v>
      </c>
    </row>
    <row r="533" spans="21:24" x14ac:dyDescent="0.45">
      <c r="U533" t="s">
        <v>4256</v>
      </c>
      <c r="V533" t="s">
        <v>4873</v>
      </c>
      <c r="W533" t="s">
        <v>4349</v>
      </c>
      <c r="X533" t="s">
        <v>19</v>
      </c>
    </row>
    <row r="534" spans="21:24" x14ac:dyDescent="0.45">
      <c r="U534" t="s">
        <v>4256</v>
      </c>
      <c r="V534" t="s">
        <v>4874</v>
      </c>
      <c r="W534" t="s">
        <v>4349</v>
      </c>
      <c r="X534" t="s">
        <v>19</v>
      </c>
    </row>
    <row r="535" spans="21:24" x14ac:dyDescent="0.45">
      <c r="U535" t="s">
        <v>4256</v>
      </c>
      <c r="V535" t="s">
        <v>4875</v>
      </c>
      <c r="W535" t="s">
        <v>4349</v>
      </c>
      <c r="X535" t="s">
        <v>19</v>
      </c>
    </row>
    <row r="536" spans="21:24" x14ac:dyDescent="0.45">
      <c r="U536" t="s">
        <v>4256</v>
      </c>
      <c r="V536" t="s">
        <v>4876</v>
      </c>
      <c r="W536" t="s">
        <v>4349</v>
      </c>
      <c r="X536" t="s">
        <v>19</v>
      </c>
    </row>
    <row r="537" spans="21:24" x14ac:dyDescent="0.45">
      <c r="U537" t="s">
        <v>4256</v>
      </c>
      <c r="V537" t="s">
        <v>4877</v>
      </c>
      <c r="W537" t="s">
        <v>4349</v>
      </c>
      <c r="X537" t="s">
        <v>19</v>
      </c>
    </row>
    <row r="538" spans="21:24" x14ac:dyDescent="0.45">
      <c r="U538" t="s">
        <v>4256</v>
      </c>
      <c r="V538" t="s">
        <v>4878</v>
      </c>
      <c r="W538" t="s">
        <v>4349</v>
      </c>
      <c r="X538" t="s">
        <v>19</v>
      </c>
    </row>
    <row r="539" spans="21:24" x14ac:dyDescent="0.45">
      <c r="U539" t="s">
        <v>4256</v>
      </c>
      <c r="V539" t="s">
        <v>4879</v>
      </c>
      <c r="W539" t="s">
        <v>4349</v>
      </c>
      <c r="X539" t="s">
        <v>19</v>
      </c>
    </row>
    <row r="540" spans="21:24" x14ac:dyDescent="0.45">
      <c r="U540" t="s">
        <v>4256</v>
      </c>
      <c r="V540" t="s">
        <v>4880</v>
      </c>
      <c r="W540" t="s">
        <v>4349</v>
      </c>
      <c r="X540" t="s">
        <v>19</v>
      </c>
    </row>
    <row r="541" spans="21:24" x14ac:dyDescent="0.45">
      <c r="U541" t="s">
        <v>4256</v>
      </c>
      <c r="V541" t="s">
        <v>4881</v>
      </c>
      <c r="W541" t="s">
        <v>4349</v>
      </c>
      <c r="X541" t="s">
        <v>19</v>
      </c>
    </row>
    <row r="542" spans="21:24" x14ac:dyDescent="0.45">
      <c r="U542" t="s">
        <v>4256</v>
      </c>
      <c r="V542" t="s">
        <v>4882</v>
      </c>
      <c r="W542" t="s">
        <v>4349</v>
      </c>
      <c r="X542" t="s">
        <v>19</v>
      </c>
    </row>
    <row r="543" spans="21:24" x14ac:dyDescent="0.45">
      <c r="U543" t="s">
        <v>4256</v>
      </c>
      <c r="V543" t="s">
        <v>4882</v>
      </c>
      <c r="W543" t="s">
        <v>4883</v>
      </c>
      <c r="X543" t="s">
        <v>19</v>
      </c>
    </row>
    <row r="544" spans="21:24" x14ac:dyDescent="0.45">
      <c r="U544" t="s">
        <v>4256</v>
      </c>
      <c r="V544" t="s">
        <v>4884</v>
      </c>
      <c r="W544" t="s">
        <v>4349</v>
      </c>
      <c r="X544" t="s">
        <v>19</v>
      </c>
    </row>
    <row r="545" spans="21:24" x14ac:dyDescent="0.45">
      <c r="U545" t="s">
        <v>4256</v>
      </c>
      <c r="V545" t="s">
        <v>4884</v>
      </c>
      <c r="W545" t="s">
        <v>4883</v>
      </c>
      <c r="X545" t="s">
        <v>19</v>
      </c>
    </row>
    <row r="546" spans="21:24" x14ac:dyDescent="0.45">
      <c r="U546" t="s">
        <v>4256</v>
      </c>
      <c r="V546" t="s">
        <v>4885</v>
      </c>
      <c r="W546" t="s">
        <v>4349</v>
      </c>
      <c r="X546" t="s">
        <v>19</v>
      </c>
    </row>
    <row r="547" spans="21:24" x14ac:dyDescent="0.45">
      <c r="U547" t="s">
        <v>4256</v>
      </c>
      <c r="V547" t="s">
        <v>4885</v>
      </c>
      <c r="W547" t="s">
        <v>4883</v>
      </c>
      <c r="X547" t="s">
        <v>19</v>
      </c>
    </row>
    <row r="548" spans="21:24" x14ac:dyDescent="0.45">
      <c r="U548" t="s">
        <v>4256</v>
      </c>
      <c r="V548" t="s">
        <v>4886</v>
      </c>
      <c r="W548" t="s">
        <v>4883</v>
      </c>
      <c r="X548" t="s">
        <v>19</v>
      </c>
    </row>
    <row r="549" spans="21:24" x14ac:dyDescent="0.45">
      <c r="U549" t="s">
        <v>4256</v>
      </c>
      <c r="V549" t="s">
        <v>4887</v>
      </c>
      <c r="W549" t="s">
        <v>4883</v>
      </c>
      <c r="X549" t="s">
        <v>19</v>
      </c>
    </row>
    <row r="550" spans="21:24" x14ac:dyDescent="0.45">
      <c r="U550" t="s">
        <v>4256</v>
      </c>
      <c r="V550" t="s">
        <v>4888</v>
      </c>
      <c r="W550" t="s">
        <v>4883</v>
      </c>
      <c r="X550" t="s">
        <v>19</v>
      </c>
    </row>
    <row r="551" spans="21:24" x14ac:dyDescent="0.45">
      <c r="U551" t="s">
        <v>4256</v>
      </c>
      <c r="V551" t="s">
        <v>4888</v>
      </c>
      <c r="W551" t="s">
        <v>4349</v>
      </c>
      <c r="X551" t="s">
        <v>17</v>
      </c>
    </row>
    <row r="552" spans="21:24" x14ac:dyDescent="0.45">
      <c r="U552" t="s">
        <v>4256</v>
      </c>
      <c r="V552" t="s">
        <v>4889</v>
      </c>
      <c r="W552" t="s">
        <v>4883</v>
      </c>
      <c r="X552" t="s">
        <v>19</v>
      </c>
    </row>
    <row r="553" spans="21:24" x14ac:dyDescent="0.45">
      <c r="U553" t="s">
        <v>4256</v>
      </c>
      <c r="V553" t="s">
        <v>4889</v>
      </c>
      <c r="W553" t="s">
        <v>4349</v>
      </c>
      <c r="X553" t="s">
        <v>17</v>
      </c>
    </row>
    <row r="554" spans="21:24" x14ac:dyDescent="0.45">
      <c r="U554" t="s">
        <v>4256</v>
      </c>
      <c r="V554" t="s">
        <v>4890</v>
      </c>
      <c r="W554" t="s">
        <v>4257</v>
      </c>
      <c r="X554" t="s">
        <v>19</v>
      </c>
    </row>
    <row r="555" spans="21:24" x14ac:dyDescent="0.45">
      <c r="U555" t="s">
        <v>4256</v>
      </c>
      <c r="V555" t="s">
        <v>4890</v>
      </c>
      <c r="W555" t="s">
        <v>4257</v>
      </c>
      <c r="X555" t="s">
        <v>17</v>
      </c>
    </row>
    <row r="556" spans="21:24" x14ac:dyDescent="0.45">
      <c r="U556" t="s">
        <v>4256</v>
      </c>
      <c r="V556" t="s">
        <v>4891</v>
      </c>
      <c r="W556" t="s">
        <v>4257</v>
      </c>
      <c r="X556" t="s">
        <v>19</v>
      </c>
    </row>
    <row r="557" spans="21:24" x14ac:dyDescent="0.45">
      <c r="U557" t="s">
        <v>4256</v>
      </c>
      <c r="V557" t="s">
        <v>4891</v>
      </c>
      <c r="W557" t="s">
        <v>4257</v>
      </c>
      <c r="X557" t="s">
        <v>17</v>
      </c>
    </row>
    <row r="558" spans="21:24" x14ac:dyDescent="0.45">
      <c r="U558" t="s">
        <v>4256</v>
      </c>
      <c r="V558" t="s">
        <v>4892</v>
      </c>
      <c r="W558" t="s">
        <v>4261</v>
      </c>
      <c r="X558" t="s">
        <v>19</v>
      </c>
    </row>
    <row r="559" spans="21:24" x14ac:dyDescent="0.45">
      <c r="U559" t="s">
        <v>4256</v>
      </c>
      <c r="V559" t="s">
        <v>4892</v>
      </c>
      <c r="W559" t="s">
        <v>4261</v>
      </c>
      <c r="X559" t="s">
        <v>17</v>
      </c>
    </row>
    <row r="560" spans="21:24" x14ac:dyDescent="0.45">
      <c r="U560" t="s">
        <v>4256</v>
      </c>
      <c r="V560" t="s">
        <v>4893</v>
      </c>
      <c r="W560" t="s">
        <v>4261</v>
      </c>
      <c r="X560" t="s">
        <v>19</v>
      </c>
    </row>
    <row r="561" spans="21:24" x14ac:dyDescent="0.45">
      <c r="U561" t="s">
        <v>4256</v>
      </c>
      <c r="V561" t="s">
        <v>4893</v>
      </c>
      <c r="W561" t="s">
        <v>4261</v>
      </c>
      <c r="X561" t="s">
        <v>17</v>
      </c>
    </row>
    <row r="562" spans="21:24" x14ac:dyDescent="0.45">
      <c r="U562" t="s">
        <v>4256</v>
      </c>
      <c r="V562" t="s">
        <v>4894</v>
      </c>
      <c r="W562" t="s">
        <v>4265</v>
      </c>
      <c r="X562" t="s">
        <v>19</v>
      </c>
    </row>
    <row r="563" spans="21:24" x14ac:dyDescent="0.45">
      <c r="U563" t="s">
        <v>4256</v>
      </c>
      <c r="V563" t="s">
        <v>4894</v>
      </c>
      <c r="W563" t="s">
        <v>4265</v>
      </c>
      <c r="X563" t="s">
        <v>17</v>
      </c>
    </row>
    <row r="564" spans="21:24" x14ac:dyDescent="0.45">
      <c r="U564" t="s">
        <v>4256</v>
      </c>
      <c r="V564" t="s">
        <v>4895</v>
      </c>
      <c r="W564" t="s">
        <v>4265</v>
      </c>
      <c r="X564" t="s">
        <v>19</v>
      </c>
    </row>
    <row r="565" spans="21:24" x14ac:dyDescent="0.45">
      <c r="U565" t="s">
        <v>4256</v>
      </c>
      <c r="V565" t="s">
        <v>4895</v>
      </c>
      <c r="W565" t="s">
        <v>4265</v>
      </c>
      <c r="X565" t="s">
        <v>17</v>
      </c>
    </row>
    <row r="566" spans="21:24" x14ac:dyDescent="0.45">
      <c r="U566" t="s">
        <v>4256</v>
      </c>
      <c r="V566" t="s">
        <v>4896</v>
      </c>
      <c r="W566" t="s">
        <v>4269</v>
      </c>
      <c r="X566" t="s">
        <v>19</v>
      </c>
    </row>
    <row r="567" spans="21:24" x14ac:dyDescent="0.45">
      <c r="U567" t="s">
        <v>4256</v>
      </c>
      <c r="V567" t="s">
        <v>4896</v>
      </c>
      <c r="W567" t="s">
        <v>4269</v>
      </c>
      <c r="X567" t="s">
        <v>17</v>
      </c>
    </row>
    <row r="568" spans="21:24" x14ac:dyDescent="0.45">
      <c r="U568" t="s">
        <v>4256</v>
      </c>
      <c r="V568" t="s">
        <v>4897</v>
      </c>
      <c r="W568" t="s">
        <v>4269</v>
      </c>
      <c r="X568" t="s">
        <v>19</v>
      </c>
    </row>
    <row r="569" spans="21:24" x14ac:dyDescent="0.45">
      <c r="U569" t="s">
        <v>4256</v>
      </c>
      <c r="V569" t="s">
        <v>4897</v>
      </c>
      <c r="W569" t="s">
        <v>4269</v>
      </c>
      <c r="X569" t="s">
        <v>17</v>
      </c>
    </row>
    <row r="570" spans="21:24" x14ac:dyDescent="0.45">
      <c r="U570" t="s">
        <v>4256</v>
      </c>
      <c r="V570" t="s">
        <v>4898</v>
      </c>
      <c r="W570" t="s">
        <v>4273</v>
      </c>
      <c r="X570" t="s">
        <v>19</v>
      </c>
    </row>
    <row r="571" spans="21:24" x14ac:dyDescent="0.45">
      <c r="U571" t="s">
        <v>4256</v>
      </c>
      <c r="V571" t="s">
        <v>4898</v>
      </c>
      <c r="W571" t="s">
        <v>4273</v>
      </c>
      <c r="X571" t="s">
        <v>17</v>
      </c>
    </row>
    <row r="572" spans="21:24" x14ac:dyDescent="0.45">
      <c r="U572" t="s">
        <v>4256</v>
      </c>
      <c r="V572" t="s">
        <v>4899</v>
      </c>
      <c r="W572" t="s">
        <v>4273</v>
      </c>
      <c r="X572" t="s">
        <v>19</v>
      </c>
    </row>
    <row r="573" spans="21:24" x14ac:dyDescent="0.45">
      <c r="U573" t="s">
        <v>4256</v>
      </c>
      <c r="V573" t="s">
        <v>4899</v>
      </c>
      <c r="W573" t="s">
        <v>4273</v>
      </c>
      <c r="X573" t="s">
        <v>17</v>
      </c>
    </row>
    <row r="574" spans="21:24" x14ac:dyDescent="0.45">
      <c r="U574" t="s">
        <v>4256</v>
      </c>
      <c r="V574" t="s">
        <v>4900</v>
      </c>
      <c r="W574" t="s">
        <v>4277</v>
      </c>
      <c r="X574" t="s">
        <v>19</v>
      </c>
    </row>
    <row r="575" spans="21:24" x14ac:dyDescent="0.45">
      <c r="U575" t="s">
        <v>4256</v>
      </c>
      <c r="V575" t="s">
        <v>4900</v>
      </c>
      <c r="W575" t="s">
        <v>4277</v>
      </c>
      <c r="X575" t="s">
        <v>17</v>
      </c>
    </row>
    <row r="576" spans="21:24" x14ac:dyDescent="0.45">
      <c r="U576" t="s">
        <v>4256</v>
      </c>
      <c r="V576" t="s">
        <v>4901</v>
      </c>
      <c r="W576" t="s">
        <v>4277</v>
      </c>
      <c r="X576" t="s">
        <v>19</v>
      </c>
    </row>
    <row r="577" spans="21:24" x14ac:dyDescent="0.45">
      <c r="U577" t="s">
        <v>4256</v>
      </c>
      <c r="V577" t="s">
        <v>4901</v>
      </c>
      <c r="W577" t="s">
        <v>4277</v>
      </c>
      <c r="X577" t="s">
        <v>17</v>
      </c>
    </row>
    <row r="578" spans="21:24" x14ac:dyDescent="0.45">
      <c r="U578" t="s">
        <v>4256</v>
      </c>
      <c r="V578" t="s">
        <v>4902</v>
      </c>
      <c r="W578" t="s">
        <v>4281</v>
      </c>
      <c r="X578" t="s">
        <v>19</v>
      </c>
    </row>
    <row r="579" spans="21:24" x14ac:dyDescent="0.45">
      <c r="U579" t="s">
        <v>4256</v>
      </c>
      <c r="V579" t="s">
        <v>4902</v>
      </c>
      <c r="W579" t="s">
        <v>4281</v>
      </c>
      <c r="X579" t="s">
        <v>17</v>
      </c>
    </row>
    <row r="580" spans="21:24" x14ac:dyDescent="0.45">
      <c r="U580" t="s">
        <v>4256</v>
      </c>
      <c r="V580" t="s">
        <v>4903</v>
      </c>
      <c r="W580" t="s">
        <v>4281</v>
      </c>
      <c r="X580" t="s">
        <v>19</v>
      </c>
    </row>
    <row r="581" spans="21:24" x14ac:dyDescent="0.45">
      <c r="U581" t="s">
        <v>4256</v>
      </c>
      <c r="V581" t="s">
        <v>4903</v>
      </c>
      <c r="W581" t="s">
        <v>4281</v>
      </c>
      <c r="X581" t="s">
        <v>17</v>
      </c>
    </row>
    <row r="582" spans="21:24" x14ac:dyDescent="0.45">
      <c r="U582" t="s">
        <v>4256</v>
      </c>
      <c r="V582" t="s">
        <v>4904</v>
      </c>
      <c r="W582" t="s">
        <v>4285</v>
      </c>
      <c r="X582" t="s">
        <v>19</v>
      </c>
    </row>
    <row r="583" spans="21:24" x14ac:dyDescent="0.45">
      <c r="U583" t="s">
        <v>4256</v>
      </c>
      <c r="V583" t="s">
        <v>4904</v>
      </c>
      <c r="W583" t="s">
        <v>4285</v>
      </c>
      <c r="X583" t="s">
        <v>17</v>
      </c>
    </row>
    <row r="584" spans="21:24" x14ac:dyDescent="0.45">
      <c r="U584" t="s">
        <v>4256</v>
      </c>
      <c r="V584" t="s">
        <v>4905</v>
      </c>
      <c r="W584" t="s">
        <v>4285</v>
      </c>
      <c r="X584" t="s">
        <v>19</v>
      </c>
    </row>
    <row r="585" spans="21:24" x14ac:dyDescent="0.45">
      <c r="U585" t="s">
        <v>4256</v>
      </c>
      <c r="V585" t="s">
        <v>4905</v>
      </c>
      <c r="W585" t="s">
        <v>4285</v>
      </c>
      <c r="X585" t="s">
        <v>17</v>
      </c>
    </row>
    <row r="586" spans="21:24" x14ac:dyDescent="0.45">
      <c r="U586" t="s">
        <v>4256</v>
      </c>
      <c r="V586" t="s">
        <v>4906</v>
      </c>
      <c r="W586" t="s">
        <v>4289</v>
      </c>
      <c r="X586" t="s">
        <v>19</v>
      </c>
    </row>
    <row r="587" spans="21:24" x14ac:dyDescent="0.45">
      <c r="U587" t="s">
        <v>4256</v>
      </c>
      <c r="V587" t="s">
        <v>4906</v>
      </c>
      <c r="W587" t="s">
        <v>4289</v>
      </c>
      <c r="X587" t="s">
        <v>17</v>
      </c>
    </row>
    <row r="588" spans="21:24" x14ac:dyDescent="0.45">
      <c r="U588" t="s">
        <v>4256</v>
      </c>
      <c r="V588" t="s">
        <v>4907</v>
      </c>
      <c r="W588" t="s">
        <v>4289</v>
      </c>
      <c r="X588" t="s">
        <v>19</v>
      </c>
    </row>
    <row r="589" spans="21:24" x14ac:dyDescent="0.45">
      <c r="U589" t="s">
        <v>4256</v>
      </c>
      <c r="V589" t="s">
        <v>4907</v>
      </c>
      <c r="W589" t="s">
        <v>4289</v>
      </c>
      <c r="X589" t="s">
        <v>17</v>
      </c>
    </row>
    <row r="590" spans="21:24" x14ac:dyDescent="0.45">
      <c r="U590" t="s">
        <v>4256</v>
      </c>
      <c r="V590" t="s">
        <v>4908</v>
      </c>
      <c r="W590" t="s">
        <v>4293</v>
      </c>
      <c r="X590" t="s">
        <v>19</v>
      </c>
    </row>
    <row r="591" spans="21:24" x14ac:dyDescent="0.45">
      <c r="U591" t="s">
        <v>4256</v>
      </c>
      <c r="V591" t="s">
        <v>4908</v>
      </c>
      <c r="W591" t="s">
        <v>4293</v>
      </c>
      <c r="X591" t="s">
        <v>17</v>
      </c>
    </row>
    <row r="592" spans="21:24" x14ac:dyDescent="0.45">
      <c r="U592" t="s">
        <v>4256</v>
      </c>
      <c r="V592" t="s">
        <v>4909</v>
      </c>
      <c r="W592" t="s">
        <v>4293</v>
      </c>
      <c r="X592" t="s">
        <v>19</v>
      </c>
    </row>
    <row r="593" spans="21:24" x14ac:dyDescent="0.45">
      <c r="U593" t="s">
        <v>4256</v>
      </c>
      <c r="V593" t="s">
        <v>4909</v>
      </c>
      <c r="W593" t="s">
        <v>4293</v>
      </c>
      <c r="X593" t="s">
        <v>17</v>
      </c>
    </row>
    <row r="594" spans="21:24" x14ac:dyDescent="0.45">
      <c r="U594" t="s">
        <v>4256</v>
      </c>
      <c r="V594" t="s">
        <v>4910</v>
      </c>
      <c r="W594" t="s">
        <v>4297</v>
      </c>
      <c r="X594" t="s">
        <v>19</v>
      </c>
    </row>
    <row r="595" spans="21:24" x14ac:dyDescent="0.45">
      <c r="U595" t="s">
        <v>4256</v>
      </c>
      <c r="V595" t="s">
        <v>4910</v>
      </c>
      <c r="W595" t="s">
        <v>4297</v>
      </c>
      <c r="X595" t="s">
        <v>17</v>
      </c>
    </row>
    <row r="596" spans="21:24" x14ac:dyDescent="0.45">
      <c r="U596" t="s">
        <v>4256</v>
      </c>
      <c r="V596" t="s">
        <v>4911</v>
      </c>
      <c r="W596" t="s">
        <v>4297</v>
      </c>
      <c r="X596" t="s">
        <v>19</v>
      </c>
    </row>
    <row r="597" spans="21:24" x14ac:dyDescent="0.45">
      <c r="U597" t="s">
        <v>4256</v>
      </c>
      <c r="V597" t="s">
        <v>4911</v>
      </c>
      <c r="W597" t="s">
        <v>4297</v>
      </c>
      <c r="X597" t="s">
        <v>17</v>
      </c>
    </row>
    <row r="598" spans="21:24" x14ac:dyDescent="0.45">
      <c r="U598" t="s">
        <v>4256</v>
      </c>
      <c r="V598" t="s">
        <v>4912</v>
      </c>
      <c r="W598" t="s">
        <v>4301</v>
      </c>
      <c r="X598" t="s">
        <v>19</v>
      </c>
    </row>
    <row r="599" spans="21:24" x14ac:dyDescent="0.45">
      <c r="U599" t="s">
        <v>4256</v>
      </c>
      <c r="V599" t="s">
        <v>4912</v>
      </c>
      <c r="W599" t="s">
        <v>4301</v>
      </c>
      <c r="X599" t="s">
        <v>17</v>
      </c>
    </row>
    <row r="600" spans="21:24" x14ac:dyDescent="0.45">
      <c r="U600" t="s">
        <v>4256</v>
      </c>
      <c r="V600" t="s">
        <v>4913</v>
      </c>
      <c r="W600" t="s">
        <v>4301</v>
      </c>
      <c r="X600" t="s">
        <v>19</v>
      </c>
    </row>
    <row r="601" spans="21:24" x14ac:dyDescent="0.45">
      <c r="U601" t="s">
        <v>4256</v>
      </c>
      <c r="V601" t="s">
        <v>4913</v>
      </c>
      <c r="W601" t="s">
        <v>4301</v>
      </c>
      <c r="X601" t="s">
        <v>17</v>
      </c>
    </row>
    <row r="602" spans="21:24" x14ac:dyDescent="0.45">
      <c r="U602" t="s">
        <v>4256</v>
      </c>
      <c r="V602" t="s">
        <v>4914</v>
      </c>
      <c r="W602" t="s">
        <v>4305</v>
      </c>
      <c r="X602" t="s">
        <v>19</v>
      </c>
    </row>
    <row r="603" spans="21:24" x14ac:dyDescent="0.45">
      <c r="U603" t="s">
        <v>4256</v>
      </c>
      <c r="V603" t="s">
        <v>4914</v>
      </c>
      <c r="W603" t="s">
        <v>4305</v>
      </c>
      <c r="X603" t="s">
        <v>17</v>
      </c>
    </row>
    <row r="604" spans="21:24" x14ac:dyDescent="0.45">
      <c r="U604" t="s">
        <v>4256</v>
      </c>
      <c r="V604" t="s">
        <v>4915</v>
      </c>
      <c r="W604" t="s">
        <v>4305</v>
      </c>
      <c r="X604" t="s">
        <v>19</v>
      </c>
    </row>
    <row r="605" spans="21:24" x14ac:dyDescent="0.45">
      <c r="U605" t="s">
        <v>4256</v>
      </c>
      <c r="V605" t="s">
        <v>4915</v>
      </c>
      <c r="W605" t="s">
        <v>4305</v>
      </c>
      <c r="X605" t="s">
        <v>17</v>
      </c>
    </row>
    <row r="606" spans="21:24" x14ac:dyDescent="0.45">
      <c r="U606" t="s">
        <v>4256</v>
      </c>
      <c r="V606" t="s">
        <v>4916</v>
      </c>
      <c r="W606" t="s">
        <v>4309</v>
      </c>
      <c r="X606" t="s">
        <v>19</v>
      </c>
    </row>
    <row r="607" spans="21:24" x14ac:dyDescent="0.45">
      <c r="U607" t="s">
        <v>4256</v>
      </c>
      <c r="V607" t="s">
        <v>4916</v>
      </c>
      <c r="W607" t="s">
        <v>4309</v>
      </c>
      <c r="X607" t="s">
        <v>17</v>
      </c>
    </row>
    <row r="608" spans="21:24" x14ac:dyDescent="0.45">
      <c r="U608" t="s">
        <v>4256</v>
      </c>
      <c r="V608" t="s">
        <v>4917</v>
      </c>
      <c r="W608" t="s">
        <v>4309</v>
      </c>
      <c r="X608" t="s">
        <v>19</v>
      </c>
    </row>
    <row r="609" spans="21:24" x14ac:dyDescent="0.45">
      <c r="U609" t="s">
        <v>4256</v>
      </c>
      <c r="V609" t="s">
        <v>4917</v>
      </c>
      <c r="W609" t="s">
        <v>4309</v>
      </c>
      <c r="X609" t="s">
        <v>17</v>
      </c>
    </row>
    <row r="610" spans="21:24" x14ac:dyDescent="0.45">
      <c r="U610" t="s">
        <v>4256</v>
      </c>
      <c r="V610" t="s">
        <v>4918</v>
      </c>
      <c r="W610" t="s">
        <v>4312</v>
      </c>
      <c r="X610" t="s">
        <v>19</v>
      </c>
    </row>
    <row r="611" spans="21:24" x14ac:dyDescent="0.45">
      <c r="U611" t="s">
        <v>4256</v>
      </c>
      <c r="V611" t="s">
        <v>4918</v>
      </c>
      <c r="W611" t="s">
        <v>4312</v>
      </c>
      <c r="X611" t="s">
        <v>17</v>
      </c>
    </row>
    <row r="612" spans="21:24" x14ac:dyDescent="0.45">
      <c r="U612" t="s">
        <v>4256</v>
      </c>
      <c r="V612" t="s">
        <v>4919</v>
      </c>
      <c r="W612" t="s">
        <v>4312</v>
      </c>
      <c r="X612" t="s">
        <v>19</v>
      </c>
    </row>
    <row r="613" spans="21:24" x14ac:dyDescent="0.45">
      <c r="U613" t="s">
        <v>4256</v>
      </c>
      <c r="V613" t="s">
        <v>4919</v>
      </c>
      <c r="W613" t="s">
        <v>4312</v>
      </c>
      <c r="X613" t="s">
        <v>17</v>
      </c>
    </row>
    <row r="614" spans="21:24" x14ac:dyDescent="0.45">
      <c r="U614" t="s">
        <v>4256</v>
      </c>
      <c r="V614" t="s">
        <v>4920</v>
      </c>
      <c r="W614" t="s">
        <v>4316</v>
      </c>
      <c r="X614" t="s">
        <v>19</v>
      </c>
    </row>
    <row r="615" spans="21:24" x14ac:dyDescent="0.45">
      <c r="U615" t="s">
        <v>4256</v>
      </c>
      <c r="V615" t="s">
        <v>4920</v>
      </c>
      <c r="W615" t="s">
        <v>4316</v>
      </c>
      <c r="X615" t="s">
        <v>17</v>
      </c>
    </row>
    <row r="616" spans="21:24" x14ac:dyDescent="0.45">
      <c r="U616" t="s">
        <v>4256</v>
      </c>
      <c r="V616" t="s">
        <v>4921</v>
      </c>
      <c r="W616" t="s">
        <v>4316</v>
      </c>
      <c r="X616" t="s">
        <v>19</v>
      </c>
    </row>
    <row r="617" spans="21:24" x14ac:dyDescent="0.45">
      <c r="U617" t="s">
        <v>4256</v>
      </c>
      <c r="V617" t="s">
        <v>4921</v>
      </c>
      <c r="W617" t="s">
        <v>4316</v>
      </c>
      <c r="X617" t="s">
        <v>17</v>
      </c>
    </row>
    <row r="618" spans="21:24" x14ac:dyDescent="0.45">
      <c r="U618" t="s">
        <v>4256</v>
      </c>
      <c r="V618" t="s">
        <v>4922</v>
      </c>
      <c r="W618" t="s">
        <v>4319</v>
      </c>
      <c r="X618" t="s">
        <v>19</v>
      </c>
    </row>
    <row r="619" spans="21:24" x14ac:dyDescent="0.45">
      <c r="U619" t="s">
        <v>4256</v>
      </c>
      <c r="V619" t="s">
        <v>4922</v>
      </c>
      <c r="W619" t="s">
        <v>4319</v>
      </c>
      <c r="X619" t="s">
        <v>17</v>
      </c>
    </row>
    <row r="620" spans="21:24" x14ac:dyDescent="0.45">
      <c r="U620" t="s">
        <v>4256</v>
      </c>
      <c r="V620" t="s">
        <v>4923</v>
      </c>
      <c r="W620" t="s">
        <v>4319</v>
      </c>
      <c r="X620" t="s">
        <v>19</v>
      </c>
    </row>
    <row r="621" spans="21:24" x14ac:dyDescent="0.45">
      <c r="U621" t="s">
        <v>4256</v>
      </c>
      <c r="V621" t="s">
        <v>4923</v>
      </c>
      <c r="W621" t="s">
        <v>4319</v>
      </c>
      <c r="X621" t="s">
        <v>17</v>
      </c>
    </row>
    <row r="622" spans="21:24" x14ac:dyDescent="0.45">
      <c r="U622" t="s">
        <v>4256</v>
      </c>
      <c r="V622" t="s">
        <v>4924</v>
      </c>
      <c r="W622" t="s">
        <v>4323</v>
      </c>
      <c r="X622" t="s">
        <v>19</v>
      </c>
    </row>
    <row r="623" spans="21:24" x14ac:dyDescent="0.45">
      <c r="U623" t="s">
        <v>4256</v>
      </c>
      <c r="V623" t="s">
        <v>4924</v>
      </c>
      <c r="W623" t="s">
        <v>4323</v>
      </c>
      <c r="X623" t="s">
        <v>17</v>
      </c>
    </row>
    <row r="624" spans="21:24" x14ac:dyDescent="0.45">
      <c r="U624" t="s">
        <v>4256</v>
      </c>
      <c r="V624" t="s">
        <v>4925</v>
      </c>
      <c r="W624" t="s">
        <v>4323</v>
      </c>
      <c r="X624" t="s">
        <v>19</v>
      </c>
    </row>
    <row r="625" spans="21:24" x14ac:dyDescent="0.45">
      <c r="U625" t="s">
        <v>4256</v>
      </c>
      <c r="V625" t="s">
        <v>4925</v>
      </c>
      <c r="W625" t="s">
        <v>4323</v>
      </c>
      <c r="X625" t="s">
        <v>17</v>
      </c>
    </row>
    <row r="626" spans="21:24" x14ac:dyDescent="0.45">
      <c r="U626" t="s">
        <v>4256</v>
      </c>
      <c r="V626" t="s">
        <v>4926</v>
      </c>
      <c r="W626" t="s">
        <v>4327</v>
      </c>
      <c r="X626" t="s">
        <v>19</v>
      </c>
    </row>
    <row r="627" spans="21:24" x14ac:dyDescent="0.45">
      <c r="U627" t="s">
        <v>4256</v>
      </c>
      <c r="V627" t="s">
        <v>4926</v>
      </c>
      <c r="W627" t="s">
        <v>4327</v>
      </c>
      <c r="X627" t="s">
        <v>17</v>
      </c>
    </row>
    <row r="628" spans="21:24" x14ac:dyDescent="0.45">
      <c r="U628" t="s">
        <v>4256</v>
      </c>
      <c r="V628" t="s">
        <v>4927</v>
      </c>
      <c r="W628" t="s">
        <v>4327</v>
      </c>
      <c r="X628" t="s">
        <v>19</v>
      </c>
    </row>
    <row r="629" spans="21:24" x14ac:dyDescent="0.45">
      <c r="U629" t="s">
        <v>4256</v>
      </c>
      <c r="V629" t="s">
        <v>4927</v>
      </c>
      <c r="W629" t="s">
        <v>4327</v>
      </c>
      <c r="X629" t="s">
        <v>17</v>
      </c>
    </row>
    <row r="630" spans="21:24" x14ac:dyDescent="0.45">
      <c r="U630" t="s">
        <v>4256</v>
      </c>
      <c r="V630" t="s">
        <v>4928</v>
      </c>
      <c r="W630" t="s">
        <v>4331</v>
      </c>
      <c r="X630" t="s">
        <v>19</v>
      </c>
    </row>
    <row r="631" spans="21:24" x14ac:dyDescent="0.45">
      <c r="U631" t="s">
        <v>4256</v>
      </c>
      <c r="V631" t="s">
        <v>4928</v>
      </c>
      <c r="W631" t="s">
        <v>4331</v>
      </c>
      <c r="X631" t="s">
        <v>17</v>
      </c>
    </row>
    <row r="632" spans="21:24" x14ac:dyDescent="0.45">
      <c r="U632" t="s">
        <v>4256</v>
      </c>
      <c r="V632" t="s">
        <v>4929</v>
      </c>
      <c r="W632" t="s">
        <v>4331</v>
      </c>
      <c r="X632" t="s">
        <v>19</v>
      </c>
    </row>
    <row r="633" spans="21:24" x14ac:dyDescent="0.45">
      <c r="U633" t="s">
        <v>4256</v>
      </c>
      <c r="V633" t="s">
        <v>4929</v>
      </c>
      <c r="W633" t="s">
        <v>4331</v>
      </c>
      <c r="X633" t="s">
        <v>17</v>
      </c>
    </row>
    <row r="634" spans="21:24" x14ac:dyDescent="0.45">
      <c r="U634" t="s">
        <v>4256</v>
      </c>
      <c r="V634" t="s">
        <v>4930</v>
      </c>
      <c r="W634" t="s">
        <v>4334</v>
      </c>
      <c r="X634" t="s">
        <v>19</v>
      </c>
    </row>
    <row r="635" spans="21:24" x14ac:dyDescent="0.45">
      <c r="U635" t="s">
        <v>4256</v>
      </c>
      <c r="V635" t="s">
        <v>4930</v>
      </c>
      <c r="W635" t="s">
        <v>4334</v>
      </c>
      <c r="X635" t="s">
        <v>17</v>
      </c>
    </row>
    <row r="636" spans="21:24" x14ac:dyDescent="0.45">
      <c r="U636" t="s">
        <v>4256</v>
      </c>
      <c r="V636" t="s">
        <v>4931</v>
      </c>
      <c r="W636" t="s">
        <v>4334</v>
      </c>
      <c r="X636" t="s">
        <v>19</v>
      </c>
    </row>
    <row r="637" spans="21:24" x14ac:dyDescent="0.45">
      <c r="U637" t="s">
        <v>4256</v>
      </c>
      <c r="V637" t="s">
        <v>4931</v>
      </c>
      <c r="W637" t="s">
        <v>4334</v>
      </c>
      <c r="X637" t="s">
        <v>17</v>
      </c>
    </row>
    <row r="638" spans="21:24" x14ac:dyDescent="0.45">
      <c r="U638" t="s">
        <v>4256</v>
      </c>
      <c r="V638" t="s">
        <v>4932</v>
      </c>
      <c r="W638" t="s">
        <v>4338</v>
      </c>
      <c r="X638" t="s">
        <v>19</v>
      </c>
    </row>
    <row r="639" spans="21:24" x14ac:dyDescent="0.45">
      <c r="U639" t="s">
        <v>4256</v>
      </c>
      <c r="V639" t="s">
        <v>4932</v>
      </c>
      <c r="W639" t="s">
        <v>4338</v>
      </c>
      <c r="X639" t="s">
        <v>17</v>
      </c>
    </row>
    <row r="640" spans="21:24" x14ac:dyDescent="0.45">
      <c r="U640" t="s">
        <v>4256</v>
      </c>
      <c r="V640" t="s">
        <v>4933</v>
      </c>
      <c r="W640" t="s">
        <v>4338</v>
      </c>
      <c r="X640" t="s">
        <v>19</v>
      </c>
    </row>
    <row r="641" spans="21:24" x14ac:dyDescent="0.45">
      <c r="U641" t="s">
        <v>4256</v>
      </c>
      <c r="V641" t="s">
        <v>4933</v>
      </c>
      <c r="W641" t="s">
        <v>4338</v>
      </c>
      <c r="X641" t="s">
        <v>17</v>
      </c>
    </row>
    <row r="642" spans="21:24" x14ac:dyDescent="0.45">
      <c r="U642" t="s">
        <v>4256</v>
      </c>
      <c r="V642" t="s">
        <v>4934</v>
      </c>
      <c r="W642" t="s">
        <v>4341</v>
      </c>
      <c r="X642" t="s">
        <v>19</v>
      </c>
    </row>
    <row r="643" spans="21:24" x14ac:dyDescent="0.45">
      <c r="U643" t="s">
        <v>4256</v>
      </c>
      <c r="V643" t="s">
        <v>4934</v>
      </c>
      <c r="W643" t="s">
        <v>4341</v>
      </c>
      <c r="X643" t="s">
        <v>17</v>
      </c>
    </row>
    <row r="644" spans="21:24" x14ac:dyDescent="0.45">
      <c r="U644" t="s">
        <v>4256</v>
      </c>
      <c r="V644" t="s">
        <v>4935</v>
      </c>
      <c r="W644" t="s">
        <v>4341</v>
      </c>
      <c r="X644" t="s">
        <v>19</v>
      </c>
    </row>
    <row r="645" spans="21:24" x14ac:dyDescent="0.45">
      <c r="U645" t="s">
        <v>4256</v>
      </c>
      <c r="V645" t="s">
        <v>4935</v>
      </c>
      <c r="W645" t="s">
        <v>4341</v>
      </c>
      <c r="X645" t="s">
        <v>17</v>
      </c>
    </row>
    <row r="646" spans="21:24" x14ac:dyDescent="0.45">
      <c r="U646" t="s">
        <v>4256</v>
      </c>
      <c r="V646" t="s">
        <v>4936</v>
      </c>
      <c r="W646" t="s">
        <v>4345</v>
      </c>
      <c r="X646" t="s">
        <v>19</v>
      </c>
    </row>
    <row r="647" spans="21:24" x14ac:dyDescent="0.45">
      <c r="U647" t="s">
        <v>4256</v>
      </c>
      <c r="V647" t="s">
        <v>4936</v>
      </c>
      <c r="W647" t="s">
        <v>4345</v>
      </c>
      <c r="X647" t="s">
        <v>17</v>
      </c>
    </row>
    <row r="648" spans="21:24" x14ac:dyDescent="0.45">
      <c r="U648" t="s">
        <v>4256</v>
      </c>
      <c r="V648" t="s">
        <v>4937</v>
      </c>
      <c r="W648" t="s">
        <v>4345</v>
      </c>
      <c r="X648" t="s">
        <v>19</v>
      </c>
    </row>
    <row r="649" spans="21:24" x14ac:dyDescent="0.45">
      <c r="U649" t="s">
        <v>4256</v>
      </c>
      <c r="V649" t="s">
        <v>4937</v>
      </c>
      <c r="W649" t="s">
        <v>4345</v>
      </c>
      <c r="X649" t="s">
        <v>17</v>
      </c>
    </row>
    <row r="650" spans="21:24" x14ac:dyDescent="0.45">
      <c r="U650" t="s">
        <v>4256</v>
      </c>
      <c r="V650" t="s">
        <v>4938</v>
      </c>
      <c r="W650" t="s">
        <v>4349</v>
      </c>
      <c r="X650" t="s">
        <v>19</v>
      </c>
    </row>
    <row r="651" spans="21:24" x14ac:dyDescent="0.45">
      <c r="U651" t="s">
        <v>4256</v>
      </c>
      <c r="V651" t="s">
        <v>4938</v>
      </c>
      <c r="W651" t="s">
        <v>4349</v>
      </c>
      <c r="X651" t="s">
        <v>17</v>
      </c>
    </row>
    <row r="652" spans="21:24" x14ac:dyDescent="0.45">
      <c r="U652" t="s">
        <v>4256</v>
      </c>
      <c r="V652" t="s">
        <v>4939</v>
      </c>
      <c r="W652" t="s">
        <v>4349</v>
      </c>
      <c r="X652" t="s">
        <v>19</v>
      </c>
    </row>
    <row r="653" spans="21:24" x14ac:dyDescent="0.45">
      <c r="U653" t="s">
        <v>4256</v>
      </c>
      <c r="V653" t="s">
        <v>4939</v>
      </c>
      <c r="W653" t="s">
        <v>4349</v>
      </c>
      <c r="X653" t="s">
        <v>17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24F3-92F4-4FAA-9A04-FD5EA73FA5E9}">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0.6490336291318457</v>
      </c>
      <c r="H3" s="2">
        <v>1.3495687468290207</v>
      </c>
      <c r="I3" s="2">
        <v>0.29387335196920444</v>
      </c>
      <c r="J3" s="2">
        <v>0.65763867133730136</v>
      </c>
      <c r="O3" t="s">
        <v>973</v>
      </c>
    </row>
    <row r="4" spans="6:31" x14ac:dyDescent="0.45">
      <c r="F4" t="s">
        <v>974</v>
      </c>
      <c r="G4" s="2">
        <v>7.8742928533094017E-2</v>
      </c>
      <c r="H4" s="2">
        <v>0.62231700981598448</v>
      </c>
      <c r="I4" s="2"/>
      <c r="J4" s="2"/>
    </row>
    <row r="5" spans="6:31" x14ac:dyDescent="0.45">
      <c r="F5" t="s">
        <v>975</v>
      </c>
      <c r="G5" s="2">
        <v>0.15844369919854487</v>
      </c>
      <c r="H5" s="2">
        <v>0.2955149688458561</v>
      </c>
      <c r="I5" s="2"/>
      <c r="J5" s="2"/>
    </row>
    <row r="6" spans="6:31" x14ac:dyDescent="0.45">
      <c r="F6" t="s">
        <v>976</v>
      </c>
      <c r="G6" s="2"/>
      <c r="H6" s="2"/>
      <c r="I6" s="2">
        <v>0.79908675799086759</v>
      </c>
      <c r="J6" s="2">
        <v>0.96681069431997602</v>
      </c>
      <c r="N6" t="s">
        <v>977</v>
      </c>
      <c r="Y6" t="s">
        <v>978</v>
      </c>
    </row>
    <row r="7" spans="6:31" x14ac:dyDescent="0.45">
      <c r="F7" t="s">
        <v>979</v>
      </c>
      <c r="G7" s="2">
        <v>0.1712630286539932</v>
      </c>
      <c r="H7" s="2">
        <v>0.36886258026147345</v>
      </c>
      <c r="I7" s="2">
        <v>0.15125668935897063</v>
      </c>
      <c r="J7" s="2">
        <v>0.31127604163438005</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987</v>
      </c>
      <c r="G8" s="2"/>
      <c r="H8" s="2"/>
      <c r="I8" s="2"/>
      <c r="J8" s="2"/>
      <c r="N8" t="s">
        <v>988</v>
      </c>
      <c r="O8" t="s">
        <v>974</v>
      </c>
      <c r="P8" s="3" t="s">
        <v>989</v>
      </c>
      <c r="Q8" s="4">
        <f>-1/8.76</f>
        <v>-0.11415525114155252</v>
      </c>
      <c r="S8" s="4">
        <f>VLOOKUP(O8,$F$3:$J$11,3,FALSE)</f>
        <v>0.62231700981598448</v>
      </c>
      <c r="T8" s="4">
        <f>MIN(S8*$U$1,0.95)</f>
        <v>0.74678041177918131</v>
      </c>
      <c r="U8">
        <v>0</v>
      </c>
      <c r="V8">
        <v>3</v>
      </c>
      <c r="Y8" t="s">
        <v>990</v>
      </c>
      <c r="Z8" t="s">
        <v>974</v>
      </c>
      <c r="AA8">
        <f>-1/8.76</f>
        <v>-0.11415525114155252</v>
      </c>
      <c r="AB8" s="4">
        <f>VLOOKUP(Z8,$F$3:$J$11,2,FALSE)</f>
        <v>7.8742928533094017E-2</v>
      </c>
      <c r="AC8">
        <f>AB8*$W$1</f>
        <v>1.5748585706618804E-2</v>
      </c>
      <c r="AD8">
        <v>0</v>
      </c>
      <c r="AE8">
        <v>3</v>
      </c>
    </row>
    <row r="9" spans="6:31" x14ac:dyDescent="0.45">
      <c r="F9" t="s">
        <v>991</v>
      </c>
      <c r="G9" s="2">
        <v>0.21980609961926442</v>
      </c>
      <c r="H9" s="2">
        <v>3.4446252844462535</v>
      </c>
      <c r="I9" s="2">
        <v>2.1681649145671975E-2</v>
      </c>
      <c r="J9" s="2">
        <v>0.18947752518915301</v>
      </c>
      <c r="N9" t="s">
        <v>992</v>
      </c>
      <c r="O9" t="s">
        <v>975</v>
      </c>
      <c r="P9" s="3" t="s">
        <v>989</v>
      </c>
      <c r="Q9" s="4">
        <f>-1/8.76</f>
        <v>-0.11415525114155252</v>
      </c>
      <c r="S9" s="4">
        <f>VLOOKUP(O9,$F$3:$J$11,3,FALSE)</f>
        <v>0.2955149688458561</v>
      </c>
      <c r="T9" s="4">
        <f>MIN(S9*$U$1,0.95)</f>
        <v>0.35461796261502732</v>
      </c>
      <c r="U9">
        <v>0</v>
      </c>
      <c r="V9">
        <v>3</v>
      </c>
      <c r="Y9" t="s">
        <v>993</v>
      </c>
      <c r="Z9" t="s">
        <v>975</v>
      </c>
      <c r="AA9">
        <f>-1/8.76</f>
        <v>-0.11415525114155252</v>
      </c>
      <c r="AB9" s="4">
        <f>VLOOKUP(Z9,$F$3:$J$11,2,FALSE)</f>
        <v>0.15844369919854487</v>
      </c>
      <c r="AC9">
        <f>AB9*$W$1</f>
        <v>3.1688739839708976E-2</v>
      </c>
      <c r="AD9">
        <v>0</v>
      </c>
      <c r="AE9">
        <v>3</v>
      </c>
    </row>
    <row r="10" spans="6:31" ht="14.65" customHeight="1" x14ac:dyDescent="0.45">
      <c r="F10" t="s">
        <v>994</v>
      </c>
      <c r="G10" s="2">
        <v>4.1511000415110001E-2</v>
      </c>
      <c r="H10" s="2">
        <v>0.14272333450415642</v>
      </c>
      <c r="I10" s="2">
        <v>4.0424449979244499E-2</v>
      </c>
      <c r="J10" s="2">
        <v>0.14275360852558924</v>
      </c>
      <c r="N10" t="s">
        <v>992</v>
      </c>
      <c r="O10" t="s">
        <v>987</v>
      </c>
      <c r="P10" s="3" t="s">
        <v>989</v>
      </c>
      <c r="Q10" s="4">
        <f>-1/8.76</f>
        <v>-0.11415525114155252</v>
      </c>
      <c r="S10" s="4">
        <f>VLOOKUP(O10,$F$3:$J$11,3,FALSE)</f>
        <v>0</v>
      </c>
      <c r="T10" s="4">
        <f>MIN(S10*$U$1,0.95)</f>
        <v>0</v>
      </c>
      <c r="U10">
        <v>0</v>
      </c>
      <c r="V10">
        <v>3</v>
      </c>
      <c r="Y10" t="s">
        <v>995</v>
      </c>
      <c r="Z10" t="s">
        <v>991</v>
      </c>
      <c r="AA10">
        <f>-1/8.76</f>
        <v>-0.11415525114155252</v>
      </c>
      <c r="AB10" s="4">
        <f>VLOOKUP(Z10,$F$3:$J$11,2,FALSE)</f>
        <v>0.21980609961926442</v>
      </c>
      <c r="AC10" s="5">
        <f>AB10*$W$1</f>
        <v>4.3961219923852886E-2</v>
      </c>
      <c r="AD10">
        <v>0</v>
      </c>
      <c r="AE10">
        <v>3</v>
      </c>
    </row>
    <row r="11" spans="6:31" ht="14.65" customHeight="1" x14ac:dyDescent="0.45">
      <c r="F11" t="s">
        <v>996</v>
      </c>
      <c r="G11" s="2">
        <v>0.15298675050527735</v>
      </c>
      <c r="H11" s="2">
        <v>0.21875892562381996</v>
      </c>
      <c r="I11" s="2">
        <v>0.15299618343829349</v>
      </c>
      <c r="J11" s="2">
        <v>0.21932870906215302</v>
      </c>
    </row>
    <row r="15" spans="6:31" x14ac:dyDescent="0.45">
      <c r="X15" s="6">
        <v>2.5</v>
      </c>
      <c r="Y15" s="7" t="s">
        <v>997</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E1C5-AB46-4FD2-8CDF-29C7A7022924}">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4256</v>
      </c>
      <c r="C11">
        <v>10</v>
      </c>
      <c r="D11">
        <v>18</v>
      </c>
      <c r="E11">
        <v>6</v>
      </c>
      <c r="F11">
        <v>10</v>
      </c>
      <c r="G11">
        <v>0.1</v>
      </c>
      <c r="H11">
        <v>0.3</v>
      </c>
      <c r="I11">
        <v>0</v>
      </c>
      <c r="J11">
        <v>0</v>
      </c>
    </row>
    <row r="14" spans="2:10" x14ac:dyDescent="0.45">
      <c r="B14" t="s">
        <v>5682</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10</v>
      </c>
      <c r="G20">
        <f>D11</f>
        <v>18</v>
      </c>
      <c r="H20">
        <v>4</v>
      </c>
    </row>
    <row r="21" spans="1:8" x14ac:dyDescent="0.45">
      <c r="A21" t="s">
        <v>1014</v>
      </c>
      <c r="B21" t="str">
        <f t="shared" ref="B21:B23" si="0">"uce_buildrate_"&amp;A21</f>
        <v>uce_buildrate_wind</v>
      </c>
      <c r="C21" t="str">
        <f>A21&amp;"*"</f>
        <v>wind*</v>
      </c>
      <c r="D21" t="s">
        <v>1013</v>
      </c>
      <c r="E21">
        <v>1</v>
      </c>
      <c r="F21">
        <f>E11</f>
        <v>6</v>
      </c>
      <c r="G21">
        <f>F11</f>
        <v>10</v>
      </c>
      <c r="H21">
        <v>4</v>
      </c>
    </row>
    <row r="22" spans="1:8" x14ac:dyDescent="0.45">
      <c r="A22" t="s">
        <v>979</v>
      </c>
      <c r="B22" t="str">
        <f t="shared" si="0"/>
        <v>uce_buildrate_hydro</v>
      </c>
      <c r="C22" t="str">
        <f t="shared" ref="C22:C23" si="1">A22</f>
        <v>hydro</v>
      </c>
      <c r="D22" t="s">
        <v>1013</v>
      </c>
      <c r="E22">
        <v>1</v>
      </c>
      <c r="F22">
        <f>G11</f>
        <v>0.1</v>
      </c>
      <c r="G22">
        <f>H11</f>
        <v>0.3</v>
      </c>
      <c r="H22">
        <v>4</v>
      </c>
    </row>
    <row r="23" spans="1:8" x14ac:dyDescent="0.45">
      <c r="A23" t="s">
        <v>987</v>
      </c>
      <c r="B23" t="str">
        <f t="shared" si="0"/>
        <v>uce_buildrate_nuclear</v>
      </c>
      <c r="C23" t="str">
        <f t="shared" si="1"/>
        <v>nuclear</v>
      </c>
      <c r="D23" t="s">
        <v>1013</v>
      </c>
      <c r="E23">
        <v>1</v>
      </c>
      <c r="F23">
        <f>I11</f>
        <v>0</v>
      </c>
      <c r="G23">
        <f>J11</f>
        <v>0</v>
      </c>
      <c r="H23">
        <v>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FC47-FF61-4ABF-ABEB-49AFDAF22B3A}">
  <dimension ref="A1:I67"/>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4940</v>
      </c>
      <c r="C5" t="s">
        <v>4941</v>
      </c>
      <c r="D5">
        <v>1</v>
      </c>
      <c r="E5">
        <v>2</v>
      </c>
      <c r="G5" t="s">
        <v>4940</v>
      </c>
      <c r="H5" t="s">
        <v>4941</v>
      </c>
      <c r="I5">
        <v>-1</v>
      </c>
    </row>
    <row r="6" spans="1:9" x14ac:dyDescent="0.45">
      <c r="A6" t="s">
        <v>1020</v>
      </c>
      <c r="B6" t="s">
        <v>4942</v>
      </c>
      <c r="C6" t="s">
        <v>4943</v>
      </c>
      <c r="D6">
        <v>1</v>
      </c>
      <c r="E6">
        <v>2</v>
      </c>
      <c r="G6" t="s">
        <v>4942</v>
      </c>
      <c r="H6" t="s">
        <v>4943</v>
      </c>
      <c r="I6">
        <v>-1</v>
      </c>
    </row>
    <row r="7" spans="1:9" x14ac:dyDescent="0.45">
      <c r="A7" t="s">
        <v>1020</v>
      </c>
      <c r="B7" t="s">
        <v>4944</v>
      </c>
      <c r="C7" t="s">
        <v>4945</v>
      </c>
      <c r="D7">
        <v>1</v>
      </c>
      <c r="E7">
        <v>2</v>
      </c>
      <c r="G7" t="s">
        <v>4944</v>
      </c>
      <c r="H7" t="s">
        <v>4945</v>
      </c>
      <c r="I7">
        <v>-1</v>
      </c>
    </row>
    <row r="8" spans="1:9" x14ac:dyDescent="0.45">
      <c r="A8" t="s">
        <v>1020</v>
      </c>
      <c r="B8" t="s">
        <v>4946</v>
      </c>
      <c r="C8" t="s">
        <v>4947</v>
      </c>
      <c r="D8">
        <v>1</v>
      </c>
      <c r="E8">
        <v>2</v>
      </c>
      <c r="G8" t="s">
        <v>4946</v>
      </c>
      <c r="H8" t="s">
        <v>4947</v>
      </c>
      <c r="I8">
        <v>-1</v>
      </c>
    </row>
    <row r="9" spans="1:9" x14ac:dyDescent="0.45">
      <c r="A9" t="s">
        <v>1020</v>
      </c>
      <c r="B9" t="s">
        <v>4948</v>
      </c>
      <c r="C9" t="s">
        <v>4949</v>
      </c>
      <c r="D9">
        <v>1</v>
      </c>
      <c r="E9">
        <v>2</v>
      </c>
      <c r="G9" t="s">
        <v>4948</v>
      </c>
      <c r="H9" t="s">
        <v>4949</v>
      </c>
      <c r="I9">
        <v>-1</v>
      </c>
    </row>
    <row r="10" spans="1:9" x14ac:dyDescent="0.45">
      <c r="A10" t="s">
        <v>1020</v>
      </c>
      <c r="B10" t="s">
        <v>4950</v>
      </c>
      <c r="C10" t="s">
        <v>4951</v>
      </c>
      <c r="D10">
        <v>1</v>
      </c>
      <c r="E10">
        <v>2</v>
      </c>
      <c r="G10" t="s">
        <v>4950</v>
      </c>
      <c r="H10" t="s">
        <v>4951</v>
      </c>
      <c r="I10">
        <v>-1</v>
      </c>
    </row>
    <row r="11" spans="1:9" x14ac:dyDescent="0.45">
      <c r="A11" t="s">
        <v>1020</v>
      </c>
      <c r="B11" t="s">
        <v>4952</v>
      </c>
      <c r="C11" t="s">
        <v>4953</v>
      </c>
      <c r="D11">
        <v>1</v>
      </c>
      <c r="E11">
        <v>2</v>
      </c>
      <c r="G11" t="s">
        <v>4952</v>
      </c>
      <c r="H11" t="s">
        <v>4953</v>
      </c>
      <c r="I11">
        <v>-1</v>
      </c>
    </row>
    <row r="12" spans="1:9" x14ac:dyDescent="0.45">
      <c r="A12" t="s">
        <v>1020</v>
      </c>
      <c r="B12" t="s">
        <v>4954</v>
      </c>
      <c r="C12" t="s">
        <v>4955</v>
      </c>
      <c r="D12">
        <v>1</v>
      </c>
      <c r="E12">
        <v>2</v>
      </c>
      <c r="G12" t="s">
        <v>4954</v>
      </c>
      <c r="H12" t="s">
        <v>4955</v>
      </c>
      <c r="I12">
        <v>-1</v>
      </c>
    </row>
    <row r="13" spans="1:9" x14ac:dyDescent="0.45">
      <c r="A13" t="s">
        <v>1020</v>
      </c>
      <c r="B13" t="s">
        <v>4956</v>
      </c>
      <c r="C13" t="s">
        <v>4957</v>
      </c>
      <c r="D13">
        <v>1</v>
      </c>
      <c r="E13">
        <v>2</v>
      </c>
      <c r="G13" t="s">
        <v>4956</v>
      </c>
      <c r="H13" t="s">
        <v>4957</v>
      </c>
      <c r="I13">
        <v>-1</v>
      </c>
    </row>
    <row r="14" spans="1:9" x14ac:dyDescent="0.45">
      <c r="A14" t="s">
        <v>1020</v>
      </c>
      <c r="B14" t="s">
        <v>4958</v>
      </c>
      <c r="C14" t="s">
        <v>4959</v>
      </c>
      <c r="D14">
        <v>1</v>
      </c>
      <c r="E14">
        <v>2</v>
      </c>
      <c r="G14" t="s">
        <v>4958</v>
      </c>
      <c r="H14" t="s">
        <v>4959</v>
      </c>
      <c r="I14">
        <v>-1</v>
      </c>
    </row>
    <row r="15" spans="1:9" x14ac:dyDescent="0.45">
      <c r="A15" t="s">
        <v>1020</v>
      </c>
      <c r="B15" t="s">
        <v>4960</v>
      </c>
      <c r="C15" t="s">
        <v>4961</v>
      </c>
      <c r="D15">
        <v>1</v>
      </c>
      <c r="E15">
        <v>2</v>
      </c>
      <c r="G15" t="s">
        <v>4960</v>
      </c>
      <c r="H15" t="s">
        <v>4961</v>
      </c>
      <c r="I15">
        <v>-1</v>
      </c>
    </row>
    <row r="16" spans="1:9" x14ac:dyDescent="0.45">
      <c r="A16" t="s">
        <v>1020</v>
      </c>
      <c r="B16" t="s">
        <v>4962</v>
      </c>
      <c r="C16" t="s">
        <v>4963</v>
      </c>
      <c r="D16">
        <v>1</v>
      </c>
      <c r="E16">
        <v>2</v>
      </c>
      <c r="G16" t="s">
        <v>4962</v>
      </c>
      <c r="H16" t="s">
        <v>4963</v>
      </c>
      <c r="I16">
        <v>-1</v>
      </c>
    </row>
    <row r="17" spans="1:9" x14ac:dyDescent="0.45">
      <c r="A17" t="s">
        <v>1020</v>
      </c>
      <c r="B17" t="s">
        <v>4964</v>
      </c>
      <c r="C17" t="s">
        <v>4965</v>
      </c>
      <c r="D17">
        <v>1</v>
      </c>
      <c r="E17">
        <v>2</v>
      </c>
      <c r="G17" t="s">
        <v>4964</v>
      </c>
      <c r="H17" t="s">
        <v>4965</v>
      </c>
      <c r="I17">
        <v>-1</v>
      </c>
    </row>
    <row r="18" spans="1:9" x14ac:dyDescent="0.45">
      <c r="A18" t="s">
        <v>1020</v>
      </c>
      <c r="B18" t="s">
        <v>4966</v>
      </c>
      <c r="C18" t="s">
        <v>4967</v>
      </c>
      <c r="D18">
        <v>1</v>
      </c>
      <c r="E18">
        <v>2</v>
      </c>
      <c r="G18" t="s">
        <v>4966</v>
      </c>
      <c r="H18" t="s">
        <v>4967</v>
      </c>
      <c r="I18">
        <v>-1</v>
      </c>
    </row>
    <row r="19" spans="1:9" x14ac:dyDescent="0.45">
      <c r="A19" t="s">
        <v>1020</v>
      </c>
      <c r="B19" t="s">
        <v>4968</v>
      </c>
      <c r="C19" t="s">
        <v>4969</v>
      </c>
      <c r="D19">
        <v>1</v>
      </c>
      <c r="E19">
        <v>2</v>
      </c>
      <c r="G19" t="s">
        <v>4968</v>
      </c>
      <c r="H19" t="s">
        <v>4969</v>
      </c>
      <c r="I19">
        <v>-1</v>
      </c>
    </row>
    <row r="20" spans="1:9" x14ac:dyDescent="0.45">
      <c r="A20" t="s">
        <v>1020</v>
      </c>
      <c r="B20" t="s">
        <v>4970</v>
      </c>
      <c r="C20" t="s">
        <v>4971</v>
      </c>
      <c r="D20">
        <v>1</v>
      </c>
      <c r="E20">
        <v>2</v>
      </c>
      <c r="G20" t="s">
        <v>4970</v>
      </c>
      <c r="H20" t="s">
        <v>4971</v>
      </c>
      <c r="I20">
        <v>-1</v>
      </c>
    </row>
    <row r="21" spans="1:9" x14ac:dyDescent="0.45">
      <c r="A21" t="s">
        <v>1020</v>
      </c>
      <c r="B21" t="s">
        <v>4972</v>
      </c>
      <c r="C21" t="s">
        <v>4973</v>
      </c>
      <c r="D21">
        <v>1</v>
      </c>
      <c r="E21">
        <v>2</v>
      </c>
      <c r="G21" t="s">
        <v>4972</v>
      </c>
      <c r="H21" t="s">
        <v>4973</v>
      </c>
      <c r="I21">
        <v>-1</v>
      </c>
    </row>
    <row r="22" spans="1:9" x14ac:dyDescent="0.45">
      <c r="A22" t="s">
        <v>1020</v>
      </c>
      <c r="B22" t="s">
        <v>4974</v>
      </c>
      <c r="C22" t="s">
        <v>4975</v>
      </c>
      <c r="D22">
        <v>1</v>
      </c>
      <c r="E22">
        <v>2</v>
      </c>
      <c r="G22" t="s">
        <v>4974</v>
      </c>
      <c r="H22" t="s">
        <v>4975</v>
      </c>
      <c r="I22">
        <v>-1</v>
      </c>
    </row>
    <row r="23" spans="1:9" x14ac:dyDescent="0.45">
      <c r="A23" t="s">
        <v>1020</v>
      </c>
      <c r="B23" t="s">
        <v>4976</v>
      </c>
      <c r="C23" t="s">
        <v>4977</v>
      </c>
      <c r="D23">
        <v>1</v>
      </c>
      <c r="E23">
        <v>2</v>
      </c>
      <c r="G23" t="s">
        <v>4976</v>
      </c>
      <c r="H23" t="s">
        <v>4977</v>
      </c>
      <c r="I23">
        <v>-1</v>
      </c>
    </row>
    <row r="24" spans="1:9" x14ac:dyDescent="0.45">
      <c r="A24" t="s">
        <v>1020</v>
      </c>
      <c r="B24" t="s">
        <v>4978</v>
      </c>
      <c r="C24" t="s">
        <v>4979</v>
      </c>
      <c r="D24">
        <v>1</v>
      </c>
      <c r="E24">
        <v>2</v>
      </c>
      <c r="G24" t="s">
        <v>4978</v>
      </c>
      <c r="H24" t="s">
        <v>4979</v>
      </c>
      <c r="I24">
        <v>-1</v>
      </c>
    </row>
    <row r="25" spans="1:9" x14ac:dyDescent="0.45">
      <c r="A25" t="s">
        <v>1020</v>
      </c>
      <c r="B25" t="s">
        <v>4980</v>
      </c>
      <c r="C25" t="s">
        <v>4981</v>
      </c>
      <c r="D25">
        <v>1</v>
      </c>
      <c r="E25">
        <v>2</v>
      </c>
      <c r="G25" t="s">
        <v>4980</v>
      </c>
      <c r="H25" t="s">
        <v>4981</v>
      </c>
      <c r="I25">
        <v>-1</v>
      </c>
    </row>
    <row r="26" spans="1:9" x14ac:dyDescent="0.45">
      <c r="A26" t="s">
        <v>1020</v>
      </c>
      <c r="B26" t="s">
        <v>4982</v>
      </c>
      <c r="C26" t="s">
        <v>4983</v>
      </c>
      <c r="D26">
        <v>1</v>
      </c>
      <c r="E26">
        <v>2</v>
      </c>
      <c r="G26" t="s">
        <v>4982</v>
      </c>
      <c r="H26" t="s">
        <v>4983</v>
      </c>
      <c r="I26">
        <v>-1</v>
      </c>
    </row>
    <row r="27" spans="1:9" x14ac:dyDescent="0.45">
      <c r="A27" t="s">
        <v>1020</v>
      </c>
      <c r="B27" t="s">
        <v>4984</v>
      </c>
      <c r="C27" t="s">
        <v>4985</v>
      </c>
      <c r="D27">
        <v>1</v>
      </c>
      <c r="E27">
        <v>2</v>
      </c>
      <c r="G27" t="s">
        <v>4984</v>
      </c>
      <c r="H27" t="s">
        <v>4985</v>
      </c>
      <c r="I27">
        <v>-1</v>
      </c>
    </row>
    <row r="28" spans="1:9" x14ac:dyDescent="0.45">
      <c r="A28" t="s">
        <v>1020</v>
      </c>
      <c r="B28" t="s">
        <v>4986</v>
      </c>
      <c r="C28" t="s">
        <v>4987</v>
      </c>
      <c r="D28">
        <v>1</v>
      </c>
      <c r="E28">
        <v>2</v>
      </c>
      <c r="G28" t="s">
        <v>4986</v>
      </c>
      <c r="H28" t="s">
        <v>4987</v>
      </c>
      <c r="I28">
        <v>-1</v>
      </c>
    </row>
    <row r="29" spans="1:9" x14ac:dyDescent="0.45">
      <c r="A29" t="s">
        <v>1020</v>
      </c>
      <c r="B29" t="s">
        <v>4988</v>
      </c>
      <c r="C29" t="s">
        <v>4989</v>
      </c>
      <c r="D29">
        <v>1</v>
      </c>
      <c r="E29">
        <v>2</v>
      </c>
      <c r="G29" t="s">
        <v>4988</v>
      </c>
      <c r="H29" t="s">
        <v>4989</v>
      </c>
      <c r="I29">
        <v>-1</v>
      </c>
    </row>
    <row r="30" spans="1:9" x14ac:dyDescent="0.45">
      <c r="A30" t="s">
        <v>1020</v>
      </c>
      <c r="B30" t="s">
        <v>4990</v>
      </c>
      <c r="C30" t="s">
        <v>4991</v>
      </c>
      <c r="D30">
        <v>1</v>
      </c>
      <c r="E30">
        <v>2</v>
      </c>
      <c r="G30" t="s">
        <v>4990</v>
      </c>
      <c r="H30" t="s">
        <v>4991</v>
      </c>
      <c r="I30">
        <v>-1</v>
      </c>
    </row>
    <row r="31" spans="1:9" x14ac:dyDescent="0.45">
      <c r="A31" t="s">
        <v>1020</v>
      </c>
      <c r="B31" t="s">
        <v>4992</v>
      </c>
      <c r="C31" t="s">
        <v>4993</v>
      </c>
      <c r="D31">
        <v>1</v>
      </c>
      <c r="E31">
        <v>2</v>
      </c>
      <c r="G31" t="s">
        <v>4992</v>
      </c>
      <c r="H31" t="s">
        <v>4993</v>
      </c>
      <c r="I31">
        <v>-1</v>
      </c>
    </row>
    <row r="32" spans="1:9" x14ac:dyDescent="0.45">
      <c r="A32" t="s">
        <v>1020</v>
      </c>
      <c r="B32" t="s">
        <v>4994</v>
      </c>
      <c r="C32" t="s">
        <v>4995</v>
      </c>
      <c r="D32">
        <v>1</v>
      </c>
      <c r="E32">
        <v>2</v>
      </c>
      <c r="G32" t="s">
        <v>4994</v>
      </c>
      <c r="H32" t="s">
        <v>4995</v>
      </c>
      <c r="I32">
        <v>-1</v>
      </c>
    </row>
    <row r="33" spans="1:9" x14ac:dyDescent="0.45">
      <c r="A33" t="s">
        <v>1020</v>
      </c>
      <c r="B33" t="s">
        <v>4996</v>
      </c>
      <c r="C33" t="s">
        <v>4997</v>
      </c>
      <c r="D33">
        <v>1</v>
      </c>
      <c r="E33">
        <v>2</v>
      </c>
      <c r="G33" t="s">
        <v>4996</v>
      </c>
      <c r="H33" t="s">
        <v>4997</v>
      </c>
      <c r="I33">
        <v>-1</v>
      </c>
    </row>
    <row r="34" spans="1:9" x14ac:dyDescent="0.45">
      <c r="A34" t="s">
        <v>1020</v>
      </c>
      <c r="B34" t="s">
        <v>4998</v>
      </c>
      <c r="C34" t="s">
        <v>4999</v>
      </c>
      <c r="D34">
        <v>1</v>
      </c>
      <c r="E34">
        <v>2</v>
      </c>
      <c r="G34" t="s">
        <v>4998</v>
      </c>
      <c r="H34" t="s">
        <v>4999</v>
      </c>
      <c r="I34">
        <v>-1</v>
      </c>
    </row>
    <row r="35" spans="1:9" x14ac:dyDescent="0.45">
      <c r="A35" t="s">
        <v>1020</v>
      </c>
      <c r="B35" t="s">
        <v>5000</v>
      </c>
      <c r="C35" t="s">
        <v>5001</v>
      </c>
      <c r="D35">
        <v>1</v>
      </c>
      <c r="E35">
        <v>2</v>
      </c>
      <c r="G35" t="s">
        <v>5000</v>
      </c>
      <c r="H35" t="s">
        <v>5001</v>
      </c>
      <c r="I35">
        <v>-1</v>
      </c>
    </row>
    <row r="36" spans="1:9" x14ac:dyDescent="0.45">
      <c r="A36" t="s">
        <v>1020</v>
      </c>
      <c r="B36" t="s">
        <v>5002</v>
      </c>
      <c r="C36" t="s">
        <v>5003</v>
      </c>
      <c r="D36">
        <v>1</v>
      </c>
      <c r="E36">
        <v>2</v>
      </c>
      <c r="G36" t="s">
        <v>5002</v>
      </c>
      <c r="H36" t="s">
        <v>5003</v>
      </c>
      <c r="I36">
        <v>-1</v>
      </c>
    </row>
    <row r="37" spans="1:9" x14ac:dyDescent="0.45">
      <c r="A37" t="s">
        <v>1020</v>
      </c>
      <c r="B37" t="s">
        <v>5004</v>
      </c>
      <c r="C37" t="s">
        <v>5005</v>
      </c>
      <c r="D37">
        <v>1</v>
      </c>
      <c r="E37">
        <v>2</v>
      </c>
      <c r="G37" t="s">
        <v>5004</v>
      </c>
      <c r="H37" t="s">
        <v>5005</v>
      </c>
      <c r="I37">
        <v>-1</v>
      </c>
    </row>
    <row r="38" spans="1:9" x14ac:dyDescent="0.45">
      <c r="A38" t="s">
        <v>1020</v>
      </c>
      <c r="B38" t="s">
        <v>5006</v>
      </c>
      <c r="C38" t="s">
        <v>5007</v>
      </c>
      <c r="D38">
        <v>1</v>
      </c>
      <c r="E38">
        <v>2</v>
      </c>
      <c r="G38" t="s">
        <v>5006</v>
      </c>
      <c r="H38" t="s">
        <v>5007</v>
      </c>
      <c r="I38">
        <v>-1</v>
      </c>
    </row>
    <row r="39" spans="1:9" x14ac:dyDescent="0.45">
      <c r="A39" t="s">
        <v>1020</v>
      </c>
      <c r="B39" t="s">
        <v>5008</v>
      </c>
      <c r="C39" t="s">
        <v>5009</v>
      </c>
      <c r="D39">
        <v>1</v>
      </c>
      <c r="E39">
        <v>2</v>
      </c>
      <c r="G39" t="s">
        <v>5008</v>
      </c>
      <c r="H39" t="s">
        <v>5009</v>
      </c>
      <c r="I39">
        <v>-1</v>
      </c>
    </row>
    <row r="40" spans="1:9" x14ac:dyDescent="0.45">
      <c r="A40" t="s">
        <v>1020</v>
      </c>
      <c r="B40" t="s">
        <v>5010</v>
      </c>
      <c r="C40" t="s">
        <v>5011</v>
      </c>
      <c r="D40">
        <v>1</v>
      </c>
      <c r="E40">
        <v>2</v>
      </c>
      <c r="G40" t="s">
        <v>5010</v>
      </c>
      <c r="H40" t="s">
        <v>5011</v>
      </c>
      <c r="I40">
        <v>-1</v>
      </c>
    </row>
    <row r="41" spans="1:9" x14ac:dyDescent="0.45">
      <c r="A41" t="s">
        <v>1020</v>
      </c>
      <c r="B41" t="s">
        <v>5012</v>
      </c>
      <c r="C41" t="s">
        <v>5013</v>
      </c>
      <c r="D41">
        <v>1</v>
      </c>
      <c r="E41">
        <v>2</v>
      </c>
      <c r="G41" t="s">
        <v>5012</v>
      </c>
      <c r="H41" t="s">
        <v>5013</v>
      </c>
      <c r="I41">
        <v>-1</v>
      </c>
    </row>
    <row r="42" spans="1:9" x14ac:dyDescent="0.45">
      <c r="A42" t="s">
        <v>1020</v>
      </c>
      <c r="B42" t="s">
        <v>5014</v>
      </c>
      <c r="C42" t="s">
        <v>5015</v>
      </c>
      <c r="D42">
        <v>1</v>
      </c>
      <c r="E42">
        <v>2</v>
      </c>
      <c r="G42" t="s">
        <v>5014</v>
      </c>
      <c r="H42" t="s">
        <v>5015</v>
      </c>
      <c r="I42">
        <v>-1</v>
      </c>
    </row>
    <row r="43" spans="1:9" x14ac:dyDescent="0.45">
      <c r="A43" t="s">
        <v>1020</v>
      </c>
      <c r="B43" t="s">
        <v>5016</v>
      </c>
      <c r="C43" t="s">
        <v>5017</v>
      </c>
      <c r="D43">
        <v>1</v>
      </c>
      <c r="E43">
        <v>2</v>
      </c>
      <c r="G43" t="s">
        <v>5016</v>
      </c>
      <c r="H43" t="s">
        <v>5017</v>
      </c>
      <c r="I43">
        <v>-1</v>
      </c>
    </row>
    <row r="44" spans="1:9" x14ac:dyDescent="0.45">
      <c r="A44" t="s">
        <v>1020</v>
      </c>
      <c r="B44" t="s">
        <v>5018</v>
      </c>
      <c r="C44" t="s">
        <v>5019</v>
      </c>
      <c r="D44">
        <v>1</v>
      </c>
      <c r="E44">
        <v>2</v>
      </c>
      <c r="G44" t="s">
        <v>5018</v>
      </c>
      <c r="H44" t="s">
        <v>5019</v>
      </c>
      <c r="I44">
        <v>-1</v>
      </c>
    </row>
    <row r="45" spans="1:9" x14ac:dyDescent="0.45">
      <c r="A45" t="s">
        <v>1020</v>
      </c>
      <c r="B45" t="s">
        <v>5020</v>
      </c>
      <c r="C45" t="s">
        <v>5021</v>
      </c>
      <c r="D45">
        <v>1</v>
      </c>
      <c r="E45">
        <v>2</v>
      </c>
      <c r="G45" t="s">
        <v>5020</v>
      </c>
      <c r="H45" t="s">
        <v>5021</v>
      </c>
      <c r="I45">
        <v>-1</v>
      </c>
    </row>
    <row r="46" spans="1:9" x14ac:dyDescent="0.45">
      <c r="A46" t="s">
        <v>1020</v>
      </c>
      <c r="B46" t="s">
        <v>5022</v>
      </c>
      <c r="C46" t="s">
        <v>5023</v>
      </c>
      <c r="D46">
        <v>1</v>
      </c>
      <c r="E46">
        <v>2</v>
      </c>
      <c r="G46" t="s">
        <v>5022</v>
      </c>
      <c r="H46" t="s">
        <v>5023</v>
      </c>
      <c r="I46">
        <v>-1</v>
      </c>
    </row>
    <row r="47" spans="1:9" x14ac:dyDescent="0.45">
      <c r="A47" t="s">
        <v>1020</v>
      </c>
      <c r="B47" t="s">
        <v>5024</v>
      </c>
      <c r="C47" t="s">
        <v>5025</v>
      </c>
      <c r="D47">
        <v>1</v>
      </c>
      <c r="E47">
        <v>2</v>
      </c>
      <c r="G47" t="s">
        <v>5024</v>
      </c>
      <c r="H47" t="s">
        <v>5025</v>
      </c>
      <c r="I47">
        <v>-1</v>
      </c>
    </row>
    <row r="48" spans="1:9" x14ac:dyDescent="0.45">
      <c r="A48" t="s">
        <v>1020</v>
      </c>
      <c r="B48" t="s">
        <v>5026</v>
      </c>
      <c r="C48" t="s">
        <v>5027</v>
      </c>
      <c r="D48">
        <v>1</v>
      </c>
      <c r="E48">
        <v>2</v>
      </c>
      <c r="G48" t="s">
        <v>5026</v>
      </c>
      <c r="H48" t="s">
        <v>5027</v>
      </c>
      <c r="I48">
        <v>-1</v>
      </c>
    </row>
    <row r="49" spans="1:9" x14ac:dyDescent="0.45">
      <c r="A49" t="s">
        <v>1020</v>
      </c>
      <c r="B49" t="s">
        <v>5028</v>
      </c>
      <c r="C49" t="s">
        <v>5029</v>
      </c>
      <c r="D49">
        <v>1</v>
      </c>
      <c r="E49">
        <v>2</v>
      </c>
      <c r="G49" t="s">
        <v>5028</v>
      </c>
      <c r="H49" t="s">
        <v>5029</v>
      </c>
      <c r="I49">
        <v>-1</v>
      </c>
    </row>
    <row r="50" spans="1:9" x14ac:dyDescent="0.45">
      <c r="A50" t="s">
        <v>1020</v>
      </c>
      <c r="B50" t="s">
        <v>5030</v>
      </c>
      <c r="C50" t="s">
        <v>5031</v>
      </c>
      <c r="D50">
        <v>1</v>
      </c>
      <c r="E50">
        <v>2</v>
      </c>
      <c r="G50" t="s">
        <v>5030</v>
      </c>
      <c r="H50" t="s">
        <v>5031</v>
      </c>
      <c r="I50">
        <v>-1</v>
      </c>
    </row>
    <row r="51" spans="1:9" x14ac:dyDescent="0.45">
      <c r="A51" t="s">
        <v>1020</v>
      </c>
      <c r="B51" t="s">
        <v>5032</v>
      </c>
      <c r="C51" t="s">
        <v>5033</v>
      </c>
      <c r="D51">
        <v>1</v>
      </c>
      <c r="E51">
        <v>2</v>
      </c>
      <c r="G51" t="s">
        <v>5032</v>
      </c>
      <c r="H51" t="s">
        <v>5033</v>
      </c>
      <c r="I51">
        <v>-1</v>
      </c>
    </row>
    <row r="52" spans="1:9" x14ac:dyDescent="0.45">
      <c r="A52" t="s">
        <v>1020</v>
      </c>
      <c r="B52" t="s">
        <v>5034</v>
      </c>
      <c r="C52" t="s">
        <v>5035</v>
      </c>
      <c r="D52">
        <v>1</v>
      </c>
      <c r="E52">
        <v>2</v>
      </c>
      <c r="G52" t="s">
        <v>5034</v>
      </c>
      <c r="H52" t="s">
        <v>5035</v>
      </c>
      <c r="I52">
        <v>-1</v>
      </c>
    </row>
    <row r="53" spans="1:9" x14ac:dyDescent="0.45">
      <c r="A53" t="s">
        <v>1020</v>
      </c>
      <c r="B53" t="s">
        <v>5036</v>
      </c>
      <c r="C53" t="s">
        <v>5037</v>
      </c>
      <c r="D53">
        <v>1</v>
      </c>
      <c r="E53">
        <v>2</v>
      </c>
      <c r="G53" t="s">
        <v>5036</v>
      </c>
      <c r="H53" t="s">
        <v>5037</v>
      </c>
      <c r="I53">
        <v>-1</v>
      </c>
    </row>
    <row r="54" spans="1:9" x14ac:dyDescent="0.45">
      <c r="A54" t="s">
        <v>1020</v>
      </c>
      <c r="B54" t="s">
        <v>5038</v>
      </c>
      <c r="C54" t="s">
        <v>5039</v>
      </c>
      <c r="D54">
        <v>1</v>
      </c>
      <c r="E54">
        <v>2</v>
      </c>
      <c r="G54" t="s">
        <v>5038</v>
      </c>
      <c r="H54" t="s">
        <v>5039</v>
      </c>
      <c r="I54">
        <v>-1</v>
      </c>
    </row>
    <row r="55" spans="1:9" x14ac:dyDescent="0.45">
      <c r="A55" t="s">
        <v>1020</v>
      </c>
      <c r="B55" t="s">
        <v>5040</v>
      </c>
      <c r="C55" t="s">
        <v>5041</v>
      </c>
      <c r="D55">
        <v>1</v>
      </c>
      <c r="E55">
        <v>2</v>
      </c>
      <c r="G55" t="s">
        <v>5040</v>
      </c>
      <c r="H55" t="s">
        <v>5041</v>
      </c>
      <c r="I55">
        <v>-1</v>
      </c>
    </row>
    <row r="56" spans="1:9" x14ac:dyDescent="0.45">
      <c r="A56" t="s">
        <v>1020</v>
      </c>
      <c r="B56" t="s">
        <v>5042</v>
      </c>
      <c r="C56" t="s">
        <v>5043</v>
      </c>
      <c r="D56">
        <v>1</v>
      </c>
      <c r="E56">
        <v>2</v>
      </c>
      <c r="G56" t="s">
        <v>5042</v>
      </c>
      <c r="H56" t="s">
        <v>5043</v>
      </c>
      <c r="I56">
        <v>-1</v>
      </c>
    </row>
    <row r="57" spans="1:9" x14ac:dyDescent="0.45">
      <c r="A57" t="s">
        <v>1020</v>
      </c>
      <c r="B57" t="s">
        <v>5044</v>
      </c>
      <c r="C57" t="s">
        <v>5045</v>
      </c>
      <c r="D57">
        <v>1</v>
      </c>
      <c r="E57">
        <v>2</v>
      </c>
      <c r="G57" t="s">
        <v>5044</v>
      </c>
      <c r="H57" t="s">
        <v>5045</v>
      </c>
      <c r="I57">
        <v>-1</v>
      </c>
    </row>
    <row r="58" spans="1:9" x14ac:dyDescent="0.45">
      <c r="A58" t="s">
        <v>1020</v>
      </c>
      <c r="B58" t="s">
        <v>5046</v>
      </c>
      <c r="C58" t="s">
        <v>5047</v>
      </c>
      <c r="D58">
        <v>1</v>
      </c>
      <c r="E58">
        <v>2</v>
      </c>
      <c r="G58" t="s">
        <v>5046</v>
      </c>
      <c r="H58" t="s">
        <v>5047</v>
      </c>
      <c r="I58">
        <v>-1</v>
      </c>
    </row>
    <row r="59" spans="1:9" x14ac:dyDescent="0.45">
      <c r="A59" t="s">
        <v>1020</v>
      </c>
      <c r="B59" t="s">
        <v>5048</v>
      </c>
      <c r="C59" t="s">
        <v>5049</v>
      </c>
      <c r="D59">
        <v>1</v>
      </c>
      <c r="E59">
        <v>2</v>
      </c>
      <c r="G59" t="s">
        <v>5048</v>
      </c>
      <c r="H59" t="s">
        <v>5049</v>
      </c>
      <c r="I59">
        <v>-1</v>
      </c>
    </row>
    <row r="60" spans="1:9" x14ac:dyDescent="0.45">
      <c r="A60" t="s">
        <v>1020</v>
      </c>
      <c r="B60" t="s">
        <v>5050</v>
      </c>
      <c r="C60" t="s">
        <v>5051</v>
      </c>
      <c r="D60">
        <v>1</v>
      </c>
      <c r="E60">
        <v>2</v>
      </c>
      <c r="G60" t="s">
        <v>5050</v>
      </c>
      <c r="H60" t="s">
        <v>5051</v>
      </c>
      <c r="I60">
        <v>-1</v>
      </c>
    </row>
    <row r="61" spans="1:9" x14ac:dyDescent="0.45">
      <c r="A61" t="s">
        <v>1020</v>
      </c>
      <c r="B61" t="s">
        <v>5052</v>
      </c>
      <c r="C61" t="s">
        <v>5053</v>
      </c>
      <c r="D61">
        <v>1</v>
      </c>
      <c r="E61">
        <v>2</v>
      </c>
      <c r="G61" t="s">
        <v>5052</v>
      </c>
      <c r="H61" t="s">
        <v>5053</v>
      </c>
      <c r="I61">
        <v>-1</v>
      </c>
    </row>
    <row r="62" spans="1:9" x14ac:dyDescent="0.45">
      <c r="A62" t="s">
        <v>1020</v>
      </c>
      <c r="B62" t="s">
        <v>5054</v>
      </c>
      <c r="C62" t="s">
        <v>5055</v>
      </c>
      <c r="D62">
        <v>1</v>
      </c>
      <c r="E62">
        <v>2</v>
      </c>
      <c r="G62" t="s">
        <v>5054</v>
      </c>
      <c r="H62" t="s">
        <v>5055</v>
      </c>
      <c r="I62">
        <v>-1</v>
      </c>
    </row>
    <row r="63" spans="1:9" x14ac:dyDescent="0.45">
      <c r="A63" t="s">
        <v>1020</v>
      </c>
      <c r="B63" t="s">
        <v>5056</v>
      </c>
      <c r="C63" t="s">
        <v>5057</v>
      </c>
      <c r="D63">
        <v>1</v>
      </c>
      <c r="E63">
        <v>2</v>
      </c>
      <c r="G63" t="s">
        <v>5056</v>
      </c>
      <c r="H63" t="s">
        <v>5057</v>
      </c>
      <c r="I63">
        <v>-1</v>
      </c>
    </row>
    <row r="64" spans="1:9" x14ac:dyDescent="0.45">
      <c r="A64" t="s">
        <v>1020</v>
      </c>
      <c r="B64" t="s">
        <v>5058</v>
      </c>
      <c r="C64" t="s">
        <v>5059</v>
      </c>
      <c r="D64">
        <v>1</v>
      </c>
      <c r="E64">
        <v>2</v>
      </c>
      <c r="G64" t="s">
        <v>5058</v>
      </c>
      <c r="H64" t="s">
        <v>5059</v>
      </c>
      <c r="I64">
        <v>-1</v>
      </c>
    </row>
    <row r="65" spans="1:9" x14ac:dyDescent="0.45">
      <c r="A65" t="s">
        <v>1020</v>
      </c>
      <c r="B65" t="s">
        <v>5060</v>
      </c>
      <c r="C65" t="s">
        <v>5061</v>
      </c>
      <c r="D65">
        <v>1</v>
      </c>
      <c r="E65">
        <v>2</v>
      </c>
      <c r="G65" t="s">
        <v>5060</v>
      </c>
      <c r="H65" t="s">
        <v>5061</v>
      </c>
      <c r="I65">
        <v>-1</v>
      </c>
    </row>
    <row r="66" spans="1:9" x14ac:dyDescent="0.45">
      <c r="A66" t="s">
        <v>1020</v>
      </c>
      <c r="B66" t="s">
        <v>5062</v>
      </c>
      <c r="C66" t="s">
        <v>5063</v>
      </c>
      <c r="D66">
        <v>1</v>
      </c>
      <c r="E66">
        <v>2</v>
      </c>
      <c r="G66" t="s">
        <v>5062</v>
      </c>
      <c r="H66" t="s">
        <v>5063</v>
      </c>
      <c r="I66">
        <v>-1</v>
      </c>
    </row>
    <row r="67" spans="1:9" x14ac:dyDescent="0.45">
      <c r="A67" t="s">
        <v>1020</v>
      </c>
      <c r="B67" t="s">
        <v>5064</v>
      </c>
      <c r="C67" t="s">
        <v>5065</v>
      </c>
      <c r="D67">
        <v>1</v>
      </c>
      <c r="E67">
        <v>2</v>
      </c>
      <c r="G67" t="s">
        <v>5064</v>
      </c>
      <c r="H67" t="s">
        <v>5065</v>
      </c>
      <c r="I67">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2CD44-F2C5-4075-B88E-33A3D5E230C7}">
  <dimension ref="B2:AG445"/>
  <sheetViews>
    <sheetView workbookViewId="0"/>
  </sheetViews>
  <sheetFormatPr defaultRowHeight="14.25" x14ac:dyDescent="0.45"/>
  <sheetData>
    <row r="2" spans="2:33" x14ac:dyDescent="0.45">
      <c r="B2" t="s">
        <v>0</v>
      </c>
      <c r="H2" t="s">
        <v>0</v>
      </c>
      <c r="P2" t="s">
        <v>1</v>
      </c>
      <c r="U2" t="s">
        <v>1</v>
      </c>
    </row>
    <row r="3" spans="2:33" x14ac:dyDescent="0.45">
      <c r="B3" t="s">
        <v>2</v>
      </c>
      <c r="C3" t="s">
        <v>3</v>
      </c>
      <c r="D3" t="s">
        <v>4</v>
      </c>
      <c r="E3" t="s">
        <v>5</v>
      </c>
      <c r="H3" t="s">
        <v>2</v>
      </c>
      <c r="I3" t="s">
        <v>6</v>
      </c>
      <c r="J3" t="s">
        <v>7</v>
      </c>
      <c r="K3" t="s">
        <v>8</v>
      </c>
      <c r="P3" t="s">
        <v>9</v>
      </c>
      <c r="Q3" t="s">
        <v>2</v>
      </c>
      <c r="R3" t="s">
        <v>6</v>
      </c>
      <c r="S3" t="s">
        <v>10</v>
      </c>
      <c r="U3" t="s">
        <v>9</v>
      </c>
      <c r="V3" t="s">
        <v>2</v>
      </c>
      <c r="W3" t="s">
        <v>6</v>
      </c>
      <c r="X3" t="s">
        <v>10</v>
      </c>
      <c r="AA3" t="s">
        <v>5685</v>
      </c>
    </row>
    <row r="4" spans="2:33" x14ac:dyDescent="0.45">
      <c r="B4" t="s">
        <v>5066</v>
      </c>
      <c r="C4">
        <v>6.0327330000000003</v>
      </c>
      <c r="D4">
        <v>51.7</v>
      </c>
      <c r="E4">
        <v>0.99717999999999996</v>
      </c>
      <c r="H4" t="s">
        <v>5067</v>
      </c>
      <c r="I4" t="s">
        <v>13</v>
      </c>
      <c r="J4">
        <v>0.1103610500052568</v>
      </c>
      <c r="K4" t="s">
        <v>14</v>
      </c>
      <c r="P4" t="s">
        <v>5068</v>
      </c>
      <c r="Q4" t="s">
        <v>5067</v>
      </c>
      <c r="R4" t="s">
        <v>5069</v>
      </c>
      <c r="S4" t="s">
        <v>17</v>
      </c>
      <c r="U4" t="s">
        <v>5068</v>
      </c>
      <c r="V4" t="s">
        <v>5070</v>
      </c>
      <c r="W4" t="s">
        <v>5069</v>
      </c>
      <c r="X4" t="s">
        <v>19</v>
      </c>
      <c r="AA4" t="s">
        <v>6</v>
      </c>
      <c r="AB4" t="s">
        <v>20</v>
      </c>
      <c r="AC4" t="s">
        <v>21</v>
      </c>
      <c r="AD4" t="s">
        <v>22</v>
      </c>
      <c r="AE4" t="s">
        <v>23</v>
      </c>
      <c r="AF4" t="s">
        <v>24</v>
      </c>
      <c r="AG4" t="s">
        <v>25</v>
      </c>
    </row>
    <row r="5" spans="2:33" x14ac:dyDescent="0.45">
      <c r="B5" t="s">
        <v>5071</v>
      </c>
      <c r="C5">
        <v>5.8539840000000005</v>
      </c>
      <c r="D5">
        <v>74.800000000000011</v>
      </c>
      <c r="E5">
        <v>0.99592000000000003</v>
      </c>
      <c r="H5" t="s">
        <v>5067</v>
      </c>
      <c r="I5" t="s">
        <v>27</v>
      </c>
      <c r="J5">
        <v>0.1103610500052568</v>
      </c>
      <c r="K5" t="s">
        <v>14</v>
      </c>
      <c r="P5" t="s">
        <v>5068</v>
      </c>
      <c r="Q5" t="s">
        <v>5072</v>
      </c>
      <c r="R5" t="s">
        <v>5073</v>
      </c>
      <c r="S5" t="s">
        <v>17</v>
      </c>
      <c r="U5" t="s">
        <v>5068</v>
      </c>
      <c r="V5" t="s">
        <v>5074</v>
      </c>
      <c r="W5" t="s">
        <v>5069</v>
      </c>
      <c r="X5" t="s">
        <v>19</v>
      </c>
      <c r="AA5" t="s">
        <v>31</v>
      </c>
      <c r="AB5" t="s">
        <v>32</v>
      </c>
      <c r="AC5">
        <v>2</v>
      </c>
      <c r="AE5">
        <v>0</v>
      </c>
      <c r="AF5" t="s">
        <v>33</v>
      </c>
      <c r="AG5" t="s">
        <v>34</v>
      </c>
    </row>
    <row r="6" spans="2:33" x14ac:dyDescent="0.45">
      <c r="B6" t="s">
        <v>5075</v>
      </c>
      <c r="C6">
        <v>1.7874760000000001</v>
      </c>
      <c r="D6">
        <v>38.5</v>
      </c>
      <c r="E6">
        <v>0.99790000000000001</v>
      </c>
      <c r="H6" t="s">
        <v>5067</v>
      </c>
      <c r="I6" t="s">
        <v>36</v>
      </c>
      <c r="J6">
        <v>0.1103610500052568</v>
      </c>
      <c r="K6" t="s">
        <v>14</v>
      </c>
      <c r="P6" t="s">
        <v>5068</v>
      </c>
      <c r="Q6" t="s">
        <v>5076</v>
      </c>
      <c r="R6" t="s">
        <v>5077</v>
      </c>
      <c r="S6" t="s">
        <v>17</v>
      </c>
      <c r="U6" t="s">
        <v>5068</v>
      </c>
      <c r="V6" t="s">
        <v>5078</v>
      </c>
      <c r="W6" t="s">
        <v>5069</v>
      </c>
      <c r="X6" t="s">
        <v>19</v>
      </c>
      <c r="AA6" t="s">
        <v>31</v>
      </c>
      <c r="AB6" t="s">
        <v>32</v>
      </c>
      <c r="AD6">
        <v>2</v>
      </c>
      <c r="AE6">
        <v>0</v>
      </c>
      <c r="AF6" t="s">
        <v>40</v>
      </c>
    </row>
    <row r="7" spans="2:33" x14ac:dyDescent="0.45">
      <c r="B7" t="s">
        <v>5079</v>
      </c>
      <c r="C7">
        <v>7.5074009999999989</v>
      </c>
      <c r="D7">
        <v>29.700000000000003</v>
      </c>
      <c r="E7">
        <v>0.99838000000000005</v>
      </c>
      <c r="H7" t="s">
        <v>5072</v>
      </c>
      <c r="I7" t="s">
        <v>13</v>
      </c>
      <c r="J7">
        <v>1.5194773244526694E-2</v>
      </c>
      <c r="K7" t="s">
        <v>14</v>
      </c>
      <c r="P7" t="s">
        <v>5068</v>
      </c>
      <c r="Q7" t="s">
        <v>5080</v>
      </c>
      <c r="R7" t="s">
        <v>5081</v>
      </c>
      <c r="S7" t="s">
        <v>17</v>
      </c>
      <c r="U7" t="s">
        <v>5068</v>
      </c>
      <c r="V7" t="s">
        <v>5082</v>
      </c>
      <c r="W7" t="s">
        <v>5069</v>
      </c>
      <c r="X7" t="s">
        <v>19</v>
      </c>
    </row>
    <row r="8" spans="2:33" x14ac:dyDescent="0.45">
      <c r="B8" t="s">
        <v>5083</v>
      </c>
      <c r="C8">
        <v>13.495447</v>
      </c>
      <c r="D8">
        <v>95.7</v>
      </c>
      <c r="E8">
        <v>0.99478</v>
      </c>
      <c r="H8" t="s">
        <v>5072</v>
      </c>
      <c r="I8" t="s">
        <v>27</v>
      </c>
      <c r="J8">
        <v>1.5194773244526694E-2</v>
      </c>
      <c r="K8" t="s">
        <v>14</v>
      </c>
      <c r="P8" t="s">
        <v>5068</v>
      </c>
      <c r="Q8" t="s">
        <v>5084</v>
      </c>
      <c r="R8" t="s">
        <v>5085</v>
      </c>
      <c r="S8" t="s">
        <v>17</v>
      </c>
      <c r="U8" t="s">
        <v>5068</v>
      </c>
      <c r="V8" t="s">
        <v>5086</v>
      </c>
      <c r="W8" t="s">
        <v>5069</v>
      </c>
      <c r="X8" t="s">
        <v>19</v>
      </c>
    </row>
    <row r="9" spans="2:33" x14ac:dyDescent="0.45">
      <c r="B9" t="s">
        <v>5087</v>
      </c>
      <c r="C9">
        <v>19.528179000000002</v>
      </c>
      <c r="D9">
        <v>31.900000000000002</v>
      </c>
      <c r="E9">
        <v>0.99826000000000004</v>
      </c>
      <c r="H9" t="s">
        <v>5072</v>
      </c>
      <c r="I9" t="s">
        <v>36</v>
      </c>
      <c r="J9">
        <v>1.5194773244526694E-2</v>
      </c>
      <c r="K9" t="s">
        <v>14</v>
      </c>
      <c r="P9" t="s">
        <v>5068</v>
      </c>
      <c r="Q9" t="s">
        <v>5088</v>
      </c>
      <c r="R9" t="s">
        <v>5089</v>
      </c>
      <c r="S9" t="s">
        <v>17</v>
      </c>
      <c r="U9" t="s">
        <v>5068</v>
      </c>
      <c r="V9" t="s">
        <v>5090</v>
      </c>
      <c r="W9" t="s">
        <v>5069</v>
      </c>
      <c r="X9" t="s">
        <v>19</v>
      </c>
    </row>
    <row r="10" spans="2:33" x14ac:dyDescent="0.45">
      <c r="B10" t="s">
        <v>5091</v>
      </c>
      <c r="C10">
        <v>5.0496209999999992</v>
      </c>
      <c r="D10">
        <v>52.800000000000004</v>
      </c>
      <c r="E10">
        <v>0.99712000000000001</v>
      </c>
      <c r="H10" t="s">
        <v>5076</v>
      </c>
      <c r="I10" t="s">
        <v>13</v>
      </c>
      <c r="J10">
        <v>4.8864926918085166E-2</v>
      </c>
      <c r="K10" t="s">
        <v>14</v>
      </c>
      <c r="P10" t="s">
        <v>5068</v>
      </c>
      <c r="Q10" t="s">
        <v>5092</v>
      </c>
      <c r="R10" t="s">
        <v>5093</v>
      </c>
      <c r="S10" t="s">
        <v>17</v>
      </c>
      <c r="U10" t="s">
        <v>5068</v>
      </c>
      <c r="V10" t="s">
        <v>5094</v>
      </c>
      <c r="W10" t="s">
        <v>5069</v>
      </c>
      <c r="X10" t="s">
        <v>19</v>
      </c>
    </row>
    <row r="11" spans="2:33" x14ac:dyDescent="0.45">
      <c r="B11" t="s">
        <v>5095</v>
      </c>
      <c r="C11">
        <v>9.1161290000000008</v>
      </c>
      <c r="D11">
        <v>84.7</v>
      </c>
      <c r="E11">
        <v>0.99538000000000004</v>
      </c>
      <c r="H11" t="s">
        <v>5076</v>
      </c>
      <c r="I11" t="s">
        <v>27</v>
      </c>
      <c r="J11">
        <v>4.8864926918085166E-2</v>
      </c>
      <c r="K11" t="s">
        <v>14</v>
      </c>
      <c r="P11" t="s">
        <v>5068</v>
      </c>
      <c r="Q11" t="s">
        <v>5096</v>
      </c>
      <c r="R11" t="s">
        <v>5097</v>
      </c>
      <c r="S11" t="s">
        <v>17</v>
      </c>
      <c r="U11" t="s">
        <v>5068</v>
      </c>
      <c r="V11" t="s">
        <v>5098</v>
      </c>
      <c r="W11" t="s">
        <v>5069</v>
      </c>
      <c r="X11" t="s">
        <v>19</v>
      </c>
    </row>
    <row r="12" spans="2:33" x14ac:dyDescent="0.45">
      <c r="B12" t="s">
        <v>5099</v>
      </c>
      <c r="C12">
        <v>3.5749529999999998</v>
      </c>
      <c r="D12">
        <v>34.1</v>
      </c>
      <c r="E12">
        <v>0.99814000000000003</v>
      </c>
      <c r="H12" t="s">
        <v>5076</v>
      </c>
      <c r="I12" t="s">
        <v>36</v>
      </c>
      <c r="J12">
        <v>4.8864926918085166E-2</v>
      </c>
      <c r="K12" t="s">
        <v>14</v>
      </c>
      <c r="P12" t="s">
        <v>5068</v>
      </c>
      <c r="Q12" t="s">
        <v>5100</v>
      </c>
      <c r="R12" t="s">
        <v>5101</v>
      </c>
      <c r="S12" t="s">
        <v>17</v>
      </c>
      <c r="U12" t="s">
        <v>5068</v>
      </c>
      <c r="V12" t="s">
        <v>5102</v>
      </c>
      <c r="W12" t="s">
        <v>5069</v>
      </c>
      <c r="X12" t="s">
        <v>19</v>
      </c>
    </row>
    <row r="13" spans="2:33" x14ac:dyDescent="0.45">
      <c r="B13" t="s">
        <v>5103</v>
      </c>
      <c r="C13">
        <v>6.5242889999999996</v>
      </c>
      <c r="D13">
        <v>31.900000000000002</v>
      </c>
      <c r="E13">
        <v>0.99826000000000004</v>
      </c>
      <c r="H13" t="s">
        <v>5080</v>
      </c>
      <c r="I13" t="s">
        <v>13</v>
      </c>
      <c r="J13">
        <v>6.2246098732593865E-3</v>
      </c>
      <c r="K13" t="s">
        <v>14</v>
      </c>
      <c r="P13" t="s">
        <v>5068</v>
      </c>
      <c r="Q13" t="s">
        <v>5104</v>
      </c>
      <c r="R13" t="s">
        <v>5105</v>
      </c>
      <c r="S13" t="s">
        <v>17</v>
      </c>
      <c r="U13" t="s">
        <v>5068</v>
      </c>
      <c r="V13" t="s">
        <v>5106</v>
      </c>
      <c r="W13" t="s">
        <v>5069</v>
      </c>
      <c r="X13" t="s">
        <v>19</v>
      </c>
    </row>
    <row r="14" spans="2:33" x14ac:dyDescent="0.45">
      <c r="B14" t="s">
        <v>5107</v>
      </c>
      <c r="C14">
        <v>7.8202090000000002</v>
      </c>
      <c r="D14">
        <v>113.30000000000001</v>
      </c>
      <c r="E14">
        <v>0.99382000000000004</v>
      </c>
      <c r="H14" t="s">
        <v>5080</v>
      </c>
      <c r="I14" t="s">
        <v>27</v>
      </c>
      <c r="J14">
        <v>6.2246098732593865E-3</v>
      </c>
      <c r="K14" t="s">
        <v>14</v>
      </c>
      <c r="P14" t="s">
        <v>5068</v>
      </c>
      <c r="Q14" t="s">
        <v>5108</v>
      </c>
      <c r="R14" t="s">
        <v>5109</v>
      </c>
      <c r="S14" t="s">
        <v>17</v>
      </c>
      <c r="U14" t="s">
        <v>5068</v>
      </c>
      <c r="V14" t="s">
        <v>5110</v>
      </c>
      <c r="W14" t="s">
        <v>5069</v>
      </c>
      <c r="X14" t="s">
        <v>19</v>
      </c>
    </row>
    <row r="15" spans="2:33" x14ac:dyDescent="0.45">
      <c r="B15" t="s">
        <v>5111</v>
      </c>
      <c r="C15">
        <v>8.6245729999999998</v>
      </c>
      <c r="D15">
        <v>107.80000000000001</v>
      </c>
      <c r="E15">
        <v>0.99412</v>
      </c>
      <c r="H15" t="s">
        <v>5080</v>
      </c>
      <c r="I15" t="s">
        <v>36</v>
      </c>
      <c r="J15">
        <v>6.2246098732593865E-3</v>
      </c>
      <c r="K15" t="s">
        <v>14</v>
      </c>
      <c r="P15" t="s">
        <v>5068</v>
      </c>
      <c r="Q15" t="s">
        <v>5112</v>
      </c>
      <c r="R15" t="s">
        <v>5113</v>
      </c>
      <c r="S15" t="s">
        <v>17</v>
      </c>
      <c r="U15" t="s">
        <v>5068</v>
      </c>
      <c r="V15" t="s">
        <v>5110</v>
      </c>
      <c r="W15" t="s">
        <v>5114</v>
      </c>
      <c r="X15" t="s">
        <v>19</v>
      </c>
    </row>
    <row r="16" spans="2:33" x14ac:dyDescent="0.45">
      <c r="B16" t="s">
        <v>5115</v>
      </c>
      <c r="C16">
        <v>7.8202089999999993</v>
      </c>
      <c r="D16">
        <v>156.20000000000002</v>
      </c>
      <c r="E16">
        <v>0.99148000000000003</v>
      </c>
      <c r="H16" t="s">
        <v>5084</v>
      </c>
      <c r="I16" t="s">
        <v>13</v>
      </c>
      <c r="J16">
        <v>0.34426407743284415</v>
      </c>
      <c r="K16" t="s">
        <v>14</v>
      </c>
      <c r="P16" t="s">
        <v>5068</v>
      </c>
      <c r="Q16" t="s">
        <v>5116</v>
      </c>
      <c r="R16" t="s">
        <v>5117</v>
      </c>
      <c r="S16" t="s">
        <v>17</v>
      </c>
      <c r="U16" t="s">
        <v>5068</v>
      </c>
      <c r="V16" t="s">
        <v>5118</v>
      </c>
      <c r="W16" t="s">
        <v>5069</v>
      </c>
      <c r="X16" t="s">
        <v>19</v>
      </c>
    </row>
    <row r="17" spans="2:24" x14ac:dyDescent="0.45">
      <c r="B17" t="s">
        <v>5119</v>
      </c>
      <c r="C17">
        <v>7.1499050000000004</v>
      </c>
      <c r="D17">
        <v>212.3</v>
      </c>
      <c r="E17">
        <v>0.98841999999999997</v>
      </c>
      <c r="H17" t="s">
        <v>5084</v>
      </c>
      <c r="I17" t="s">
        <v>27</v>
      </c>
      <c r="J17">
        <v>0.34426407743284415</v>
      </c>
      <c r="K17" t="s">
        <v>14</v>
      </c>
      <c r="P17" t="s">
        <v>5068</v>
      </c>
      <c r="Q17" t="s">
        <v>5120</v>
      </c>
      <c r="R17" t="s">
        <v>5121</v>
      </c>
      <c r="S17" t="s">
        <v>17</v>
      </c>
      <c r="U17" t="s">
        <v>5068</v>
      </c>
      <c r="V17" t="s">
        <v>5118</v>
      </c>
      <c r="W17" t="s">
        <v>5114</v>
      </c>
      <c r="X17" t="s">
        <v>19</v>
      </c>
    </row>
    <row r="18" spans="2:24" x14ac:dyDescent="0.45">
      <c r="B18" t="s">
        <v>5122</v>
      </c>
      <c r="C18">
        <v>6.8370970000000009</v>
      </c>
      <c r="D18">
        <v>51.7</v>
      </c>
      <c r="E18">
        <v>0.99717999999999996</v>
      </c>
      <c r="H18" t="s">
        <v>5084</v>
      </c>
      <c r="I18" t="s">
        <v>36</v>
      </c>
      <c r="J18">
        <v>0.34426407743284415</v>
      </c>
      <c r="K18" t="s">
        <v>14</v>
      </c>
      <c r="P18" t="s">
        <v>5068</v>
      </c>
      <c r="Q18" t="s">
        <v>5123</v>
      </c>
      <c r="R18" t="s">
        <v>5124</v>
      </c>
      <c r="S18" t="s">
        <v>17</v>
      </c>
      <c r="U18" t="s">
        <v>5068</v>
      </c>
      <c r="V18" t="s">
        <v>5125</v>
      </c>
      <c r="W18" t="s">
        <v>5069</v>
      </c>
      <c r="X18" t="s">
        <v>19</v>
      </c>
    </row>
    <row r="19" spans="2:24" x14ac:dyDescent="0.45">
      <c r="B19" t="s">
        <v>5126</v>
      </c>
      <c r="C19">
        <v>4.0665079999999998</v>
      </c>
      <c r="D19">
        <v>49.500000000000007</v>
      </c>
      <c r="E19">
        <v>0.99729999999999996</v>
      </c>
      <c r="H19" t="s">
        <v>5088</v>
      </c>
      <c r="I19" t="s">
        <v>13</v>
      </c>
      <c r="J19">
        <v>9.3822656271850283E-2</v>
      </c>
      <c r="K19" t="s">
        <v>14</v>
      </c>
      <c r="P19" t="s">
        <v>5068</v>
      </c>
      <c r="Q19" t="s">
        <v>5127</v>
      </c>
      <c r="R19" t="s">
        <v>5128</v>
      </c>
      <c r="S19" t="s">
        <v>17</v>
      </c>
      <c r="U19" t="s">
        <v>5068</v>
      </c>
      <c r="V19" t="s">
        <v>5125</v>
      </c>
      <c r="W19" t="s">
        <v>5114</v>
      </c>
      <c r="X19" t="s">
        <v>19</v>
      </c>
    </row>
    <row r="20" spans="2:24" x14ac:dyDescent="0.45">
      <c r="B20" t="s">
        <v>5129</v>
      </c>
      <c r="C20">
        <v>0.4</v>
      </c>
      <c r="D20">
        <v>265.10000000000002</v>
      </c>
      <c r="E20">
        <v>0.98553999999999997</v>
      </c>
      <c r="H20" t="s">
        <v>5088</v>
      </c>
      <c r="I20" t="s">
        <v>27</v>
      </c>
      <c r="J20">
        <v>9.3822656271850283E-2</v>
      </c>
      <c r="K20" t="s">
        <v>14</v>
      </c>
      <c r="P20" t="s">
        <v>5068</v>
      </c>
      <c r="Q20" t="s">
        <v>5130</v>
      </c>
      <c r="R20" t="s">
        <v>5131</v>
      </c>
      <c r="S20" t="s">
        <v>17</v>
      </c>
      <c r="U20" t="s">
        <v>5068</v>
      </c>
      <c r="V20" t="s">
        <v>5132</v>
      </c>
      <c r="W20" t="s">
        <v>5114</v>
      </c>
      <c r="X20" t="s">
        <v>19</v>
      </c>
    </row>
    <row r="21" spans="2:24" x14ac:dyDescent="0.45">
      <c r="B21" t="s">
        <v>5133</v>
      </c>
      <c r="C21">
        <v>20.511290000000002</v>
      </c>
      <c r="D21">
        <v>82.5</v>
      </c>
      <c r="E21">
        <v>0.99550000000000005</v>
      </c>
      <c r="H21" t="s">
        <v>5088</v>
      </c>
      <c r="I21" t="s">
        <v>36</v>
      </c>
      <c r="J21">
        <v>9.3822656271850283E-2</v>
      </c>
      <c r="K21" t="s">
        <v>14</v>
      </c>
      <c r="P21" t="s">
        <v>5068</v>
      </c>
      <c r="Q21" t="s">
        <v>5134</v>
      </c>
      <c r="R21" t="s">
        <v>5069</v>
      </c>
      <c r="S21" t="s">
        <v>17</v>
      </c>
      <c r="U21" t="s">
        <v>5068</v>
      </c>
      <c r="V21" t="s">
        <v>5135</v>
      </c>
      <c r="W21" t="s">
        <v>5114</v>
      </c>
      <c r="X21" t="s">
        <v>19</v>
      </c>
    </row>
    <row r="22" spans="2:24" x14ac:dyDescent="0.45">
      <c r="B22" t="s">
        <v>5136</v>
      </c>
      <c r="C22">
        <v>23.281881000000002</v>
      </c>
      <c r="D22">
        <v>59.400000000000006</v>
      </c>
      <c r="E22">
        <v>0.99675999999999998</v>
      </c>
      <c r="H22" t="s">
        <v>5092</v>
      </c>
      <c r="I22" t="s">
        <v>13</v>
      </c>
      <c r="J22">
        <v>4.0896110116274434E-2</v>
      </c>
      <c r="K22" t="s">
        <v>14</v>
      </c>
      <c r="P22" t="s">
        <v>5068</v>
      </c>
      <c r="Q22" t="s">
        <v>5137</v>
      </c>
      <c r="R22" t="s">
        <v>5073</v>
      </c>
      <c r="S22" t="s">
        <v>17</v>
      </c>
      <c r="U22" t="s">
        <v>5068</v>
      </c>
      <c r="V22" t="s">
        <v>5138</v>
      </c>
      <c r="W22" t="s">
        <v>5114</v>
      </c>
      <c r="X22" t="s">
        <v>19</v>
      </c>
    </row>
    <row r="23" spans="2:24" x14ac:dyDescent="0.45">
      <c r="B23" t="s">
        <v>5139</v>
      </c>
      <c r="C23">
        <v>8.6245729999999998</v>
      </c>
      <c r="D23">
        <v>135.30000000000001</v>
      </c>
      <c r="E23">
        <v>0.99261999999999995</v>
      </c>
      <c r="H23" t="s">
        <v>5092</v>
      </c>
      <c r="I23" t="s">
        <v>27</v>
      </c>
      <c r="J23">
        <v>4.0896110116274434E-2</v>
      </c>
      <c r="K23" t="s">
        <v>14</v>
      </c>
      <c r="P23" t="s">
        <v>5068</v>
      </c>
      <c r="Q23" t="s">
        <v>5140</v>
      </c>
      <c r="R23" t="s">
        <v>5077</v>
      </c>
      <c r="S23" t="s">
        <v>17</v>
      </c>
      <c r="U23" t="s">
        <v>5068</v>
      </c>
      <c r="V23" t="s">
        <v>5138</v>
      </c>
      <c r="W23" t="s">
        <v>5069</v>
      </c>
      <c r="X23" t="s">
        <v>17</v>
      </c>
    </row>
    <row r="24" spans="2:24" x14ac:dyDescent="0.45">
      <c r="B24" t="s">
        <v>5141</v>
      </c>
      <c r="C24">
        <v>10.277989</v>
      </c>
      <c r="D24">
        <v>138.60000000000002</v>
      </c>
      <c r="E24">
        <v>0.99243999999999999</v>
      </c>
      <c r="H24" t="s">
        <v>5092</v>
      </c>
      <c r="I24" t="s">
        <v>36</v>
      </c>
      <c r="J24">
        <v>4.0896110116274434E-2</v>
      </c>
      <c r="K24" t="s">
        <v>14</v>
      </c>
      <c r="P24" t="s">
        <v>5068</v>
      </c>
      <c r="Q24" t="s">
        <v>5142</v>
      </c>
      <c r="R24" t="s">
        <v>5081</v>
      </c>
      <c r="S24" t="s">
        <v>17</v>
      </c>
      <c r="U24" t="s">
        <v>5068</v>
      </c>
      <c r="V24" t="s">
        <v>5143</v>
      </c>
      <c r="W24" t="s">
        <v>5114</v>
      </c>
      <c r="X24" t="s">
        <v>19</v>
      </c>
    </row>
    <row r="25" spans="2:24" x14ac:dyDescent="0.45">
      <c r="B25" t="s">
        <v>5144</v>
      </c>
      <c r="C25">
        <v>9.4289380000000005</v>
      </c>
      <c r="D25">
        <v>225.50000000000003</v>
      </c>
      <c r="E25">
        <v>0.98770000000000002</v>
      </c>
      <c r="H25" t="s">
        <v>5096</v>
      </c>
      <c r="I25" t="s">
        <v>13</v>
      </c>
      <c r="J25">
        <v>3.4635870036468917E-2</v>
      </c>
      <c r="K25" t="s">
        <v>14</v>
      </c>
      <c r="P25" t="s">
        <v>5068</v>
      </c>
      <c r="Q25" t="s">
        <v>5145</v>
      </c>
      <c r="R25" t="s">
        <v>5085</v>
      </c>
      <c r="S25" t="s">
        <v>17</v>
      </c>
      <c r="U25" t="s">
        <v>5068</v>
      </c>
      <c r="V25" t="s">
        <v>5143</v>
      </c>
      <c r="W25" t="s">
        <v>5069</v>
      </c>
      <c r="X25" t="s">
        <v>17</v>
      </c>
    </row>
    <row r="26" spans="2:24" x14ac:dyDescent="0.45">
      <c r="B26" t="s">
        <v>5146</v>
      </c>
      <c r="C26">
        <v>3.5749529999999998</v>
      </c>
      <c r="D26">
        <v>106.7</v>
      </c>
      <c r="E26">
        <v>0.99417999999999995</v>
      </c>
      <c r="H26" t="s">
        <v>5096</v>
      </c>
      <c r="I26" t="s">
        <v>27</v>
      </c>
      <c r="J26">
        <v>3.4635870036468917E-2</v>
      </c>
      <c r="K26" t="s">
        <v>14</v>
      </c>
      <c r="P26" t="s">
        <v>5068</v>
      </c>
      <c r="Q26" t="s">
        <v>5147</v>
      </c>
      <c r="R26" t="s">
        <v>5089</v>
      </c>
      <c r="S26" t="s">
        <v>17</v>
      </c>
      <c r="U26" t="s">
        <v>5068</v>
      </c>
      <c r="V26" t="s">
        <v>5148</v>
      </c>
      <c r="W26" t="s">
        <v>5073</v>
      </c>
      <c r="X26" t="s">
        <v>19</v>
      </c>
    </row>
    <row r="27" spans="2:24" x14ac:dyDescent="0.45">
      <c r="B27" t="s">
        <v>5149</v>
      </c>
      <c r="C27">
        <v>0.98311199999999999</v>
      </c>
      <c r="D27">
        <v>12.100000000000001</v>
      </c>
      <c r="E27">
        <v>0.99934000000000001</v>
      </c>
      <c r="H27" t="s">
        <v>5096</v>
      </c>
      <c r="I27" t="s">
        <v>36</v>
      </c>
      <c r="J27">
        <v>3.4635870036468917E-2</v>
      </c>
      <c r="K27" t="s">
        <v>14</v>
      </c>
      <c r="P27" t="s">
        <v>5068</v>
      </c>
      <c r="Q27" t="s">
        <v>5150</v>
      </c>
      <c r="R27" t="s">
        <v>5093</v>
      </c>
      <c r="S27" t="s">
        <v>17</v>
      </c>
      <c r="U27" t="s">
        <v>5068</v>
      </c>
      <c r="V27" t="s">
        <v>5151</v>
      </c>
      <c r="W27" t="s">
        <v>5073</v>
      </c>
      <c r="X27" t="s">
        <v>19</v>
      </c>
    </row>
    <row r="28" spans="2:24" x14ac:dyDescent="0.45">
      <c r="B28" t="s">
        <v>5152</v>
      </c>
      <c r="C28">
        <v>20.153794000000001</v>
      </c>
      <c r="D28">
        <v>195.8</v>
      </c>
      <c r="E28">
        <v>0.98931999999999998</v>
      </c>
      <c r="H28" t="s">
        <v>5100</v>
      </c>
      <c r="I28" t="s">
        <v>13</v>
      </c>
      <c r="J28">
        <v>1.0355044028170855E-2</v>
      </c>
      <c r="K28" t="s">
        <v>14</v>
      </c>
      <c r="P28" t="s">
        <v>5068</v>
      </c>
      <c r="Q28" t="s">
        <v>5153</v>
      </c>
      <c r="R28" t="s">
        <v>5097</v>
      </c>
      <c r="S28" t="s">
        <v>17</v>
      </c>
      <c r="U28" t="s">
        <v>5068</v>
      </c>
      <c r="V28" t="s">
        <v>5154</v>
      </c>
      <c r="W28" t="s">
        <v>5073</v>
      </c>
      <c r="X28" t="s">
        <v>19</v>
      </c>
    </row>
    <row r="29" spans="2:24" x14ac:dyDescent="0.45">
      <c r="H29" t="s">
        <v>5100</v>
      </c>
      <c r="I29" t="s">
        <v>27</v>
      </c>
      <c r="J29">
        <v>1.0355044028170855E-2</v>
      </c>
      <c r="K29" t="s">
        <v>14</v>
      </c>
      <c r="P29" t="s">
        <v>5068</v>
      </c>
      <c r="Q29" t="s">
        <v>5155</v>
      </c>
      <c r="R29" t="s">
        <v>5101</v>
      </c>
      <c r="S29" t="s">
        <v>17</v>
      </c>
      <c r="U29" t="s">
        <v>5068</v>
      </c>
      <c r="V29" t="s">
        <v>5156</v>
      </c>
      <c r="W29" t="s">
        <v>5073</v>
      </c>
      <c r="X29" t="s">
        <v>19</v>
      </c>
    </row>
    <row r="30" spans="2:24" x14ac:dyDescent="0.45">
      <c r="H30" t="s">
        <v>5100</v>
      </c>
      <c r="I30" t="s">
        <v>36</v>
      </c>
      <c r="J30">
        <v>1.0355044028170855E-2</v>
      </c>
      <c r="K30" t="s">
        <v>14</v>
      </c>
      <c r="P30" t="s">
        <v>5068</v>
      </c>
      <c r="Q30" t="s">
        <v>5157</v>
      </c>
      <c r="R30" t="s">
        <v>5105</v>
      </c>
      <c r="S30" t="s">
        <v>17</v>
      </c>
      <c r="U30" t="s">
        <v>5068</v>
      </c>
      <c r="V30" t="s">
        <v>5158</v>
      </c>
      <c r="W30" t="s">
        <v>5073</v>
      </c>
      <c r="X30" t="s">
        <v>19</v>
      </c>
    </row>
    <row r="31" spans="2:24" x14ac:dyDescent="0.45">
      <c r="H31" t="s">
        <v>5104</v>
      </c>
      <c r="I31" t="s">
        <v>13</v>
      </c>
      <c r="J31">
        <v>1.2213389731956421E-2</v>
      </c>
      <c r="K31" t="s">
        <v>14</v>
      </c>
      <c r="P31" t="s">
        <v>5068</v>
      </c>
      <c r="Q31" t="s">
        <v>5159</v>
      </c>
      <c r="R31" t="s">
        <v>5109</v>
      </c>
      <c r="S31" t="s">
        <v>17</v>
      </c>
      <c r="U31" t="s">
        <v>5068</v>
      </c>
      <c r="V31" t="s">
        <v>5160</v>
      </c>
      <c r="W31" t="s">
        <v>5073</v>
      </c>
      <c r="X31" t="s">
        <v>19</v>
      </c>
    </row>
    <row r="32" spans="2:24" x14ac:dyDescent="0.45">
      <c r="H32" t="s">
        <v>5104</v>
      </c>
      <c r="I32" t="s">
        <v>27</v>
      </c>
      <c r="J32">
        <v>1.2213389731956421E-2</v>
      </c>
      <c r="K32" t="s">
        <v>14</v>
      </c>
      <c r="P32" t="s">
        <v>5068</v>
      </c>
      <c r="Q32" t="s">
        <v>5161</v>
      </c>
      <c r="R32" t="s">
        <v>5113</v>
      </c>
      <c r="S32" t="s">
        <v>17</v>
      </c>
      <c r="U32" t="s">
        <v>5068</v>
      </c>
      <c r="V32" t="s">
        <v>5162</v>
      </c>
      <c r="W32" t="s">
        <v>5073</v>
      </c>
      <c r="X32" t="s">
        <v>19</v>
      </c>
    </row>
    <row r="33" spans="8:24" x14ac:dyDescent="0.45">
      <c r="H33" t="s">
        <v>5104</v>
      </c>
      <c r="I33" t="s">
        <v>36</v>
      </c>
      <c r="J33">
        <v>1.2213389731956421E-2</v>
      </c>
      <c r="K33" t="s">
        <v>14</v>
      </c>
      <c r="P33" t="s">
        <v>5068</v>
      </c>
      <c r="Q33" t="s">
        <v>5163</v>
      </c>
      <c r="R33" t="s">
        <v>5117</v>
      </c>
      <c r="S33" t="s">
        <v>17</v>
      </c>
      <c r="U33" t="s">
        <v>5068</v>
      </c>
      <c r="V33" t="s">
        <v>5164</v>
      </c>
      <c r="W33" t="s">
        <v>5073</v>
      </c>
      <c r="X33" t="s">
        <v>19</v>
      </c>
    </row>
    <row r="34" spans="8:24" x14ac:dyDescent="0.45">
      <c r="H34" t="s">
        <v>5108</v>
      </c>
      <c r="I34" t="s">
        <v>13</v>
      </c>
      <c r="J34">
        <v>0.12076814345848159</v>
      </c>
      <c r="K34" t="s">
        <v>14</v>
      </c>
      <c r="P34" t="s">
        <v>5068</v>
      </c>
      <c r="Q34" t="s">
        <v>5165</v>
      </c>
      <c r="R34" t="s">
        <v>5121</v>
      </c>
      <c r="S34" t="s">
        <v>17</v>
      </c>
      <c r="U34" t="s">
        <v>5068</v>
      </c>
      <c r="V34" t="s">
        <v>5166</v>
      </c>
      <c r="W34" t="s">
        <v>5073</v>
      </c>
      <c r="X34" t="s">
        <v>19</v>
      </c>
    </row>
    <row r="35" spans="8:24" x14ac:dyDescent="0.45">
      <c r="H35" t="s">
        <v>5108</v>
      </c>
      <c r="I35" t="s">
        <v>27</v>
      </c>
      <c r="J35">
        <v>0.12076814345848159</v>
      </c>
      <c r="K35" t="s">
        <v>14</v>
      </c>
      <c r="P35" t="s">
        <v>5068</v>
      </c>
      <c r="Q35" t="s">
        <v>5167</v>
      </c>
      <c r="R35" t="s">
        <v>5124</v>
      </c>
      <c r="S35" t="s">
        <v>17</v>
      </c>
      <c r="U35" t="s">
        <v>5068</v>
      </c>
      <c r="V35" t="s">
        <v>5168</v>
      </c>
      <c r="W35" t="s">
        <v>5073</v>
      </c>
      <c r="X35" t="s">
        <v>19</v>
      </c>
    </row>
    <row r="36" spans="8:24" x14ac:dyDescent="0.45">
      <c r="H36" t="s">
        <v>5108</v>
      </c>
      <c r="I36" t="s">
        <v>36</v>
      </c>
      <c r="J36">
        <v>0.12076814345848159</v>
      </c>
      <c r="K36" t="s">
        <v>14</v>
      </c>
      <c r="P36" t="s">
        <v>5068</v>
      </c>
      <c r="Q36" t="s">
        <v>5169</v>
      </c>
      <c r="R36" t="s">
        <v>5128</v>
      </c>
      <c r="S36" t="s">
        <v>17</v>
      </c>
      <c r="U36" t="s">
        <v>5068</v>
      </c>
      <c r="V36" t="s">
        <v>5170</v>
      </c>
      <c r="W36" t="s">
        <v>5073</v>
      </c>
      <c r="X36" t="s">
        <v>19</v>
      </c>
    </row>
    <row r="37" spans="8:24" x14ac:dyDescent="0.45">
      <c r="H37" t="s">
        <v>5112</v>
      </c>
      <c r="I37" t="s">
        <v>13</v>
      </c>
      <c r="J37">
        <v>1.8526022209690546E-2</v>
      </c>
      <c r="K37" t="s">
        <v>14</v>
      </c>
      <c r="P37" t="s">
        <v>5068</v>
      </c>
      <c r="Q37" t="s">
        <v>5171</v>
      </c>
      <c r="R37" t="s">
        <v>5131</v>
      </c>
      <c r="S37" t="s">
        <v>17</v>
      </c>
      <c r="U37" t="s">
        <v>5068</v>
      </c>
      <c r="V37" t="s">
        <v>5170</v>
      </c>
      <c r="W37" t="s">
        <v>5172</v>
      </c>
      <c r="X37" t="s">
        <v>19</v>
      </c>
    </row>
    <row r="38" spans="8:24" x14ac:dyDescent="0.45">
      <c r="H38" t="s">
        <v>5112</v>
      </c>
      <c r="I38" t="s">
        <v>27</v>
      </c>
      <c r="J38">
        <v>1.8526022209690546E-2</v>
      </c>
      <c r="K38" t="s">
        <v>14</v>
      </c>
      <c r="P38" t="s">
        <v>5068</v>
      </c>
      <c r="Q38" t="s">
        <v>5173</v>
      </c>
      <c r="R38" t="s">
        <v>5069</v>
      </c>
      <c r="S38" t="s">
        <v>17</v>
      </c>
      <c r="U38" t="s">
        <v>5068</v>
      </c>
      <c r="V38" t="s">
        <v>5174</v>
      </c>
      <c r="W38" t="s">
        <v>5073</v>
      </c>
      <c r="X38" t="s">
        <v>19</v>
      </c>
    </row>
    <row r="39" spans="8:24" x14ac:dyDescent="0.45">
      <c r="H39" t="s">
        <v>5112</v>
      </c>
      <c r="I39" t="s">
        <v>36</v>
      </c>
      <c r="J39">
        <v>1.8526022209690546E-2</v>
      </c>
      <c r="K39" t="s">
        <v>14</v>
      </c>
      <c r="P39" t="s">
        <v>5068</v>
      </c>
      <c r="Q39" t="s">
        <v>5175</v>
      </c>
      <c r="R39" t="s">
        <v>5073</v>
      </c>
      <c r="S39" t="s">
        <v>17</v>
      </c>
      <c r="U39" t="s">
        <v>5068</v>
      </c>
      <c r="V39" t="s">
        <v>5174</v>
      </c>
      <c r="W39" t="s">
        <v>5172</v>
      </c>
      <c r="X39" t="s">
        <v>19</v>
      </c>
    </row>
    <row r="40" spans="8:24" x14ac:dyDescent="0.45">
      <c r="H40" t="s">
        <v>5116</v>
      </c>
      <c r="I40" t="s">
        <v>13</v>
      </c>
      <c r="J40">
        <v>4.324298206930708E-2</v>
      </c>
      <c r="K40" t="s">
        <v>14</v>
      </c>
      <c r="P40" t="s">
        <v>5068</v>
      </c>
      <c r="Q40" t="s">
        <v>5176</v>
      </c>
      <c r="R40" t="s">
        <v>5077</v>
      </c>
      <c r="S40" t="s">
        <v>17</v>
      </c>
      <c r="U40" t="s">
        <v>5068</v>
      </c>
      <c r="V40" t="s">
        <v>5177</v>
      </c>
      <c r="W40" t="s">
        <v>5073</v>
      </c>
      <c r="X40" t="s">
        <v>19</v>
      </c>
    </row>
    <row r="41" spans="8:24" x14ac:dyDescent="0.45">
      <c r="H41" t="s">
        <v>5116</v>
      </c>
      <c r="I41" t="s">
        <v>27</v>
      </c>
      <c r="J41">
        <v>4.324298206930708E-2</v>
      </c>
      <c r="K41" t="s">
        <v>14</v>
      </c>
      <c r="P41" t="s">
        <v>5068</v>
      </c>
      <c r="Q41" t="s">
        <v>5178</v>
      </c>
      <c r="R41" t="s">
        <v>5081</v>
      </c>
      <c r="S41" t="s">
        <v>17</v>
      </c>
      <c r="U41" t="s">
        <v>5068</v>
      </c>
      <c r="V41" t="s">
        <v>5177</v>
      </c>
      <c r="W41" t="s">
        <v>5172</v>
      </c>
      <c r="X41" t="s">
        <v>19</v>
      </c>
    </row>
    <row r="42" spans="8:24" x14ac:dyDescent="0.45">
      <c r="H42" t="s">
        <v>5116</v>
      </c>
      <c r="I42" t="s">
        <v>36</v>
      </c>
      <c r="J42">
        <v>4.324298206930708E-2</v>
      </c>
      <c r="K42" t="s">
        <v>14</v>
      </c>
      <c r="P42" t="s">
        <v>5068</v>
      </c>
      <c r="Q42" t="s">
        <v>5179</v>
      </c>
      <c r="R42" t="s">
        <v>5085</v>
      </c>
      <c r="S42" t="s">
        <v>17</v>
      </c>
      <c r="U42" t="s">
        <v>5068</v>
      </c>
      <c r="V42" t="s">
        <v>5180</v>
      </c>
      <c r="W42" t="s">
        <v>5172</v>
      </c>
      <c r="X42" t="s">
        <v>19</v>
      </c>
    </row>
    <row r="43" spans="8:24" x14ac:dyDescent="0.45">
      <c r="H43" t="s">
        <v>5120</v>
      </c>
      <c r="I43" t="s">
        <v>13</v>
      </c>
      <c r="J43">
        <v>1.7422915959801364E-2</v>
      </c>
      <c r="K43" t="s">
        <v>14</v>
      </c>
      <c r="P43" t="s">
        <v>5068</v>
      </c>
      <c r="Q43" t="s">
        <v>5181</v>
      </c>
      <c r="R43" t="s">
        <v>5089</v>
      </c>
      <c r="S43" t="s">
        <v>17</v>
      </c>
      <c r="U43" t="s">
        <v>5068</v>
      </c>
      <c r="V43" t="s">
        <v>5182</v>
      </c>
      <c r="W43" t="s">
        <v>5172</v>
      </c>
      <c r="X43" t="s">
        <v>19</v>
      </c>
    </row>
    <row r="44" spans="8:24" x14ac:dyDescent="0.45">
      <c r="H44" t="s">
        <v>5120</v>
      </c>
      <c r="I44" t="s">
        <v>27</v>
      </c>
      <c r="J44">
        <v>1.7422915959801364E-2</v>
      </c>
      <c r="K44" t="s">
        <v>14</v>
      </c>
      <c r="P44" t="s">
        <v>5068</v>
      </c>
      <c r="Q44" t="s">
        <v>5183</v>
      </c>
      <c r="R44" t="s">
        <v>5093</v>
      </c>
      <c r="S44" t="s">
        <v>17</v>
      </c>
      <c r="U44" t="s">
        <v>5068</v>
      </c>
      <c r="V44" t="s">
        <v>5184</v>
      </c>
      <c r="W44" t="s">
        <v>5172</v>
      </c>
      <c r="X44" t="s">
        <v>19</v>
      </c>
    </row>
    <row r="45" spans="8:24" x14ac:dyDescent="0.45">
      <c r="H45" t="s">
        <v>5120</v>
      </c>
      <c r="I45" t="s">
        <v>36</v>
      </c>
      <c r="J45">
        <v>1.7422915959801364E-2</v>
      </c>
      <c r="K45" t="s">
        <v>14</v>
      </c>
      <c r="P45" t="s">
        <v>5068</v>
      </c>
      <c r="Q45" t="s">
        <v>5185</v>
      </c>
      <c r="R45" t="s">
        <v>5097</v>
      </c>
      <c r="S45" t="s">
        <v>17</v>
      </c>
      <c r="U45" t="s">
        <v>5068</v>
      </c>
      <c r="V45" t="s">
        <v>5184</v>
      </c>
      <c r="W45" t="s">
        <v>5073</v>
      </c>
      <c r="X45" t="s">
        <v>17</v>
      </c>
    </row>
    <row r="46" spans="8:24" x14ac:dyDescent="0.45">
      <c r="H46" t="s">
        <v>5123</v>
      </c>
      <c r="I46" t="s">
        <v>13</v>
      </c>
      <c r="J46">
        <v>3.8892004853638758E-2</v>
      </c>
      <c r="K46" t="s">
        <v>14</v>
      </c>
      <c r="P46" t="s">
        <v>5068</v>
      </c>
      <c r="Q46" t="s">
        <v>5186</v>
      </c>
      <c r="R46" t="s">
        <v>5101</v>
      </c>
      <c r="S46" t="s">
        <v>17</v>
      </c>
      <c r="U46" t="s">
        <v>5068</v>
      </c>
      <c r="V46" t="s">
        <v>5187</v>
      </c>
      <c r="W46" t="s">
        <v>5172</v>
      </c>
      <c r="X46" t="s">
        <v>19</v>
      </c>
    </row>
    <row r="47" spans="8:24" x14ac:dyDescent="0.45">
      <c r="H47" t="s">
        <v>5123</v>
      </c>
      <c r="I47" t="s">
        <v>27</v>
      </c>
      <c r="J47">
        <v>3.8892004853638758E-2</v>
      </c>
      <c r="K47" t="s">
        <v>14</v>
      </c>
      <c r="P47" t="s">
        <v>5068</v>
      </c>
      <c r="Q47" t="s">
        <v>5188</v>
      </c>
      <c r="R47" t="s">
        <v>5105</v>
      </c>
      <c r="S47" t="s">
        <v>17</v>
      </c>
      <c r="U47" t="s">
        <v>5068</v>
      </c>
      <c r="V47" t="s">
        <v>5187</v>
      </c>
      <c r="W47" t="s">
        <v>5073</v>
      </c>
      <c r="X47" t="s">
        <v>17</v>
      </c>
    </row>
    <row r="48" spans="8:24" x14ac:dyDescent="0.45">
      <c r="H48" t="s">
        <v>5123</v>
      </c>
      <c r="I48" t="s">
        <v>36</v>
      </c>
      <c r="J48">
        <v>3.8892004853638758E-2</v>
      </c>
      <c r="K48" t="s">
        <v>14</v>
      </c>
      <c r="P48" t="s">
        <v>5068</v>
      </c>
      <c r="Q48" t="s">
        <v>5189</v>
      </c>
      <c r="R48" t="s">
        <v>5109</v>
      </c>
      <c r="S48" t="s">
        <v>17</v>
      </c>
      <c r="U48" t="s">
        <v>5068</v>
      </c>
      <c r="V48" t="s">
        <v>5190</v>
      </c>
      <c r="W48" t="s">
        <v>5077</v>
      </c>
      <c r="X48" t="s">
        <v>19</v>
      </c>
    </row>
    <row r="49" spans="8:24" x14ac:dyDescent="0.45">
      <c r="H49" t="s">
        <v>5127</v>
      </c>
      <c r="I49" t="s">
        <v>13</v>
      </c>
      <c r="J49">
        <v>2.1875910556301364E-2</v>
      </c>
      <c r="K49" t="s">
        <v>14</v>
      </c>
      <c r="P49" t="s">
        <v>5068</v>
      </c>
      <c r="Q49" t="s">
        <v>5191</v>
      </c>
      <c r="R49" t="s">
        <v>5113</v>
      </c>
      <c r="S49" t="s">
        <v>17</v>
      </c>
      <c r="U49" t="s">
        <v>5068</v>
      </c>
      <c r="V49" t="s">
        <v>5192</v>
      </c>
      <c r="W49" t="s">
        <v>5077</v>
      </c>
      <c r="X49" t="s">
        <v>19</v>
      </c>
    </row>
    <row r="50" spans="8:24" x14ac:dyDescent="0.45">
      <c r="H50" t="s">
        <v>5127</v>
      </c>
      <c r="I50" t="s">
        <v>27</v>
      </c>
      <c r="J50">
        <v>2.1875910556301364E-2</v>
      </c>
      <c r="K50" t="s">
        <v>14</v>
      </c>
      <c r="P50" t="s">
        <v>5068</v>
      </c>
      <c r="Q50" t="s">
        <v>5193</v>
      </c>
      <c r="R50" t="s">
        <v>5117</v>
      </c>
      <c r="S50" t="s">
        <v>17</v>
      </c>
      <c r="U50" t="s">
        <v>5068</v>
      </c>
      <c r="V50" t="s">
        <v>5194</v>
      </c>
      <c r="W50" t="s">
        <v>5077</v>
      </c>
      <c r="X50" t="s">
        <v>19</v>
      </c>
    </row>
    <row r="51" spans="8:24" x14ac:dyDescent="0.45">
      <c r="H51" t="s">
        <v>5127</v>
      </c>
      <c r="I51" t="s">
        <v>36</v>
      </c>
      <c r="J51">
        <v>2.1875910556301364E-2</v>
      </c>
      <c r="K51" t="s">
        <v>14</v>
      </c>
      <c r="P51" t="s">
        <v>5068</v>
      </c>
      <c r="Q51" t="s">
        <v>5195</v>
      </c>
      <c r="R51" t="s">
        <v>5121</v>
      </c>
      <c r="S51" t="s">
        <v>17</v>
      </c>
      <c r="U51" t="s">
        <v>5068</v>
      </c>
      <c r="V51" t="s">
        <v>5196</v>
      </c>
      <c r="W51" t="s">
        <v>5077</v>
      </c>
      <c r="X51" t="s">
        <v>19</v>
      </c>
    </row>
    <row r="52" spans="8:24" x14ac:dyDescent="0.45">
      <c r="H52" t="s">
        <v>5130</v>
      </c>
      <c r="I52" t="s">
        <v>13</v>
      </c>
      <c r="J52">
        <v>2.4395132340854098E-3</v>
      </c>
      <c r="K52" t="s">
        <v>14</v>
      </c>
      <c r="P52" t="s">
        <v>5068</v>
      </c>
      <c r="Q52" t="s">
        <v>5197</v>
      </c>
      <c r="R52" t="s">
        <v>5124</v>
      </c>
      <c r="S52" t="s">
        <v>17</v>
      </c>
      <c r="U52" t="s">
        <v>5068</v>
      </c>
      <c r="V52" t="s">
        <v>5198</v>
      </c>
      <c r="W52" t="s">
        <v>5077</v>
      </c>
      <c r="X52" t="s">
        <v>19</v>
      </c>
    </row>
    <row r="53" spans="8:24" x14ac:dyDescent="0.45">
      <c r="H53" t="s">
        <v>5130</v>
      </c>
      <c r="I53" t="s">
        <v>27</v>
      </c>
      <c r="J53">
        <v>2.4395132340854098E-3</v>
      </c>
      <c r="K53" t="s">
        <v>14</v>
      </c>
      <c r="P53" t="s">
        <v>5068</v>
      </c>
      <c r="Q53" t="s">
        <v>5199</v>
      </c>
      <c r="R53" t="s">
        <v>5128</v>
      </c>
      <c r="S53" t="s">
        <v>17</v>
      </c>
      <c r="U53" t="s">
        <v>5068</v>
      </c>
      <c r="V53" t="s">
        <v>5200</v>
      </c>
      <c r="W53" t="s">
        <v>5077</v>
      </c>
      <c r="X53" t="s">
        <v>19</v>
      </c>
    </row>
    <row r="54" spans="8:24" x14ac:dyDescent="0.45">
      <c r="H54" t="s">
        <v>5130</v>
      </c>
      <c r="I54" t="s">
        <v>36</v>
      </c>
      <c r="J54">
        <v>2.4395132340854098E-3</v>
      </c>
      <c r="K54" t="s">
        <v>14</v>
      </c>
      <c r="P54" t="s">
        <v>5068</v>
      </c>
      <c r="Q54" t="s">
        <v>5201</v>
      </c>
      <c r="R54" t="s">
        <v>5131</v>
      </c>
      <c r="S54" t="s">
        <v>17</v>
      </c>
      <c r="U54" t="s">
        <v>5068</v>
      </c>
      <c r="V54" t="s">
        <v>5202</v>
      </c>
      <c r="W54" t="s">
        <v>5077</v>
      </c>
      <c r="X54" t="s">
        <v>19</v>
      </c>
    </row>
    <row r="55" spans="8:24" x14ac:dyDescent="0.45">
      <c r="H55" t="s">
        <v>5134</v>
      </c>
      <c r="I55" t="s">
        <v>13</v>
      </c>
      <c r="J55">
        <v>0.1103610500052568</v>
      </c>
      <c r="K55" t="s">
        <v>14</v>
      </c>
      <c r="P55" t="s">
        <v>5068</v>
      </c>
      <c r="Q55" t="s">
        <v>5203</v>
      </c>
      <c r="R55" t="s">
        <v>5069</v>
      </c>
      <c r="S55" t="s">
        <v>17</v>
      </c>
      <c r="U55" t="s">
        <v>5068</v>
      </c>
      <c r="V55" t="s">
        <v>5204</v>
      </c>
      <c r="W55" t="s">
        <v>5077</v>
      </c>
      <c r="X55" t="s">
        <v>19</v>
      </c>
    </row>
    <row r="56" spans="8:24" x14ac:dyDescent="0.45">
      <c r="H56" t="s">
        <v>5134</v>
      </c>
      <c r="I56" t="s">
        <v>27</v>
      </c>
      <c r="J56">
        <v>0.1103610500052568</v>
      </c>
      <c r="K56" t="s">
        <v>14</v>
      </c>
      <c r="P56" t="s">
        <v>5068</v>
      </c>
      <c r="Q56" t="s">
        <v>5205</v>
      </c>
      <c r="R56" t="s">
        <v>5073</v>
      </c>
      <c r="S56" t="s">
        <v>17</v>
      </c>
      <c r="U56" t="s">
        <v>5068</v>
      </c>
      <c r="V56" t="s">
        <v>5206</v>
      </c>
      <c r="W56" t="s">
        <v>5077</v>
      </c>
      <c r="X56" t="s">
        <v>19</v>
      </c>
    </row>
    <row r="57" spans="8:24" x14ac:dyDescent="0.45">
      <c r="H57" t="s">
        <v>5134</v>
      </c>
      <c r="I57" t="s">
        <v>36</v>
      </c>
      <c r="J57">
        <v>0.1103610500052568</v>
      </c>
      <c r="K57" t="s">
        <v>14</v>
      </c>
      <c r="P57" t="s">
        <v>5068</v>
      </c>
      <c r="Q57" t="s">
        <v>5207</v>
      </c>
      <c r="R57" t="s">
        <v>5077</v>
      </c>
      <c r="S57" t="s">
        <v>17</v>
      </c>
      <c r="U57" t="s">
        <v>5068</v>
      </c>
      <c r="V57" t="s">
        <v>5208</v>
      </c>
      <c r="W57" t="s">
        <v>5077</v>
      </c>
      <c r="X57" t="s">
        <v>19</v>
      </c>
    </row>
    <row r="58" spans="8:24" x14ac:dyDescent="0.45">
      <c r="H58" t="s">
        <v>5137</v>
      </c>
      <c r="I58" t="s">
        <v>13</v>
      </c>
      <c r="J58">
        <v>1.5194773244526694E-2</v>
      </c>
      <c r="K58" t="s">
        <v>14</v>
      </c>
      <c r="P58" t="s">
        <v>5068</v>
      </c>
      <c r="Q58" t="s">
        <v>5209</v>
      </c>
      <c r="R58" t="s">
        <v>5081</v>
      </c>
      <c r="S58" t="s">
        <v>17</v>
      </c>
      <c r="U58" t="s">
        <v>5068</v>
      </c>
      <c r="V58" t="s">
        <v>5210</v>
      </c>
      <c r="W58" t="s">
        <v>5077</v>
      </c>
      <c r="X58" t="s">
        <v>19</v>
      </c>
    </row>
    <row r="59" spans="8:24" x14ac:dyDescent="0.45">
      <c r="H59" t="s">
        <v>5137</v>
      </c>
      <c r="I59" t="s">
        <v>27</v>
      </c>
      <c r="J59">
        <v>1.5194773244526694E-2</v>
      </c>
      <c r="K59" t="s">
        <v>14</v>
      </c>
      <c r="P59" t="s">
        <v>5068</v>
      </c>
      <c r="Q59" t="s">
        <v>5211</v>
      </c>
      <c r="R59" t="s">
        <v>5085</v>
      </c>
      <c r="S59" t="s">
        <v>17</v>
      </c>
      <c r="U59" t="s">
        <v>5068</v>
      </c>
      <c r="V59" t="s">
        <v>5210</v>
      </c>
      <c r="W59" t="s">
        <v>5212</v>
      </c>
      <c r="X59" t="s">
        <v>19</v>
      </c>
    </row>
    <row r="60" spans="8:24" x14ac:dyDescent="0.45">
      <c r="H60" t="s">
        <v>5137</v>
      </c>
      <c r="I60" t="s">
        <v>36</v>
      </c>
      <c r="J60">
        <v>1.5194773244526694E-2</v>
      </c>
      <c r="K60" t="s">
        <v>14</v>
      </c>
      <c r="P60" t="s">
        <v>5068</v>
      </c>
      <c r="Q60" t="s">
        <v>5213</v>
      </c>
      <c r="R60" t="s">
        <v>5089</v>
      </c>
      <c r="S60" t="s">
        <v>17</v>
      </c>
      <c r="U60" t="s">
        <v>5068</v>
      </c>
      <c r="V60" t="s">
        <v>5214</v>
      </c>
      <c r="W60" t="s">
        <v>5077</v>
      </c>
      <c r="X60" t="s">
        <v>19</v>
      </c>
    </row>
    <row r="61" spans="8:24" x14ac:dyDescent="0.45">
      <c r="H61" t="s">
        <v>5140</v>
      </c>
      <c r="I61" t="s">
        <v>13</v>
      </c>
      <c r="J61">
        <v>4.8864926918085166E-2</v>
      </c>
      <c r="K61" t="s">
        <v>14</v>
      </c>
      <c r="P61" t="s">
        <v>5068</v>
      </c>
      <c r="Q61" t="s">
        <v>5215</v>
      </c>
      <c r="R61" t="s">
        <v>5093</v>
      </c>
      <c r="S61" t="s">
        <v>17</v>
      </c>
      <c r="U61" t="s">
        <v>5068</v>
      </c>
      <c r="V61" t="s">
        <v>5214</v>
      </c>
      <c r="W61" t="s">
        <v>5212</v>
      </c>
      <c r="X61" t="s">
        <v>19</v>
      </c>
    </row>
    <row r="62" spans="8:24" x14ac:dyDescent="0.45">
      <c r="H62" t="s">
        <v>5140</v>
      </c>
      <c r="I62" t="s">
        <v>27</v>
      </c>
      <c r="J62">
        <v>4.8864926918085166E-2</v>
      </c>
      <c r="K62" t="s">
        <v>14</v>
      </c>
      <c r="P62" t="s">
        <v>5068</v>
      </c>
      <c r="Q62" t="s">
        <v>5216</v>
      </c>
      <c r="R62" t="s">
        <v>5097</v>
      </c>
      <c r="S62" t="s">
        <v>17</v>
      </c>
      <c r="U62" t="s">
        <v>5068</v>
      </c>
      <c r="V62" t="s">
        <v>5217</v>
      </c>
      <c r="W62" t="s">
        <v>5077</v>
      </c>
      <c r="X62" t="s">
        <v>19</v>
      </c>
    </row>
    <row r="63" spans="8:24" x14ac:dyDescent="0.45">
      <c r="H63" t="s">
        <v>5140</v>
      </c>
      <c r="I63" t="s">
        <v>36</v>
      </c>
      <c r="J63">
        <v>4.8864926918085166E-2</v>
      </c>
      <c r="K63" t="s">
        <v>14</v>
      </c>
      <c r="P63" t="s">
        <v>5068</v>
      </c>
      <c r="Q63" t="s">
        <v>5218</v>
      </c>
      <c r="R63" t="s">
        <v>5101</v>
      </c>
      <c r="S63" t="s">
        <v>17</v>
      </c>
      <c r="U63" t="s">
        <v>5068</v>
      </c>
      <c r="V63" t="s">
        <v>5217</v>
      </c>
      <c r="W63" t="s">
        <v>5212</v>
      </c>
      <c r="X63" t="s">
        <v>19</v>
      </c>
    </row>
    <row r="64" spans="8:24" x14ac:dyDescent="0.45">
      <c r="H64" t="s">
        <v>5142</v>
      </c>
      <c r="I64" t="s">
        <v>13</v>
      </c>
      <c r="J64">
        <v>6.2246098732593865E-3</v>
      </c>
      <c r="K64" t="s">
        <v>14</v>
      </c>
      <c r="P64" t="s">
        <v>5068</v>
      </c>
      <c r="Q64" t="s">
        <v>5219</v>
      </c>
      <c r="R64" t="s">
        <v>5105</v>
      </c>
      <c r="S64" t="s">
        <v>17</v>
      </c>
      <c r="U64" t="s">
        <v>5068</v>
      </c>
      <c r="V64" t="s">
        <v>5220</v>
      </c>
      <c r="W64" t="s">
        <v>5212</v>
      </c>
      <c r="X64" t="s">
        <v>19</v>
      </c>
    </row>
    <row r="65" spans="8:24" x14ac:dyDescent="0.45">
      <c r="H65" t="s">
        <v>5142</v>
      </c>
      <c r="I65" t="s">
        <v>27</v>
      </c>
      <c r="J65">
        <v>6.2246098732593865E-3</v>
      </c>
      <c r="K65" t="s">
        <v>14</v>
      </c>
      <c r="P65" t="s">
        <v>5068</v>
      </c>
      <c r="Q65" t="s">
        <v>5221</v>
      </c>
      <c r="R65" t="s">
        <v>5109</v>
      </c>
      <c r="S65" t="s">
        <v>17</v>
      </c>
      <c r="U65" t="s">
        <v>5068</v>
      </c>
      <c r="V65" t="s">
        <v>5222</v>
      </c>
      <c r="W65" t="s">
        <v>5212</v>
      </c>
      <c r="X65" t="s">
        <v>19</v>
      </c>
    </row>
    <row r="66" spans="8:24" x14ac:dyDescent="0.45">
      <c r="H66" t="s">
        <v>5142</v>
      </c>
      <c r="I66" t="s">
        <v>36</v>
      </c>
      <c r="J66">
        <v>6.2246098732593865E-3</v>
      </c>
      <c r="K66" t="s">
        <v>14</v>
      </c>
      <c r="P66" t="s">
        <v>5068</v>
      </c>
      <c r="Q66" t="s">
        <v>5223</v>
      </c>
      <c r="R66" t="s">
        <v>5113</v>
      </c>
      <c r="S66" t="s">
        <v>17</v>
      </c>
      <c r="U66" t="s">
        <v>5068</v>
      </c>
      <c r="V66" t="s">
        <v>5224</v>
      </c>
      <c r="W66" t="s">
        <v>5212</v>
      </c>
      <c r="X66" t="s">
        <v>19</v>
      </c>
    </row>
    <row r="67" spans="8:24" x14ac:dyDescent="0.45">
      <c r="H67" t="s">
        <v>5145</v>
      </c>
      <c r="I67" t="s">
        <v>13</v>
      </c>
      <c r="J67">
        <v>0.34426407743284415</v>
      </c>
      <c r="K67" t="s">
        <v>14</v>
      </c>
      <c r="P67" t="s">
        <v>5068</v>
      </c>
      <c r="Q67" t="s">
        <v>5225</v>
      </c>
      <c r="R67" t="s">
        <v>5117</v>
      </c>
      <c r="S67" t="s">
        <v>17</v>
      </c>
      <c r="U67" t="s">
        <v>5068</v>
      </c>
      <c r="V67" t="s">
        <v>5224</v>
      </c>
      <c r="W67" t="s">
        <v>5077</v>
      </c>
      <c r="X67" t="s">
        <v>17</v>
      </c>
    </row>
    <row r="68" spans="8:24" x14ac:dyDescent="0.45">
      <c r="H68" t="s">
        <v>5145</v>
      </c>
      <c r="I68" t="s">
        <v>27</v>
      </c>
      <c r="J68">
        <v>0.34426407743284415</v>
      </c>
      <c r="K68" t="s">
        <v>14</v>
      </c>
      <c r="P68" t="s">
        <v>5068</v>
      </c>
      <c r="Q68" t="s">
        <v>5226</v>
      </c>
      <c r="R68" t="s">
        <v>5121</v>
      </c>
      <c r="S68" t="s">
        <v>17</v>
      </c>
      <c r="U68" t="s">
        <v>5068</v>
      </c>
      <c r="V68" t="s">
        <v>5227</v>
      </c>
      <c r="W68" t="s">
        <v>5212</v>
      </c>
      <c r="X68" t="s">
        <v>19</v>
      </c>
    </row>
    <row r="69" spans="8:24" x14ac:dyDescent="0.45">
      <c r="H69" t="s">
        <v>5145</v>
      </c>
      <c r="I69" t="s">
        <v>36</v>
      </c>
      <c r="J69">
        <v>0.34426407743284415</v>
      </c>
      <c r="K69" t="s">
        <v>14</v>
      </c>
      <c r="P69" t="s">
        <v>5068</v>
      </c>
      <c r="Q69" t="s">
        <v>5228</v>
      </c>
      <c r="R69" t="s">
        <v>5124</v>
      </c>
      <c r="S69" t="s">
        <v>17</v>
      </c>
      <c r="U69" t="s">
        <v>5068</v>
      </c>
      <c r="V69" t="s">
        <v>5227</v>
      </c>
      <c r="W69" t="s">
        <v>5077</v>
      </c>
      <c r="X69" t="s">
        <v>17</v>
      </c>
    </row>
    <row r="70" spans="8:24" x14ac:dyDescent="0.45">
      <c r="H70" t="s">
        <v>5147</v>
      </c>
      <c r="I70" t="s">
        <v>13</v>
      </c>
      <c r="J70">
        <v>9.3822656271850283E-2</v>
      </c>
      <c r="K70" t="s">
        <v>14</v>
      </c>
      <c r="P70" t="s">
        <v>5068</v>
      </c>
      <c r="Q70" t="s">
        <v>5229</v>
      </c>
      <c r="R70" t="s">
        <v>5128</v>
      </c>
      <c r="S70" t="s">
        <v>17</v>
      </c>
      <c r="U70" t="s">
        <v>5068</v>
      </c>
      <c r="V70" t="s">
        <v>5230</v>
      </c>
      <c r="W70" t="s">
        <v>5081</v>
      </c>
      <c r="X70" t="s">
        <v>19</v>
      </c>
    </row>
    <row r="71" spans="8:24" x14ac:dyDescent="0.45">
      <c r="H71" t="s">
        <v>5147</v>
      </c>
      <c r="I71" t="s">
        <v>27</v>
      </c>
      <c r="J71">
        <v>9.3822656271850283E-2</v>
      </c>
      <c r="K71" t="s">
        <v>14</v>
      </c>
      <c r="P71" t="s">
        <v>5068</v>
      </c>
      <c r="Q71" t="s">
        <v>5231</v>
      </c>
      <c r="R71" t="s">
        <v>5131</v>
      </c>
      <c r="S71" t="s">
        <v>17</v>
      </c>
      <c r="U71" t="s">
        <v>5068</v>
      </c>
      <c r="V71" t="s">
        <v>5232</v>
      </c>
      <c r="W71" t="s">
        <v>5081</v>
      </c>
      <c r="X71" t="s">
        <v>19</v>
      </c>
    </row>
    <row r="72" spans="8:24" x14ac:dyDescent="0.45">
      <c r="H72" t="s">
        <v>5147</v>
      </c>
      <c r="I72" t="s">
        <v>36</v>
      </c>
      <c r="J72">
        <v>9.3822656271850283E-2</v>
      </c>
      <c r="K72" t="s">
        <v>14</v>
      </c>
      <c r="P72" t="s">
        <v>5068</v>
      </c>
      <c r="Q72" t="s">
        <v>5233</v>
      </c>
      <c r="R72" t="s">
        <v>5212</v>
      </c>
      <c r="S72" t="s">
        <v>17</v>
      </c>
      <c r="U72" t="s">
        <v>5068</v>
      </c>
      <c r="V72" t="s">
        <v>5234</v>
      </c>
      <c r="W72" t="s">
        <v>5081</v>
      </c>
      <c r="X72" t="s">
        <v>19</v>
      </c>
    </row>
    <row r="73" spans="8:24" x14ac:dyDescent="0.45">
      <c r="H73" t="s">
        <v>5150</v>
      </c>
      <c r="I73" t="s">
        <v>13</v>
      </c>
      <c r="J73">
        <v>4.0896110116274434E-2</v>
      </c>
      <c r="K73" t="s">
        <v>14</v>
      </c>
      <c r="P73" t="s">
        <v>5068</v>
      </c>
      <c r="Q73" t="s">
        <v>5235</v>
      </c>
      <c r="R73" t="s">
        <v>5236</v>
      </c>
      <c r="S73" t="s">
        <v>17</v>
      </c>
      <c r="U73" t="s">
        <v>5068</v>
      </c>
      <c r="V73" t="s">
        <v>5237</v>
      </c>
      <c r="W73" t="s">
        <v>5081</v>
      </c>
      <c r="X73" t="s">
        <v>19</v>
      </c>
    </row>
    <row r="74" spans="8:24" x14ac:dyDescent="0.45">
      <c r="H74" t="s">
        <v>5150</v>
      </c>
      <c r="I74" t="s">
        <v>27</v>
      </c>
      <c r="J74">
        <v>4.0896110116274434E-2</v>
      </c>
      <c r="K74" t="s">
        <v>14</v>
      </c>
      <c r="P74" t="s">
        <v>5068</v>
      </c>
      <c r="Q74" t="s">
        <v>5238</v>
      </c>
      <c r="R74" t="s">
        <v>5239</v>
      </c>
      <c r="S74" t="s">
        <v>17</v>
      </c>
      <c r="U74" t="s">
        <v>5068</v>
      </c>
      <c r="V74" t="s">
        <v>5240</v>
      </c>
      <c r="W74" t="s">
        <v>5081</v>
      </c>
      <c r="X74" t="s">
        <v>19</v>
      </c>
    </row>
    <row r="75" spans="8:24" x14ac:dyDescent="0.45">
      <c r="H75" t="s">
        <v>5150</v>
      </c>
      <c r="I75" t="s">
        <v>36</v>
      </c>
      <c r="J75">
        <v>4.0896110116274434E-2</v>
      </c>
      <c r="K75" t="s">
        <v>14</v>
      </c>
      <c r="P75" t="s">
        <v>5068</v>
      </c>
      <c r="Q75" t="s">
        <v>5241</v>
      </c>
      <c r="R75" t="s">
        <v>5114</v>
      </c>
      <c r="S75" t="s">
        <v>17</v>
      </c>
      <c r="U75" t="s">
        <v>5068</v>
      </c>
      <c r="V75" t="s">
        <v>5242</v>
      </c>
      <c r="W75" t="s">
        <v>5081</v>
      </c>
      <c r="X75" t="s">
        <v>19</v>
      </c>
    </row>
    <row r="76" spans="8:24" x14ac:dyDescent="0.45">
      <c r="H76" t="s">
        <v>5153</v>
      </c>
      <c r="I76" t="s">
        <v>13</v>
      </c>
      <c r="J76">
        <v>3.4635870036468917E-2</v>
      </c>
      <c r="K76" t="s">
        <v>14</v>
      </c>
      <c r="P76" t="s">
        <v>5068</v>
      </c>
      <c r="Q76" t="s">
        <v>5243</v>
      </c>
      <c r="R76" t="s">
        <v>5244</v>
      </c>
      <c r="S76" t="s">
        <v>17</v>
      </c>
      <c r="U76" t="s">
        <v>5068</v>
      </c>
      <c r="V76" t="s">
        <v>5245</v>
      </c>
      <c r="W76" t="s">
        <v>5081</v>
      </c>
      <c r="X76" t="s">
        <v>19</v>
      </c>
    </row>
    <row r="77" spans="8:24" x14ac:dyDescent="0.45">
      <c r="H77" t="s">
        <v>5153</v>
      </c>
      <c r="I77" t="s">
        <v>27</v>
      </c>
      <c r="J77">
        <v>3.4635870036468917E-2</v>
      </c>
      <c r="K77" t="s">
        <v>14</v>
      </c>
      <c r="P77" t="s">
        <v>5068</v>
      </c>
      <c r="Q77" t="s">
        <v>5246</v>
      </c>
      <c r="R77" t="s">
        <v>5247</v>
      </c>
      <c r="S77" t="s">
        <v>17</v>
      </c>
      <c r="U77" t="s">
        <v>5068</v>
      </c>
      <c r="V77" t="s">
        <v>5248</v>
      </c>
      <c r="W77" t="s">
        <v>5081</v>
      </c>
      <c r="X77" t="s">
        <v>19</v>
      </c>
    </row>
    <row r="78" spans="8:24" x14ac:dyDescent="0.45">
      <c r="H78" t="s">
        <v>5153</v>
      </c>
      <c r="I78" t="s">
        <v>36</v>
      </c>
      <c r="J78">
        <v>3.4635870036468917E-2</v>
      </c>
      <c r="K78" t="s">
        <v>14</v>
      </c>
      <c r="P78" t="s">
        <v>5068</v>
      </c>
      <c r="Q78" t="s">
        <v>5249</v>
      </c>
      <c r="R78" t="s">
        <v>5250</v>
      </c>
      <c r="S78" t="s">
        <v>17</v>
      </c>
      <c r="U78" t="s">
        <v>5068</v>
      </c>
      <c r="V78" t="s">
        <v>5251</v>
      </c>
      <c r="W78" t="s">
        <v>5081</v>
      </c>
      <c r="X78" t="s">
        <v>19</v>
      </c>
    </row>
    <row r="79" spans="8:24" x14ac:dyDescent="0.45">
      <c r="H79" t="s">
        <v>5155</v>
      </c>
      <c r="I79" t="s">
        <v>13</v>
      </c>
      <c r="J79">
        <v>1.0355044028170855E-2</v>
      </c>
      <c r="K79" t="s">
        <v>14</v>
      </c>
      <c r="P79" t="s">
        <v>5068</v>
      </c>
      <c r="Q79" t="s">
        <v>5252</v>
      </c>
      <c r="R79" t="s">
        <v>5172</v>
      </c>
      <c r="S79" t="s">
        <v>17</v>
      </c>
      <c r="U79" t="s">
        <v>5068</v>
      </c>
      <c r="V79" t="s">
        <v>5253</v>
      </c>
      <c r="W79" t="s">
        <v>5081</v>
      </c>
      <c r="X79" t="s">
        <v>19</v>
      </c>
    </row>
    <row r="80" spans="8:24" x14ac:dyDescent="0.45">
      <c r="H80" t="s">
        <v>5155</v>
      </c>
      <c r="I80" t="s">
        <v>27</v>
      </c>
      <c r="J80">
        <v>1.0355044028170855E-2</v>
      </c>
      <c r="K80" t="s">
        <v>14</v>
      </c>
      <c r="P80" t="s">
        <v>5068</v>
      </c>
      <c r="Q80" t="s">
        <v>5254</v>
      </c>
      <c r="R80" t="s">
        <v>5255</v>
      </c>
      <c r="S80" t="s">
        <v>17</v>
      </c>
      <c r="U80" t="s">
        <v>5068</v>
      </c>
      <c r="V80" t="s">
        <v>5256</v>
      </c>
      <c r="W80" t="s">
        <v>5081</v>
      </c>
      <c r="X80" t="s">
        <v>19</v>
      </c>
    </row>
    <row r="81" spans="8:24" x14ac:dyDescent="0.45">
      <c r="H81" t="s">
        <v>5155</v>
      </c>
      <c r="I81" t="s">
        <v>36</v>
      </c>
      <c r="J81">
        <v>1.0355044028170855E-2</v>
      </c>
      <c r="K81" t="s">
        <v>14</v>
      </c>
      <c r="P81" t="s">
        <v>5068</v>
      </c>
      <c r="Q81" t="s">
        <v>5257</v>
      </c>
      <c r="R81" t="s">
        <v>5258</v>
      </c>
      <c r="S81" t="s">
        <v>17</v>
      </c>
      <c r="U81" t="s">
        <v>5068</v>
      </c>
      <c r="V81" t="s">
        <v>5256</v>
      </c>
      <c r="W81" t="s">
        <v>5250</v>
      </c>
      <c r="X81" t="s">
        <v>19</v>
      </c>
    </row>
    <row r="82" spans="8:24" x14ac:dyDescent="0.45">
      <c r="H82" t="s">
        <v>5157</v>
      </c>
      <c r="I82" t="s">
        <v>13</v>
      </c>
      <c r="J82">
        <v>1.2213389731956421E-2</v>
      </c>
      <c r="K82" t="s">
        <v>14</v>
      </c>
      <c r="P82" t="s">
        <v>5068</v>
      </c>
      <c r="Q82" t="s">
        <v>5259</v>
      </c>
      <c r="R82" t="s">
        <v>5260</v>
      </c>
      <c r="S82" t="s">
        <v>17</v>
      </c>
      <c r="U82" t="s">
        <v>5068</v>
      </c>
      <c r="V82" t="s">
        <v>5261</v>
      </c>
      <c r="W82" t="s">
        <v>5081</v>
      </c>
      <c r="X82" t="s">
        <v>19</v>
      </c>
    </row>
    <row r="83" spans="8:24" x14ac:dyDescent="0.45">
      <c r="H83" t="s">
        <v>5157</v>
      </c>
      <c r="I83" t="s">
        <v>27</v>
      </c>
      <c r="J83">
        <v>1.2213389731956421E-2</v>
      </c>
      <c r="K83" t="s">
        <v>14</v>
      </c>
      <c r="P83" t="s">
        <v>5068</v>
      </c>
      <c r="Q83" t="s">
        <v>5262</v>
      </c>
      <c r="R83" t="s">
        <v>5263</v>
      </c>
      <c r="S83" t="s">
        <v>17</v>
      </c>
      <c r="U83" t="s">
        <v>5068</v>
      </c>
      <c r="V83" t="s">
        <v>5261</v>
      </c>
      <c r="W83" t="s">
        <v>5250</v>
      </c>
      <c r="X83" t="s">
        <v>19</v>
      </c>
    </row>
    <row r="84" spans="8:24" x14ac:dyDescent="0.45">
      <c r="H84" t="s">
        <v>5157</v>
      </c>
      <c r="I84" t="s">
        <v>36</v>
      </c>
      <c r="J84">
        <v>1.2213389731956421E-2</v>
      </c>
      <c r="K84" t="s">
        <v>14</v>
      </c>
      <c r="P84" t="s">
        <v>5068</v>
      </c>
      <c r="Q84" t="s">
        <v>5264</v>
      </c>
      <c r="R84" t="s">
        <v>5265</v>
      </c>
      <c r="S84" t="s">
        <v>17</v>
      </c>
      <c r="U84" t="s">
        <v>5068</v>
      </c>
      <c r="V84" t="s">
        <v>5266</v>
      </c>
      <c r="W84" t="s">
        <v>5081</v>
      </c>
      <c r="X84" t="s">
        <v>19</v>
      </c>
    </row>
    <row r="85" spans="8:24" x14ac:dyDescent="0.45">
      <c r="H85" t="s">
        <v>5159</v>
      </c>
      <c r="I85" t="s">
        <v>13</v>
      </c>
      <c r="J85">
        <v>0.12076814345848159</v>
      </c>
      <c r="K85" t="s">
        <v>14</v>
      </c>
      <c r="U85" t="s">
        <v>5068</v>
      </c>
      <c r="V85" t="s">
        <v>5266</v>
      </c>
      <c r="W85" t="s">
        <v>5250</v>
      </c>
      <c r="X85" t="s">
        <v>19</v>
      </c>
    </row>
    <row r="86" spans="8:24" x14ac:dyDescent="0.45">
      <c r="H86" t="s">
        <v>5159</v>
      </c>
      <c r="I86" t="s">
        <v>27</v>
      </c>
      <c r="J86">
        <v>0.12076814345848159</v>
      </c>
      <c r="K86" t="s">
        <v>14</v>
      </c>
      <c r="U86" t="s">
        <v>5068</v>
      </c>
      <c r="V86" t="s">
        <v>5267</v>
      </c>
      <c r="W86" t="s">
        <v>5250</v>
      </c>
      <c r="X86" t="s">
        <v>19</v>
      </c>
    </row>
    <row r="87" spans="8:24" x14ac:dyDescent="0.45">
      <c r="H87" t="s">
        <v>5159</v>
      </c>
      <c r="I87" t="s">
        <v>36</v>
      </c>
      <c r="J87">
        <v>0.12076814345848159</v>
      </c>
      <c r="K87" t="s">
        <v>14</v>
      </c>
      <c r="U87" t="s">
        <v>5068</v>
      </c>
      <c r="V87" t="s">
        <v>5268</v>
      </c>
      <c r="W87" t="s">
        <v>5250</v>
      </c>
      <c r="X87" t="s">
        <v>19</v>
      </c>
    </row>
    <row r="88" spans="8:24" x14ac:dyDescent="0.45">
      <c r="H88" t="s">
        <v>5161</v>
      </c>
      <c r="I88" t="s">
        <v>13</v>
      </c>
      <c r="J88">
        <v>1.8526022209690546E-2</v>
      </c>
      <c r="K88" t="s">
        <v>14</v>
      </c>
      <c r="U88" t="s">
        <v>5068</v>
      </c>
      <c r="V88" t="s">
        <v>5269</v>
      </c>
      <c r="W88" t="s">
        <v>5250</v>
      </c>
      <c r="X88" t="s">
        <v>19</v>
      </c>
    </row>
    <row r="89" spans="8:24" x14ac:dyDescent="0.45">
      <c r="H89" t="s">
        <v>5161</v>
      </c>
      <c r="I89" t="s">
        <v>27</v>
      </c>
      <c r="J89">
        <v>1.8526022209690546E-2</v>
      </c>
      <c r="K89" t="s">
        <v>14</v>
      </c>
      <c r="U89" t="s">
        <v>5068</v>
      </c>
      <c r="V89" t="s">
        <v>5269</v>
      </c>
      <c r="W89" t="s">
        <v>5081</v>
      </c>
      <c r="X89" t="s">
        <v>17</v>
      </c>
    </row>
    <row r="90" spans="8:24" x14ac:dyDescent="0.45">
      <c r="H90" t="s">
        <v>5161</v>
      </c>
      <c r="I90" t="s">
        <v>36</v>
      </c>
      <c r="J90">
        <v>1.8526022209690546E-2</v>
      </c>
      <c r="K90" t="s">
        <v>14</v>
      </c>
      <c r="U90" t="s">
        <v>5068</v>
      </c>
      <c r="V90" t="s">
        <v>5270</v>
      </c>
      <c r="W90" t="s">
        <v>5250</v>
      </c>
      <c r="X90" t="s">
        <v>19</v>
      </c>
    </row>
    <row r="91" spans="8:24" x14ac:dyDescent="0.45">
      <c r="H91" t="s">
        <v>5163</v>
      </c>
      <c r="I91" t="s">
        <v>13</v>
      </c>
      <c r="J91">
        <v>4.324298206930708E-2</v>
      </c>
      <c r="K91" t="s">
        <v>14</v>
      </c>
      <c r="U91" t="s">
        <v>5068</v>
      </c>
      <c r="V91" t="s">
        <v>5270</v>
      </c>
      <c r="W91" t="s">
        <v>5081</v>
      </c>
      <c r="X91" t="s">
        <v>17</v>
      </c>
    </row>
    <row r="92" spans="8:24" x14ac:dyDescent="0.45">
      <c r="H92" t="s">
        <v>5163</v>
      </c>
      <c r="I92" t="s">
        <v>27</v>
      </c>
      <c r="J92">
        <v>4.324298206930708E-2</v>
      </c>
      <c r="K92" t="s">
        <v>14</v>
      </c>
      <c r="U92" t="s">
        <v>5068</v>
      </c>
      <c r="V92" t="s">
        <v>5271</v>
      </c>
      <c r="W92" t="s">
        <v>5085</v>
      </c>
      <c r="X92" t="s">
        <v>19</v>
      </c>
    </row>
    <row r="93" spans="8:24" x14ac:dyDescent="0.45">
      <c r="H93" t="s">
        <v>5163</v>
      </c>
      <c r="I93" t="s">
        <v>36</v>
      </c>
      <c r="J93">
        <v>4.324298206930708E-2</v>
      </c>
      <c r="K93" t="s">
        <v>14</v>
      </c>
      <c r="U93" t="s">
        <v>5068</v>
      </c>
      <c r="V93" t="s">
        <v>5272</v>
      </c>
      <c r="W93" t="s">
        <v>5085</v>
      </c>
      <c r="X93" t="s">
        <v>19</v>
      </c>
    </row>
    <row r="94" spans="8:24" x14ac:dyDescent="0.45">
      <c r="H94" t="s">
        <v>5165</v>
      </c>
      <c r="I94" t="s">
        <v>13</v>
      </c>
      <c r="J94">
        <v>1.7422915959801364E-2</v>
      </c>
      <c r="K94" t="s">
        <v>14</v>
      </c>
      <c r="U94" t="s">
        <v>5068</v>
      </c>
      <c r="V94" t="s">
        <v>5273</v>
      </c>
      <c r="W94" t="s">
        <v>5085</v>
      </c>
      <c r="X94" t="s">
        <v>19</v>
      </c>
    </row>
    <row r="95" spans="8:24" x14ac:dyDescent="0.45">
      <c r="H95" t="s">
        <v>5165</v>
      </c>
      <c r="I95" t="s">
        <v>27</v>
      </c>
      <c r="J95">
        <v>1.7422915959801364E-2</v>
      </c>
      <c r="K95" t="s">
        <v>14</v>
      </c>
      <c r="U95" t="s">
        <v>5068</v>
      </c>
      <c r="V95" t="s">
        <v>5274</v>
      </c>
      <c r="W95" t="s">
        <v>5085</v>
      </c>
      <c r="X95" t="s">
        <v>19</v>
      </c>
    </row>
    <row r="96" spans="8:24" x14ac:dyDescent="0.45">
      <c r="H96" t="s">
        <v>5165</v>
      </c>
      <c r="I96" t="s">
        <v>36</v>
      </c>
      <c r="J96">
        <v>1.7422915959801364E-2</v>
      </c>
      <c r="K96" t="s">
        <v>14</v>
      </c>
      <c r="U96" t="s">
        <v>5068</v>
      </c>
      <c r="V96" t="s">
        <v>5275</v>
      </c>
      <c r="W96" t="s">
        <v>5085</v>
      </c>
      <c r="X96" t="s">
        <v>19</v>
      </c>
    </row>
    <row r="97" spans="8:24" x14ac:dyDescent="0.45">
      <c r="H97" t="s">
        <v>5167</v>
      </c>
      <c r="I97" t="s">
        <v>13</v>
      </c>
      <c r="J97">
        <v>3.8892004853638758E-2</v>
      </c>
      <c r="K97" t="s">
        <v>14</v>
      </c>
      <c r="U97" t="s">
        <v>5068</v>
      </c>
      <c r="V97" t="s">
        <v>5276</v>
      </c>
      <c r="W97" t="s">
        <v>5085</v>
      </c>
      <c r="X97" t="s">
        <v>19</v>
      </c>
    </row>
    <row r="98" spans="8:24" x14ac:dyDescent="0.45">
      <c r="H98" t="s">
        <v>5167</v>
      </c>
      <c r="I98" t="s">
        <v>27</v>
      </c>
      <c r="J98">
        <v>3.8892004853638758E-2</v>
      </c>
      <c r="K98" t="s">
        <v>14</v>
      </c>
      <c r="U98" t="s">
        <v>5068</v>
      </c>
      <c r="V98" t="s">
        <v>5277</v>
      </c>
      <c r="W98" t="s">
        <v>5085</v>
      </c>
      <c r="X98" t="s">
        <v>19</v>
      </c>
    </row>
    <row r="99" spans="8:24" x14ac:dyDescent="0.45">
      <c r="H99" t="s">
        <v>5167</v>
      </c>
      <c r="I99" t="s">
        <v>36</v>
      </c>
      <c r="J99">
        <v>3.8892004853638758E-2</v>
      </c>
      <c r="K99" t="s">
        <v>14</v>
      </c>
      <c r="U99" t="s">
        <v>5068</v>
      </c>
      <c r="V99" t="s">
        <v>5278</v>
      </c>
      <c r="W99" t="s">
        <v>5085</v>
      </c>
      <c r="X99" t="s">
        <v>19</v>
      </c>
    </row>
    <row r="100" spans="8:24" x14ac:dyDescent="0.45">
      <c r="H100" t="s">
        <v>5169</v>
      </c>
      <c r="I100" t="s">
        <v>13</v>
      </c>
      <c r="J100">
        <v>2.1875910556301364E-2</v>
      </c>
      <c r="K100" t="s">
        <v>14</v>
      </c>
      <c r="U100" t="s">
        <v>5068</v>
      </c>
      <c r="V100" t="s">
        <v>5279</v>
      </c>
      <c r="W100" t="s">
        <v>5085</v>
      </c>
      <c r="X100" t="s">
        <v>19</v>
      </c>
    </row>
    <row r="101" spans="8:24" x14ac:dyDescent="0.45">
      <c r="H101" t="s">
        <v>5169</v>
      </c>
      <c r="I101" t="s">
        <v>27</v>
      </c>
      <c r="J101">
        <v>2.1875910556301364E-2</v>
      </c>
      <c r="K101" t="s">
        <v>14</v>
      </c>
      <c r="U101" t="s">
        <v>5068</v>
      </c>
      <c r="V101" t="s">
        <v>5280</v>
      </c>
      <c r="W101" t="s">
        <v>5085</v>
      </c>
      <c r="X101" t="s">
        <v>19</v>
      </c>
    </row>
    <row r="102" spans="8:24" x14ac:dyDescent="0.45">
      <c r="H102" t="s">
        <v>5169</v>
      </c>
      <c r="I102" t="s">
        <v>36</v>
      </c>
      <c r="J102">
        <v>2.1875910556301364E-2</v>
      </c>
      <c r="K102" t="s">
        <v>14</v>
      </c>
      <c r="U102" t="s">
        <v>5068</v>
      </c>
      <c r="V102" t="s">
        <v>5281</v>
      </c>
      <c r="W102" t="s">
        <v>5085</v>
      </c>
      <c r="X102" t="s">
        <v>19</v>
      </c>
    </row>
    <row r="103" spans="8:24" x14ac:dyDescent="0.45">
      <c r="H103" t="s">
        <v>5171</v>
      </c>
      <c r="I103" t="s">
        <v>13</v>
      </c>
      <c r="J103">
        <v>2.4395132340854098E-3</v>
      </c>
      <c r="K103" t="s">
        <v>14</v>
      </c>
      <c r="U103" t="s">
        <v>5068</v>
      </c>
      <c r="V103" t="s">
        <v>5281</v>
      </c>
      <c r="W103" t="s">
        <v>5255</v>
      </c>
      <c r="X103" t="s">
        <v>19</v>
      </c>
    </row>
    <row r="104" spans="8:24" x14ac:dyDescent="0.45">
      <c r="H104" t="s">
        <v>5171</v>
      </c>
      <c r="I104" t="s">
        <v>27</v>
      </c>
      <c r="J104">
        <v>2.4395132340854098E-3</v>
      </c>
      <c r="K104" t="s">
        <v>14</v>
      </c>
      <c r="U104" t="s">
        <v>5068</v>
      </c>
      <c r="V104" t="s">
        <v>5282</v>
      </c>
      <c r="W104" t="s">
        <v>5085</v>
      </c>
      <c r="X104" t="s">
        <v>19</v>
      </c>
    </row>
    <row r="105" spans="8:24" x14ac:dyDescent="0.45">
      <c r="H105" t="s">
        <v>5171</v>
      </c>
      <c r="I105" t="s">
        <v>36</v>
      </c>
      <c r="J105">
        <v>2.4395132340854098E-3</v>
      </c>
      <c r="K105" t="s">
        <v>14</v>
      </c>
      <c r="U105" t="s">
        <v>5068</v>
      </c>
      <c r="V105" t="s">
        <v>5282</v>
      </c>
      <c r="W105" t="s">
        <v>5255</v>
      </c>
      <c r="X105" t="s">
        <v>19</v>
      </c>
    </row>
    <row r="106" spans="8:24" x14ac:dyDescent="0.45">
      <c r="H106" t="s">
        <v>5173</v>
      </c>
      <c r="I106" t="s">
        <v>13</v>
      </c>
      <c r="J106">
        <v>0.1103610500052568</v>
      </c>
      <c r="K106" t="s">
        <v>14</v>
      </c>
      <c r="U106" t="s">
        <v>5068</v>
      </c>
      <c r="V106" t="s">
        <v>5283</v>
      </c>
      <c r="W106" t="s">
        <v>5085</v>
      </c>
      <c r="X106" t="s">
        <v>19</v>
      </c>
    </row>
    <row r="107" spans="8:24" x14ac:dyDescent="0.45">
      <c r="H107" t="s">
        <v>5173</v>
      </c>
      <c r="I107" t="s">
        <v>27</v>
      </c>
      <c r="J107">
        <v>0.1103610500052568</v>
      </c>
      <c r="K107" t="s">
        <v>14</v>
      </c>
      <c r="U107" t="s">
        <v>5068</v>
      </c>
      <c r="V107" t="s">
        <v>5283</v>
      </c>
      <c r="W107" t="s">
        <v>5255</v>
      </c>
      <c r="X107" t="s">
        <v>19</v>
      </c>
    </row>
    <row r="108" spans="8:24" x14ac:dyDescent="0.45">
      <c r="H108" t="s">
        <v>5173</v>
      </c>
      <c r="I108" t="s">
        <v>36</v>
      </c>
      <c r="J108">
        <v>0.1103610500052568</v>
      </c>
      <c r="K108" t="s">
        <v>14</v>
      </c>
      <c r="U108" t="s">
        <v>5068</v>
      </c>
      <c r="V108" t="s">
        <v>5284</v>
      </c>
      <c r="W108" t="s">
        <v>5255</v>
      </c>
      <c r="X108" t="s">
        <v>19</v>
      </c>
    </row>
    <row r="109" spans="8:24" x14ac:dyDescent="0.45">
      <c r="H109" t="s">
        <v>5175</v>
      </c>
      <c r="I109" t="s">
        <v>13</v>
      </c>
      <c r="J109">
        <v>1.5194773244526694E-2</v>
      </c>
      <c r="K109" t="s">
        <v>14</v>
      </c>
      <c r="U109" t="s">
        <v>5068</v>
      </c>
      <c r="V109" t="s">
        <v>5285</v>
      </c>
      <c r="W109" t="s">
        <v>5255</v>
      </c>
      <c r="X109" t="s">
        <v>19</v>
      </c>
    </row>
    <row r="110" spans="8:24" x14ac:dyDescent="0.45">
      <c r="H110" t="s">
        <v>5175</v>
      </c>
      <c r="I110" t="s">
        <v>27</v>
      </c>
      <c r="J110">
        <v>1.5194773244526694E-2</v>
      </c>
      <c r="K110" t="s">
        <v>14</v>
      </c>
      <c r="U110" t="s">
        <v>5068</v>
      </c>
      <c r="V110" t="s">
        <v>5286</v>
      </c>
      <c r="W110" t="s">
        <v>5255</v>
      </c>
      <c r="X110" t="s">
        <v>19</v>
      </c>
    </row>
    <row r="111" spans="8:24" x14ac:dyDescent="0.45">
      <c r="H111" t="s">
        <v>5175</v>
      </c>
      <c r="I111" t="s">
        <v>36</v>
      </c>
      <c r="J111">
        <v>1.5194773244526694E-2</v>
      </c>
      <c r="K111" t="s">
        <v>14</v>
      </c>
      <c r="U111" t="s">
        <v>5068</v>
      </c>
      <c r="V111" t="s">
        <v>5286</v>
      </c>
      <c r="W111" t="s">
        <v>5085</v>
      </c>
      <c r="X111" t="s">
        <v>17</v>
      </c>
    </row>
    <row r="112" spans="8:24" x14ac:dyDescent="0.45">
      <c r="H112" t="s">
        <v>5176</v>
      </c>
      <c r="I112" t="s">
        <v>13</v>
      </c>
      <c r="J112">
        <v>4.8864926918085166E-2</v>
      </c>
      <c r="K112" t="s">
        <v>14</v>
      </c>
      <c r="U112" t="s">
        <v>5068</v>
      </c>
      <c r="V112" t="s">
        <v>5287</v>
      </c>
      <c r="W112" t="s">
        <v>5255</v>
      </c>
      <c r="X112" t="s">
        <v>19</v>
      </c>
    </row>
    <row r="113" spans="8:24" x14ac:dyDescent="0.45">
      <c r="H113" t="s">
        <v>5176</v>
      </c>
      <c r="I113" t="s">
        <v>27</v>
      </c>
      <c r="J113">
        <v>4.8864926918085166E-2</v>
      </c>
      <c r="K113" t="s">
        <v>14</v>
      </c>
      <c r="U113" t="s">
        <v>5068</v>
      </c>
      <c r="V113" t="s">
        <v>5287</v>
      </c>
      <c r="W113" t="s">
        <v>5085</v>
      </c>
      <c r="X113" t="s">
        <v>17</v>
      </c>
    </row>
    <row r="114" spans="8:24" x14ac:dyDescent="0.45">
      <c r="H114" t="s">
        <v>5176</v>
      </c>
      <c r="I114" t="s">
        <v>36</v>
      </c>
      <c r="J114">
        <v>4.8864926918085166E-2</v>
      </c>
      <c r="K114" t="s">
        <v>14</v>
      </c>
      <c r="U114" t="s">
        <v>5068</v>
      </c>
      <c r="V114" t="s">
        <v>5288</v>
      </c>
      <c r="W114" t="s">
        <v>5089</v>
      </c>
      <c r="X114" t="s">
        <v>19</v>
      </c>
    </row>
    <row r="115" spans="8:24" x14ac:dyDescent="0.45">
      <c r="H115" t="s">
        <v>5178</v>
      </c>
      <c r="I115" t="s">
        <v>13</v>
      </c>
      <c r="J115">
        <v>6.2246098732593865E-3</v>
      </c>
      <c r="K115" t="s">
        <v>14</v>
      </c>
      <c r="U115" t="s">
        <v>5068</v>
      </c>
      <c r="V115" t="s">
        <v>5289</v>
      </c>
      <c r="W115" t="s">
        <v>5089</v>
      </c>
      <c r="X115" t="s">
        <v>19</v>
      </c>
    </row>
    <row r="116" spans="8:24" x14ac:dyDescent="0.45">
      <c r="H116" t="s">
        <v>5178</v>
      </c>
      <c r="I116" t="s">
        <v>27</v>
      </c>
      <c r="J116">
        <v>6.2246098732593865E-3</v>
      </c>
      <c r="K116" t="s">
        <v>14</v>
      </c>
      <c r="U116" t="s">
        <v>5068</v>
      </c>
      <c r="V116" t="s">
        <v>5290</v>
      </c>
      <c r="W116" t="s">
        <v>5089</v>
      </c>
      <c r="X116" t="s">
        <v>19</v>
      </c>
    </row>
    <row r="117" spans="8:24" x14ac:dyDescent="0.45">
      <c r="H117" t="s">
        <v>5178</v>
      </c>
      <c r="I117" t="s">
        <v>36</v>
      </c>
      <c r="J117">
        <v>6.2246098732593865E-3</v>
      </c>
      <c r="K117" t="s">
        <v>14</v>
      </c>
      <c r="U117" t="s">
        <v>5068</v>
      </c>
      <c r="V117" t="s">
        <v>5291</v>
      </c>
      <c r="W117" t="s">
        <v>5089</v>
      </c>
      <c r="X117" t="s">
        <v>19</v>
      </c>
    </row>
    <row r="118" spans="8:24" x14ac:dyDescent="0.45">
      <c r="H118" t="s">
        <v>5179</v>
      </c>
      <c r="I118" t="s">
        <v>13</v>
      </c>
      <c r="J118">
        <v>0.34426407743284415</v>
      </c>
      <c r="K118" t="s">
        <v>14</v>
      </c>
      <c r="U118" t="s">
        <v>5068</v>
      </c>
      <c r="V118" t="s">
        <v>5292</v>
      </c>
      <c r="W118" t="s">
        <v>5089</v>
      </c>
      <c r="X118" t="s">
        <v>19</v>
      </c>
    </row>
    <row r="119" spans="8:24" x14ac:dyDescent="0.45">
      <c r="H119" t="s">
        <v>5179</v>
      </c>
      <c r="I119" t="s">
        <v>27</v>
      </c>
      <c r="J119">
        <v>0.34426407743284415</v>
      </c>
      <c r="K119" t="s">
        <v>14</v>
      </c>
      <c r="U119" t="s">
        <v>5068</v>
      </c>
      <c r="V119" t="s">
        <v>5293</v>
      </c>
      <c r="W119" t="s">
        <v>5089</v>
      </c>
      <c r="X119" t="s">
        <v>19</v>
      </c>
    </row>
    <row r="120" spans="8:24" x14ac:dyDescent="0.45">
      <c r="H120" t="s">
        <v>5179</v>
      </c>
      <c r="I120" t="s">
        <v>36</v>
      </c>
      <c r="J120">
        <v>0.34426407743284415</v>
      </c>
      <c r="K120" t="s">
        <v>14</v>
      </c>
      <c r="U120" t="s">
        <v>5068</v>
      </c>
      <c r="V120" t="s">
        <v>5294</v>
      </c>
      <c r="W120" t="s">
        <v>5089</v>
      </c>
      <c r="X120" t="s">
        <v>19</v>
      </c>
    </row>
    <row r="121" spans="8:24" x14ac:dyDescent="0.45">
      <c r="H121" t="s">
        <v>5181</v>
      </c>
      <c r="I121" t="s">
        <v>13</v>
      </c>
      <c r="J121">
        <v>9.3822656271850283E-2</v>
      </c>
      <c r="K121" t="s">
        <v>14</v>
      </c>
      <c r="U121" t="s">
        <v>5068</v>
      </c>
      <c r="V121" t="s">
        <v>5295</v>
      </c>
      <c r="W121" t="s">
        <v>5089</v>
      </c>
      <c r="X121" t="s">
        <v>19</v>
      </c>
    </row>
    <row r="122" spans="8:24" x14ac:dyDescent="0.45">
      <c r="H122" t="s">
        <v>5181</v>
      </c>
      <c r="I122" t="s">
        <v>27</v>
      </c>
      <c r="J122">
        <v>9.3822656271850283E-2</v>
      </c>
      <c r="K122" t="s">
        <v>14</v>
      </c>
      <c r="U122" t="s">
        <v>5068</v>
      </c>
      <c r="V122" t="s">
        <v>5296</v>
      </c>
      <c r="W122" t="s">
        <v>5089</v>
      </c>
      <c r="X122" t="s">
        <v>19</v>
      </c>
    </row>
    <row r="123" spans="8:24" x14ac:dyDescent="0.45">
      <c r="H123" t="s">
        <v>5181</v>
      </c>
      <c r="I123" t="s">
        <v>36</v>
      </c>
      <c r="J123">
        <v>9.3822656271850283E-2</v>
      </c>
      <c r="K123" t="s">
        <v>14</v>
      </c>
      <c r="U123" t="s">
        <v>5068</v>
      </c>
      <c r="V123" t="s">
        <v>5297</v>
      </c>
      <c r="W123" t="s">
        <v>5089</v>
      </c>
      <c r="X123" t="s">
        <v>19</v>
      </c>
    </row>
    <row r="124" spans="8:24" x14ac:dyDescent="0.45">
      <c r="H124" t="s">
        <v>5183</v>
      </c>
      <c r="I124" t="s">
        <v>13</v>
      </c>
      <c r="J124">
        <v>4.0896110116274434E-2</v>
      </c>
      <c r="K124" t="s">
        <v>14</v>
      </c>
      <c r="U124" t="s">
        <v>5068</v>
      </c>
      <c r="V124" t="s">
        <v>5298</v>
      </c>
      <c r="W124" t="s">
        <v>5089</v>
      </c>
      <c r="X124" t="s">
        <v>19</v>
      </c>
    </row>
    <row r="125" spans="8:24" x14ac:dyDescent="0.45">
      <c r="H125" t="s">
        <v>5183</v>
      </c>
      <c r="I125" t="s">
        <v>27</v>
      </c>
      <c r="J125">
        <v>4.0896110116274434E-2</v>
      </c>
      <c r="K125" t="s">
        <v>14</v>
      </c>
      <c r="U125" t="s">
        <v>5068</v>
      </c>
      <c r="V125" t="s">
        <v>5298</v>
      </c>
      <c r="W125" t="s">
        <v>5247</v>
      </c>
      <c r="X125" t="s">
        <v>19</v>
      </c>
    </row>
    <row r="126" spans="8:24" x14ac:dyDescent="0.45">
      <c r="H126" t="s">
        <v>5183</v>
      </c>
      <c r="I126" t="s">
        <v>36</v>
      </c>
      <c r="J126">
        <v>4.0896110116274434E-2</v>
      </c>
      <c r="K126" t="s">
        <v>14</v>
      </c>
      <c r="U126" t="s">
        <v>5068</v>
      </c>
      <c r="V126" t="s">
        <v>5299</v>
      </c>
      <c r="W126" t="s">
        <v>5089</v>
      </c>
      <c r="X126" t="s">
        <v>19</v>
      </c>
    </row>
    <row r="127" spans="8:24" x14ac:dyDescent="0.45">
      <c r="H127" t="s">
        <v>5185</v>
      </c>
      <c r="I127" t="s">
        <v>13</v>
      </c>
      <c r="J127">
        <v>3.4635870036468917E-2</v>
      </c>
      <c r="K127" t="s">
        <v>14</v>
      </c>
      <c r="U127" t="s">
        <v>5068</v>
      </c>
      <c r="V127" t="s">
        <v>5299</v>
      </c>
      <c r="W127" t="s">
        <v>5247</v>
      </c>
      <c r="X127" t="s">
        <v>19</v>
      </c>
    </row>
    <row r="128" spans="8:24" x14ac:dyDescent="0.45">
      <c r="H128" t="s">
        <v>5185</v>
      </c>
      <c r="I128" t="s">
        <v>27</v>
      </c>
      <c r="J128">
        <v>3.4635870036468917E-2</v>
      </c>
      <c r="K128" t="s">
        <v>14</v>
      </c>
      <c r="U128" t="s">
        <v>5068</v>
      </c>
      <c r="V128" t="s">
        <v>5300</v>
      </c>
      <c r="W128" t="s">
        <v>5089</v>
      </c>
      <c r="X128" t="s">
        <v>19</v>
      </c>
    </row>
    <row r="129" spans="8:24" x14ac:dyDescent="0.45">
      <c r="H129" t="s">
        <v>5185</v>
      </c>
      <c r="I129" t="s">
        <v>36</v>
      </c>
      <c r="J129">
        <v>3.4635870036468917E-2</v>
      </c>
      <c r="K129" t="s">
        <v>14</v>
      </c>
      <c r="U129" t="s">
        <v>5068</v>
      </c>
      <c r="V129" t="s">
        <v>5300</v>
      </c>
      <c r="W129" t="s">
        <v>5247</v>
      </c>
      <c r="X129" t="s">
        <v>19</v>
      </c>
    </row>
    <row r="130" spans="8:24" x14ac:dyDescent="0.45">
      <c r="H130" t="s">
        <v>5186</v>
      </c>
      <c r="I130" t="s">
        <v>13</v>
      </c>
      <c r="J130">
        <v>1.0355044028170855E-2</v>
      </c>
      <c r="K130" t="s">
        <v>14</v>
      </c>
      <c r="U130" t="s">
        <v>5068</v>
      </c>
      <c r="V130" t="s">
        <v>5301</v>
      </c>
      <c r="W130" t="s">
        <v>5247</v>
      </c>
      <c r="X130" t="s">
        <v>19</v>
      </c>
    </row>
    <row r="131" spans="8:24" x14ac:dyDescent="0.45">
      <c r="H131" t="s">
        <v>5186</v>
      </c>
      <c r="I131" t="s">
        <v>27</v>
      </c>
      <c r="J131">
        <v>1.0355044028170855E-2</v>
      </c>
      <c r="K131" t="s">
        <v>14</v>
      </c>
      <c r="U131" t="s">
        <v>5068</v>
      </c>
      <c r="V131" t="s">
        <v>5302</v>
      </c>
      <c r="W131" t="s">
        <v>5247</v>
      </c>
      <c r="X131" t="s">
        <v>19</v>
      </c>
    </row>
    <row r="132" spans="8:24" x14ac:dyDescent="0.45">
      <c r="H132" t="s">
        <v>5186</v>
      </c>
      <c r="I132" t="s">
        <v>36</v>
      </c>
      <c r="J132">
        <v>1.0355044028170855E-2</v>
      </c>
      <c r="K132" t="s">
        <v>14</v>
      </c>
      <c r="U132" t="s">
        <v>5068</v>
      </c>
      <c r="V132" t="s">
        <v>5303</v>
      </c>
      <c r="W132" t="s">
        <v>5247</v>
      </c>
      <c r="X132" t="s">
        <v>19</v>
      </c>
    </row>
    <row r="133" spans="8:24" x14ac:dyDescent="0.45">
      <c r="H133" t="s">
        <v>5188</v>
      </c>
      <c r="I133" t="s">
        <v>13</v>
      </c>
      <c r="J133">
        <v>1.2213389731956421E-2</v>
      </c>
      <c r="K133" t="s">
        <v>14</v>
      </c>
      <c r="U133" t="s">
        <v>5068</v>
      </c>
      <c r="V133" t="s">
        <v>5303</v>
      </c>
      <c r="W133" t="s">
        <v>5089</v>
      </c>
      <c r="X133" t="s">
        <v>17</v>
      </c>
    </row>
    <row r="134" spans="8:24" x14ac:dyDescent="0.45">
      <c r="H134" t="s">
        <v>5188</v>
      </c>
      <c r="I134" t="s">
        <v>27</v>
      </c>
      <c r="J134">
        <v>1.2213389731956421E-2</v>
      </c>
      <c r="K134" t="s">
        <v>14</v>
      </c>
      <c r="U134" t="s">
        <v>5068</v>
      </c>
      <c r="V134" t="s">
        <v>5304</v>
      </c>
      <c r="W134" t="s">
        <v>5247</v>
      </c>
      <c r="X134" t="s">
        <v>19</v>
      </c>
    </row>
    <row r="135" spans="8:24" x14ac:dyDescent="0.45">
      <c r="H135" t="s">
        <v>5188</v>
      </c>
      <c r="I135" t="s">
        <v>36</v>
      </c>
      <c r="J135">
        <v>1.2213389731956421E-2</v>
      </c>
      <c r="K135" t="s">
        <v>14</v>
      </c>
      <c r="U135" t="s">
        <v>5068</v>
      </c>
      <c r="V135" t="s">
        <v>5304</v>
      </c>
      <c r="W135" t="s">
        <v>5089</v>
      </c>
      <c r="X135" t="s">
        <v>17</v>
      </c>
    </row>
    <row r="136" spans="8:24" x14ac:dyDescent="0.45">
      <c r="H136" t="s">
        <v>5189</v>
      </c>
      <c r="I136" t="s">
        <v>13</v>
      </c>
      <c r="J136">
        <v>0.12076814345848159</v>
      </c>
      <c r="K136" t="s">
        <v>14</v>
      </c>
      <c r="U136" t="s">
        <v>5068</v>
      </c>
      <c r="V136" t="s">
        <v>5305</v>
      </c>
      <c r="W136" t="s">
        <v>5093</v>
      </c>
      <c r="X136" t="s">
        <v>19</v>
      </c>
    </row>
    <row r="137" spans="8:24" x14ac:dyDescent="0.45">
      <c r="H137" t="s">
        <v>5189</v>
      </c>
      <c r="I137" t="s">
        <v>27</v>
      </c>
      <c r="J137">
        <v>0.12076814345848159</v>
      </c>
      <c r="K137" t="s">
        <v>14</v>
      </c>
      <c r="U137" t="s">
        <v>5068</v>
      </c>
      <c r="V137" t="s">
        <v>5306</v>
      </c>
      <c r="W137" t="s">
        <v>5093</v>
      </c>
      <c r="X137" t="s">
        <v>19</v>
      </c>
    </row>
    <row r="138" spans="8:24" x14ac:dyDescent="0.45">
      <c r="H138" t="s">
        <v>5189</v>
      </c>
      <c r="I138" t="s">
        <v>36</v>
      </c>
      <c r="J138">
        <v>0.12076814345848159</v>
      </c>
      <c r="K138" t="s">
        <v>14</v>
      </c>
      <c r="U138" t="s">
        <v>5068</v>
      </c>
      <c r="V138" t="s">
        <v>5307</v>
      </c>
      <c r="W138" t="s">
        <v>5093</v>
      </c>
      <c r="X138" t="s">
        <v>19</v>
      </c>
    </row>
    <row r="139" spans="8:24" x14ac:dyDescent="0.45">
      <c r="H139" t="s">
        <v>5191</v>
      </c>
      <c r="I139" t="s">
        <v>13</v>
      </c>
      <c r="J139">
        <v>1.8526022209690546E-2</v>
      </c>
      <c r="K139" t="s">
        <v>14</v>
      </c>
      <c r="U139" t="s">
        <v>5068</v>
      </c>
      <c r="V139" t="s">
        <v>5308</v>
      </c>
      <c r="W139" t="s">
        <v>5093</v>
      </c>
      <c r="X139" t="s">
        <v>19</v>
      </c>
    </row>
    <row r="140" spans="8:24" x14ac:dyDescent="0.45">
      <c r="H140" t="s">
        <v>5191</v>
      </c>
      <c r="I140" t="s">
        <v>27</v>
      </c>
      <c r="J140">
        <v>1.8526022209690546E-2</v>
      </c>
      <c r="K140" t="s">
        <v>14</v>
      </c>
      <c r="U140" t="s">
        <v>5068</v>
      </c>
      <c r="V140" t="s">
        <v>5309</v>
      </c>
      <c r="W140" t="s">
        <v>5093</v>
      </c>
      <c r="X140" t="s">
        <v>19</v>
      </c>
    </row>
    <row r="141" spans="8:24" x14ac:dyDescent="0.45">
      <c r="H141" t="s">
        <v>5191</v>
      </c>
      <c r="I141" t="s">
        <v>36</v>
      </c>
      <c r="J141">
        <v>1.8526022209690546E-2</v>
      </c>
      <c r="K141" t="s">
        <v>14</v>
      </c>
      <c r="U141" t="s">
        <v>5068</v>
      </c>
      <c r="V141" t="s">
        <v>5310</v>
      </c>
      <c r="W141" t="s">
        <v>5093</v>
      </c>
      <c r="X141" t="s">
        <v>19</v>
      </c>
    </row>
    <row r="142" spans="8:24" x14ac:dyDescent="0.45">
      <c r="H142" t="s">
        <v>5193</v>
      </c>
      <c r="I142" t="s">
        <v>13</v>
      </c>
      <c r="J142">
        <v>4.324298206930708E-2</v>
      </c>
      <c r="K142" t="s">
        <v>14</v>
      </c>
      <c r="U142" t="s">
        <v>5068</v>
      </c>
      <c r="V142" t="s">
        <v>5311</v>
      </c>
      <c r="W142" t="s">
        <v>5093</v>
      </c>
      <c r="X142" t="s">
        <v>19</v>
      </c>
    </row>
    <row r="143" spans="8:24" x14ac:dyDescent="0.45">
      <c r="H143" t="s">
        <v>5193</v>
      </c>
      <c r="I143" t="s">
        <v>27</v>
      </c>
      <c r="J143">
        <v>4.324298206930708E-2</v>
      </c>
      <c r="K143" t="s">
        <v>14</v>
      </c>
      <c r="U143" t="s">
        <v>5068</v>
      </c>
      <c r="V143" t="s">
        <v>5312</v>
      </c>
      <c r="W143" t="s">
        <v>5093</v>
      </c>
      <c r="X143" t="s">
        <v>19</v>
      </c>
    </row>
    <row r="144" spans="8:24" x14ac:dyDescent="0.45">
      <c r="H144" t="s">
        <v>5193</v>
      </c>
      <c r="I144" t="s">
        <v>36</v>
      </c>
      <c r="J144">
        <v>4.324298206930708E-2</v>
      </c>
      <c r="K144" t="s">
        <v>14</v>
      </c>
      <c r="U144" t="s">
        <v>5068</v>
      </c>
      <c r="V144" t="s">
        <v>5313</v>
      </c>
      <c r="W144" t="s">
        <v>5093</v>
      </c>
      <c r="X144" t="s">
        <v>19</v>
      </c>
    </row>
    <row r="145" spans="8:24" x14ac:dyDescent="0.45">
      <c r="H145" t="s">
        <v>5195</v>
      </c>
      <c r="I145" t="s">
        <v>13</v>
      </c>
      <c r="J145">
        <v>1.7422915959801364E-2</v>
      </c>
      <c r="K145" t="s">
        <v>14</v>
      </c>
      <c r="U145" t="s">
        <v>5068</v>
      </c>
      <c r="V145" t="s">
        <v>5314</v>
      </c>
      <c r="W145" t="s">
        <v>5093</v>
      </c>
      <c r="X145" t="s">
        <v>19</v>
      </c>
    </row>
    <row r="146" spans="8:24" x14ac:dyDescent="0.45">
      <c r="H146" t="s">
        <v>5195</v>
      </c>
      <c r="I146" t="s">
        <v>27</v>
      </c>
      <c r="J146">
        <v>1.7422915959801364E-2</v>
      </c>
      <c r="K146" t="s">
        <v>14</v>
      </c>
      <c r="U146" t="s">
        <v>5068</v>
      </c>
      <c r="V146" t="s">
        <v>5315</v>
      </c>
      <c r="W146" t="s">
        <v>5093</v>
      </c>
      <c r="X146" t="s">
        <v>19</v>
      </c>
    </row>
    <row r="147" spans="8:24" x14ac:dyDescent="0.45">
      <c r="H147" t="s">
        <v>5195</v>
      </c>
      <c r="I147" t="s">
        <v>36</v>
      </c>
      <c r="J147">
        <v>1.7422915959801364E-2</v>
      </c>
      <c r="K147" t="s">
        <v>14</v>
      </c>
      <c r="U147" t="s">
        <v>5068</v>
      </c>
      <c r="V147" t="s">
        <v>5315</v>
      </c>
      <c r="W147" t="s">
        <v>5236</v>
      </c>
      <c r="X147" t="s">
        <v>19</v>
      </c>
    </row>
    <row r="148" spans="8:24" x14ac:dyDescent="0.45">
      <c r="H148" t="s">
        <v>5197</v>
      </c>
      <c r="I148" t="s">
        <v>13</v>
      </c>
      <c r="J148">
        <v>3.8892004853638758E-2</v>
      </c>
      <c r="K148" t="s">
        <v>14</v>
      </c>
      <c r="U148" t="s">
        <v>5068</v>
      </c>
      <c r="V148" t="s">
        <v>5316</v>
      </c>
      <c r="W148" t="s">
        <v>5093</v>
      </c>
      <c r="X148" t="s">
        <v>19</v>
      </c>
    </row>
    <row r="149" spans="8:24" x14ac:dyDescent="0.45">
      <c r="H149" t="s">
        <v>5197</v>
      </c>
      <c r="I149" t="s">
        <v>27</v>
      </c>
      <c r="J149">
        <v>3.8892004853638758E-2</v>
      </c>
      <c r="K149" t="s">
        <v>14</v>
      </c>
      <c r="U149" t="s">
        <v>5068</v>
      </c>
      <c r="V149" t="s">
        <v>5316</v>
      </c>
      <c r="W149" t="s">
        <v>5236</v>
      </c>
      <c r="X149" t="s">
        <v>19</v>
      </c>
    </row>
    <row r="150" spans="8:24" x14ac:dyDescent="0.45">
      <c r="H150" t="s">
        <v>5197</v>
      </c>
      <c r="I150" t="s">
        <v>36</v>
      </c>
      <c r="J150">
        <v>3.8892004853638758E-2</v>
      </c>
      <c r="K150" t="s">
        <v>14</v>
      </c>
      <c r="U150" t="s">
        <v>5068</v>
      </c>
      <c r="V150" t="s">
        <v>5317</v>
      </c>
      <c r="W150" t="s">
        <v>5093</v>
      </c>
      <c r="X150" t="s">
        <v>19</v>
      </c>
    </row>
    <row r="151" spans="8:24" x14ac:dyDescent="0.45">
      <c r="H151" t="s">
        <v>5199</v>
      </c>
      <c r="I151" t="s">
        <v>13</v>
      </c>
      <c r="J151">
        <v>2.1875910556301364E-2</v>
      </c>
      <c r="K151" t="s">
        <v>14</v>
      </c>
      <c r="U151" t="s">
        <v>5068</v>
      </c>
      <c r="V151" t="s">
        <v>5317</v>
      </c>
      <c r="W151" t="s">
        <v>5236</v>
      </c>
      <c r="X151" t="s">
        <v>19</v>
      </c>
    </row>
    <row r="152" spans="8:24" x14ac:dyDescent="0.45">
      <c r="H152" t="s">
        <v>5199</v>
      </c>
      <c r="I152" t="s">
        <v>27</v>
      </c>
      <c r="J152">
        <v>2.1875910556301364E-2</v>
      </c>
      <c r="K152" t="s">
        <v>14</v>
      </c>
      <c r="U152" t="s">
        <v>5068</v>
      </c>
      <c r="V152" t="s">
        <v>5318</v>
      </c>
      <c r="W152" t="s">
        <v>5236</v>
      </c>
      <c r="X152" t="s">
        <v>19</v>
      </c>
    </row>
    <row r="153" spans="8:24" x14ac:dyDescent="0.45">
      <c r="H153" t="s">
        <v>5199</v>
      </c>
      <c r="I153" t="s">
        <v>36</v>
      </c>
      <c r="J153">
        <v>2.1875910556301364E-2</v>
      </c>
      <c r="K153" t="s">
        <v>14</v>
      </c>
      <c r="U153" t="s">
        <v>5068</v>
      </c>
      <c r="V153" t="s">
        <v>5319</v>
      </c>
      <c r="W153" t="s">
        <v>5236</v>
      </c>
      <c r="X153" t="s">
        <v>19</v>
      </c>
    </row>
    <row r="154" spans="8:24" x14ac:dyDescent="0.45">
      <c r="H154" t="s">
        <v>5201</v>
      </c>
      <c r="I154" t="s">
        <v>13</v>
      </c>
      <c r="J154">
        <v>2.4395132340854098E-3</v>
      </c>
      <c r="K154" t="s">
        <v>14</v>
      </c>
      <c r="U154" t="s">
        <v>5068</v>
      </c>
      <c r="V154" t="s">
        <v>5320</v>
      </c>
      <c r="W154" t="s">
        <v>5236</v>
      </c>
      <c r="X154" t="s">
        <v>19</v>
      </c>
    </row>
    <row r="155" spans="8:24" x14ac:dyDescent="0.45">
      <c r="H155" t="s">
        <v>5201</v>
      </c>
      <c r="I155" t="s">
        <v>27</v>
      </c>
      <c r="J155">
        <v>2.4395132340854098E-3</v>
      </c>
      <c r="K155" t="s">
        <v>14</v>
      </c>
      <c r="U155" t="s">
        <v>5068</v>
      </c>
      <c r="V155" t="s">
        <v>5320</v>
      </c>
      <c r="W155" t="s">
        <v>5093</v>
      </c>
      <c r="X155" t="s">
        <v>17</v>
      </c>
    </row>
    <row r="156" spans="8:24" x14ac:dyDescent="0.45">
      <c r="H156" t="s">
        <v>5201</v>
      </c>
      <c r="I156" t="s">
        <v>36</v>
      </c>
      <c r="J156">
        <v>2.4395132340854098E-3</v>
      </c>
      <c r="K156" t="s">
        <v>14</v>
      </c>
      <c r="U156" t="s">
        <v>5068</v>
      </c>
      <c r="V156" t="s">
        <v>5321</v>
      </c>
      <c r="W156" t="s">
        <v>5236</v>
      </c>
      <c r="X156" t="s">
        <v>19</v>
      </c>
    </row>
    <row r="157" spans="8:24" x14ac:dyDescent="0.45">
      <c r="H157" t="s">
        <v>5203</v>
      </c>
      <c r="I157" t="s">
        <v>13</v>
      </c>
      <c r="J157">
        <v>0.1103610500052568</v>
      </c>
      <c r="K157" t="s">
        <v>14</v>
      </c>
      <c r="U157" t="s">
        <v>5068</v>
      </c>
      <c r="V157" t="s">
        <v>5321</v>
      </c>
      <c r="W157" t="s">
        <v>5093</v>
      </c>
      <c r="X157" t="s">
        <v>17</v>
      </c>
    </row>
    <row r="158" spans="8:24" x14ac:dyDescent="0.45">
      <c r="H158" t="s">
        <v>5203</v>
      </c>
      <c r="I158" t="s">
        <v>27</v>
      </c>
      <c r="J158">
        <v>0.1103610500052568</v>
      </c>
      <c r="K158" t="s">
        <v>14</v>
      </c>
      <c r="U158" t="s">
        <v>5068</v>
      </c>
      <c r="V158" t="s">
        <v>5322</v>
      </c>
      <c r="W158" t="s">
        <v>5097</v>
      </c>
      <c r="X158" t="s">
        <v>19</v>
      </c>
    </row>
    <row r="159" spans="8:24" x14ac:dyDescent="0.45">
      <c r="H159" t="s">
        <v>5203</v>
      </c>
      <c r="I159" t="s">
        <v>36</v>
      </c>
      <c r="J159">
        <v>0.1103610500052568</v>
      </c>
      <c r="K159" t="s">
        <v>14</v>
      </c>
      <c r="U159" t="s">
        <v>5068</v>
      </c>
      <c r="V159" t="s">
        <v>5323</v>
      </c>
      <c r="W159" t="s">
        <v>5097</v>
      </c>
      <c r="X159" t="s">
        <v>19</v>
      </c>
    </row>
    <row r="160" spans="8:24" x14ac:dyDescent="0.45">
      <c r="H160" t="s">
        <v>5205</v>
      </c>
      <c r="I160" t="s">
        <v>13</v>
      </c>
      <c r="J160">
        <v>1.5194773244526694E-2</v>
      </c>
      <c r="K160" t="s">
        <v>14</v>
      </c>
      <c r="U160" t="s">
        <v>5068</v>
      </c>
      <c r="V160" t="s">
        <v>5324</v>
      </c>
      <c r="W160" t="s">
        <v>5097</v>
      </c>
      <c r="X160" t="s">
        <v>19</v>
      </c>
    </row>
    <row r="161" spans="8:24" x14ac:dyDescent="0.45">
      <c r="H161" t="s">
        <v>5205</v>
      </c>
      <c r="I161" t="s">
        <v>27</v>
      </c>
      <c r="J161">
        <v>1.5194773244526694E-2</v>
      </c>
      <c r="K161" t="s">
        <v>14</v>
      </c>
      <c r="U161" t="s">
        <v>5068</v>
      </c>
      <c r="V161" t="s">
        <v>5325</v>
      </c>
      <c r="W161" t="s">
        <v>5097</v>
      </c>
      <c r="X161" t="s">
        <v>19</v>
      </c>
    </row>
    <row r="162" spans="8:24" x14ac:dyDescent="0.45">
      <c r="H162" t="s">
        <v>5205</v>
      </c>
      <c r="I162" t="s">
        <v>36</v>
      </c>
      <c r="J162">
        <v>1.5194773244526694E-2</v>
      </c>
      <c r="K162" t="s">
        <v>14</v>
      </c>
      <c r="U162" t="s">
        <v>5068</v>
      </c>
      <c r="V162" t="s">
        <v>5326</v>
      </c>
      <c r="W162" t="s">
        <v>5097</v>
      </c>
      <c r="X162" t="s">
        <v>19</v>
      </c>
    </row>
    <row r="163" spans="8:24" x14ac:dyDescent="0.45">
      <c r="H163" t="s">
        <v>5207</v>
      </c>
      <c r="I163" t="s">
        <v>13</v>
      </c>
      <c r="J163">
        <v>4.8864926918085166E-2</v>
      </c>
      <c r="K163" t="s">
        <v>14</v>
      </c>
      <c r="U163" t="s">
        <v>5068</v>
      </c>
      <c r="V163" t="s">
        <v>5327</v>
      </c>
      <c r="W163" t="s">
        <v>5097</v>
      </c>
      <c r="X163" t="s">
        <v>19</v>
      </c>
    </row>
    <row r="164" spans="8:24" x14ac:dyDescent="0.45">
      <c r="H164" t="s">
        <v>5207</v>
      </c>
      <c r="I164" t="s">
        <v>27</v>
      </c>
      <c r="J164">
        <v>4.8864926918085166E-2</v>
      </c>
      <c r="K164" t="s">
        <v>14</v>
      </c>
      <c r="U164" t="s">
        <v>5068</v>
      </c>
      <c r="V164" t="s">
        <v>5328</v>
      </c>
      <c r="W164" t="s">
        <v>5097</v>
      </c>
      <c r="X164" t="s">
        <v>19</v>
      </c>
    </row>
    <row r="165" spans="8:24" x14ac:dyDescent="0.45">
      <c r="H165" t="s">
        <v>5207</v>
      </c>
      <c r="I165" t="s">
        <v>36</v>
      </c>
      <c r="J165">
        <v>4.8864926918085166E-2</v>
      </c>
      <c r="K165" t="s">
        <v>14</v>
      </c>
      <c r="U165" t="s">
        <v>5068</v>
      </c>
      <c r="V165" t="s">
        <v>5329</v>
      </c>
      <c r="W165" t="s">
        <v>5097</v>
      </c>
      <c r="X165" t="s">
        <v>19</v>
      </c>
    </row>
    <row r="166" spans="8:24" x14ac:dyDescent="0.45">
      <c r="H166" t="s">
        <v>5209</v>
      </c>
      <c r="I166" t="s">
        <v>13</v>
      </c>
      <c r="J166">
        <v>6.2246098732593865E-3</v>
      </c>
      <c r="K166" t="s">
        <v>14</v>
      </c>
      <c r="U166" t="s">
        <v>5068</v>
      </c>
      <c r="V166" t="s">
        <v>5330</v>
      </c>
      <c r="W166" t="s">
        <v>5097</v>
      </c>
      <c r="X166" t="s">
        <v>19</v>
      </c>
    </row>
    <row r="167" spans="8:24" x14ac:dyDescent="0.45">
      <c r="H167" t="s">
        <v>5209</v>
      </c>
      <c r="I167" t="s">
        <v>27</v>
      </c>
      <c r="J167">
        <v>6.2246098732593865E-3</v>
      </c>
      <c r="K167" t="s">
        <v>14</v>
      </c>
      <c r="U167" t="s">
        <v>5068</v>
      </c>
      <c r="V167" t="s">
        <v>5331</v>
      </c>
      <c r="W167" t="s">
        <v>5097</v>
      </c>
      <c r="X167" t="s">
        <v>19</v>
      </c>
    </row>
    <row r="168" spans="8:24" x14ac:dyDescent="0.45">
      <c r="H168" t="s">
        <v>5209</v>
      </c>
      <c r="I168" t="s">
        <v>36</v>
      </c>
      <c r="J168">
        <v>6.2246098732593865E-3</v>
      </c>
      <c r="K168" t="s">
        <v>14</v>
      </c>
      <c r="U168" t="s">
        <v>5068</v>
      </c>
      <c r="V168" t="s">
        <v>5332</v>
      </c>
      <c r="W168" t="s">
        <v>5097</v>
      </c>
      <c r="X168" t="s">
        <v>19</v>
      </c>
    </row>
    <row r="169" spans="8:24" x14ac:dyDescent="0.45">
      <c r="H169" t="s">
        <v>5211</v>
      </c>
      <c r="I169" t="s">
        <v>13</v>
      </c>
      <c r="J169">
        <v>0.34426407743284415</v>
      </c>
      <c r="K169" t="s">
        <v>14</v>
      </c>
      <c r="U169" t="s">
        <v>5068</v>
      </c>
      <c r="V169" t="s">
        <v>5332</v>
      </c>
      <c r="W169" t="s">
        <v>5333</v>
      </c>
      <c r="X169" t="s">
        <v>19</v>
      </c>
    </row>
    <row r="170" spans="8:24" x14ac:dyDescent="0.45">
      <c r="H170" t="s">
        <v>5211</v>
      </c>
      <c r="I170" t="s">
        <v>27</v>
      </c>
      <c r="J170">
        <v>0.34426407743284415</v>
      </c>
      <c r="K170" t="s">
        <v>14</v>
      </c>
      <c r="U170" t="s">
        <v>5068</v>
      </c>
      <c r="V170" t="s">
        <v>5334</v>
      </c>
      <c r="W170" t="s">
        <v>5097</v>
      </c>
      <c r="X170" t="s">
        <v>19</v>
      </c>
    </row>
    <row r="171" spans="8:24" x14ac:dyDescent="0.45">
      <c r="H171" t="s">
        <v>5211</v>
      </c>
      <c r="I171" t="s">
        <v>36</v>
      </c>
      <c r="J171">
        <v>0.34426407743284415</v>
      </c>
      <c r="K171" t="s">
        <v>14</v>
      </c>
      <c r="U171" t="s">
        <v>5068</v>
      </c>
      <c r="V171" t="s">
        <v>5334</v>
      </c>
      <c r="W171" t="s">
        <v>5333</v>
      </c>
      <c r="X171" t="s">
        <v>19</v>
      </c>
    </row>
    <row r="172" spans="8:24" x14ac:dyDescent="0.45">
      <c r="H172" t="s">
        <v>5213</v>
      </c>
      <c r="I172" t="s">
        <v>13</v>
      </c>
      <c r="J172">
        <v>9.3822656271850283E-2</v>
      </c>
      <c r="K172" t="s">
        <v>14</v>
      </c>
      <c r="U172" t="s">
        <v>5068</v>
      </c>
      <c r="V172" t="s">
        <v>5335</v>
      </c>
      <c r="W172" t="s">
        <v>5097</v>
      </c>
      <c r="X172" t="s">
        <v>19</v>
      </c>
    </row>
    <row r="173" spans="8:24" x14ac:dyDescent="0.45">
      <c r="H173" t="s">
        <v>5213</v>
      </c>
      <c r="I173" t="s">
        <v>27</v>
      </c>
      <c r="J173">
        <v>9.3822656271850283E-2</v>
      </c>
      <c r="K173" t="s">
        <v>14</v>
      </c>
      <c r="U173" t="s">
        <v>5068</v>
      </c>
      <c r="V173" t="s">
        <v>5335</v>
      </c>
      <c r="W173" t="s">
        <v>5333</v>
      </c>
      <c r="X173" t="s">
        <v>19</v>
      </c>
    </row>
    <row r="174" spans="8:24" x14ac:dyDescent="0.45">
      <c r="H174" t="s">
        <v>5213</v>
      </c>
      <c r="I174" t="s">
        <v>36</v>
      </c>
      <c r="J174">
        <v>9.3822656271850283E-2</v>
      </c>
      <c r="K174" t="s">
        <v>14</v>
      </c>
      <c r="U174" t="s">
        <v>5068</v>
      </c>
      <c r="V174" t="s">
        <v>5336</v>
      </c>
      <c r="W174" t="s">
        <v>5333</v>
      </c>
      <c r="X174" t="s">
        <v>19</v>
      </c>
    </row>
    <row r="175" spans="8:24" x14ac:dyDescent="0.45">
      <c r="H175" t="s">
        <v>5215</v>
      </c>
      <c r="I175" t="s">
        <v>13</v>
      </c>
      <c r="J175">
        <v>4.0896110116274434E-2</v>
      </c>
      <c r="K175" t="s">
        <v>14</v>
      </c>
      <c r="U175" t="s">
        <v>5068</v>
      </c>
      <c r="V175" t="s">
        <v>5337</v>
      </c>
      <c r="W175" t="s">
        <v>5333</v>
      </c>
      <c r="X175" t="s">
        <v>19</v>
      </c>
    </row>
    <row r="176" spans="8:24" x14ac:dyDescent="0.45">
      <c r="H176" t="s">
        <v>5215</v>
      </c>
      <c r="I176" t="s">
        <v>27</v>
      </c>
      <c r="J176">
        <v>4.0896110116274434E-2</v>
      </c>
      <c r="K176" t="s">
        <v>14</v>
      </c>
      <c r="U176" t="s">
        <v>5068</v>
      </c>
      <c r="V176" t="s">
        <v>5338</v>
      </c>
      <c r="W176" t="s">
        <v>5333</v>
      </c>
      <c r="X176" t="s">
        <v>19</v>
      </c>
    </row>
    <row r="177" spans="8:24" x14ac:dyDescent="0.45">
      <c r="H177" t="s">
        <v>5215</v>
      </c>
      <c r="I177" t="s">
        <v>36</v>
      </c>
      <c r="J177">
        <v>4.0896110116274434E-2</v>
      </c>
      <c r="K177" t="s">
        <v>14</v>
      </c>
      <c r="U177" t="s">
        <v>5068</v>
      </c>
      <c r="V177" t="s">
        <v>5338</v>
      </c>
      <c r="W177" t="s">
        <v>5097</v>
      </c>
      <c r="X177" t="s">
        <v>17</v>
      </c>
    </row>
    <row r="178" spans="8:24" x14ac:dyDescent="0.45">
      <c r="H178" t="s">
        <v>5216</v>
      </c>
      <c r="I178" t="s">
        <v>13</v>
      </c>
      <c r="J178">
        <v>3.4635870036468917E-2</v>
      </c>
      <c r="K178" t="s">
        <v>14</v>
      </c>
      <c r="U178" t="s">
        <v>5068</v>
      </c>
      <c r="V178" t="s">
        <v>5339</v>
      </c>
      <c r="W178" t="s">
        <v>5333</v>
      </c>
      <c r="X178" t="s">
        <v>19</v>
      </c>
    </row>
    <row r="179" spans="8:24" x14ac:dyDescent="0.45">
      <c r="H179" t="s">
        <v>5216</v>
      </c>
      <c r="I179" t="s">
        <v>27</v>
      </c>
      <c r="J179">
        <v>3.4635870036468917E-2</v>
      </c>
      <c r="K179" t="s">
        <v>14</v>
      </c>
      <c r="U179" t="s">
        <v>5068</v>
      </c>
      <c r="V179" t="s">
        <v>5339</v>
      </c>
      <c r="W179" t="s">
        <v>5097</v>
      </c>
      <c r="X179" t="s">
        <v>17</v>
      </c>
    </row>
    <row r="180" spans="8:24" x14ac:dyDescent="0.45">
      <c r="H180" t="s">
        <v>5216</v>
      </c>
      <c r="I180" t="s">
        <v>36</v>
      </c>
      <c r="J180">
        <v>3.4635870036468917E-2</v>
      </c>
      <c r="K180" t="s">
        <v>14</v>
      </c>
      <c r="U180" t="s">
        <v>5068</v>
      </c>
      <c r="V180" t="s">
        <v>5340</v>
      </c>
      <c r="W180" t="s">
        <v>5101</v>
      </c>
      <c r="X180" t="s">
        <v>19</v>
      </c>
    </row>
    <row r="181" spans="8:24" x14ac:dyDescent="0.45">
      <c r="H181" t="s">
        <v>5218</v>
      </c>
      <c r="I181" t="s">
        <v>13</v>
      </c>
      <c r="J181">
        <v>1.0355044028170855E-2</v>
      </c>
      <c r="K181" t="s">
        <v>14</v>
      </c>
      <c r="U181" t="s">
        <v>5068</v>
      </c>
      <c r="V181" t="s">
        <v>5341</v>
      </c>
      <c r="W181" t="s">
        <v>5101</v>
      </c>
      <c r="X181" t="s">
        <v>19</v>
      </c>
    </row>
    <row r="182" spans="8:24" x14ac:dyDescent="0.45">
      <c r="H182" t="s">
        <v>5218</v>
      </c>
      <c r="I182" t="s">
        <v>27</v>
      </c>
      <c r="J182">
        <v>1.0355044028170855E-2</v>
      </c>
      <c r="K182" t="s">
        <v>14</v>
      </c>
      <c r="U182" t="s">
        <v>5068</v>
      </c>
      <c r="V182" t="s">
        <v>5342</v>
      </c>
      <c r="W182" t="s">
        <v>5101</v>
      </c>
      <c r="X182" t="s">
        <v>19</v>
      </c>
    </row>
    <row r="183" spans="8:24" x14ac:dyDescent="0.45">
      <c r="H183" t="s">
        <v>5218</v>
      </c>
      <c r="I183" t="s">
        <v>36</v>
      </c>
      <c r="J183">
        <v>1.0355044028170855E-2</v>
      </c>
      <c r="K183" t="s">
        <v>14</v>
      </c>
      <c r="U183" t="s">
        <v>5068</v>
      </c>
      <c r="V183" t="s">
        <v>5343</v>
      </c>
      <c r="W183" t="s">
        <v>5101</v>
      </c>
      <c r="X183" t="s">
        <v>19</v>
      </c>
    </row>
    <row r="184" spans="8:24" x14ac:dyDescent="0.45">
      <c r="H184" t="s">
        <v>5219</v>
      </c>
      <c r="I184" t="s">
        <v>13</v>
      </c>
      <c r="J184">
        <v>1.2213389731956421E-2</v>
      </c>
      <c r="K184" t="s">
        <v>14</v>
      </c>
      <c r="U184" t="s">
        <v>5068</v>
      </c>
      <c r="V184" t="s">
        <v>5344</v>
      </c>
      <c r="W184" t="s">
        <v>5101</v>
      </c>
      <c r="X184" t="s">
        <v>19</v>
      </c>
    </row>
    <row r="185" spans="8:24" x14ac:dyDescent="0.45">
      <c r="H185" t="s">
        <v>5219</v>
      </c>
      <c r="I185" t="s">
        <v>27</v>
      </c>
      <c r="J185">
        <v>1.2213389731956421E-2</v>
      </c>
      <c r="K185" t="s">
        <v>14</v>
      </c>
      <c r="U185" t="s">
        <v>5068</v>
      </c>
      <c r="V185" t="s">
        <v>5345</v>
      </c>
      <c r="W185" t="s">
        <v>5101</v>
      </c>
      <c r="X185" t="s">
        <v>19</v>
      </c>
    </row>
    <row r="186" spans="8:24" x14ac:dyDescent="0.45">
      <c r="H186" t="s">
        <v>5219</v>
      </c>
      <c r="I186" t="s">
        <v>36</v>
      </c>
      <c r="J186">
        <v>1.2213389731956421E-2</v>
      </c>
      <c r="K186" t="s">
        <v>14</v>
      </c>
      <c r="U186" t="s">
        <v>5068</v>
      </c>
      <c r="V186" t="s">
        <v>5346</v>
      </c>
      <c r="W186" t="s">
        <v>5101</v>
      </c>
      <c r="X186" t="s">
        <v>19</v>
      </c>
    </row>
    <row r="187" spans="8:24" x14ac:dyDescent="0.45">
      <c r="H187" t="s">
        <v>5221</v>
      </c>
      <c r="I187" t="s">
        <v>13</v>
      </c>
      <c r="J187">
        <v>0.12076814345848159</v>
      </c>
      <c r="K187" t="s">
        <v>14</v>
      </c>
      <c r="U187" t="s">
        <v>5068</v>
      </c>
      <c r="V187" t="s">
        <v>5347</v>
      </c>
      <c r="W187" t="s">
        <v>5101</v>
      </c>
      <c r="X187" t="s">
        <v>19</v>
      </c>
    </row>
    <row r="188" spans="8:24" x14ac:dyDescent="0.45">
      <c r="H188" t="s">
        <v>5221</v>
      </c>
      <c r="I188" t="s">
        <v>27</v>
      </c>
      <c r="J188">
        <v>0.12076814345848159</v>
      </c>
      <c r="K188" t="s">
        <v>14</v>
      </c>
      <c r="U188" t="s">
        <v>5068</v>
      </c>
      <c r="V188" t="s">
        <v>5348</v>
      </c>
      <c r="W188" t="s">
        <v>5101</v>
      </c>
      <c r="X188" t="s">
        <v>19</v>
      </c>
    </row>
    <row r="189" spans="8:24" x14ac:dyDescent="0.45">
      <c r="H189" t="s">
        <v>5221</v>
      </c>
      <c r="I189" t="s">
        <v>36</v>
      </c>
      <c r="J189">
        <v>0.12076814345848159</v>
      </c>
      <c r="K189" t="s">
        <v>14</v>
      </c>
      <c r="U189" t="s">
        <v>5068</v>
      </c>
      <c r="V189" t="s">
        <v>5349</v>
      </c>
      <c r="W189" t="s">
        <v>5101</v>
      </c>
      <c r="X189" t="s">
        <v>19</v>
      </c>
    </row>
    <row r="190" spans="8:24" x14ac:dyDescent="0.45">
      <c r="H190" t="s">
        <v>5223</v>
      </c>
      <c r="I190" t="s">
        <v>13</v>
      </c>
      <c r="J190">
        <v>1.8526022209690546E-2</v>
      </c>
      <c r="K190" t="s">
        <v>14</v>
      </c>
      <c r="U190" t="s">
        <v>5068</v>
      </c>
      <c r="V190" t="s">
        <v>5350</v>
      </c>
      <c r="W190" t="s">
        <v>5101</v>
      </c>
      <c r="X190" t="s">
        <v>19</v>
      </c>
    </row>
    <row r="191" spans="8:24" x14ac:dyDescent="0.45">
      <c r="H191" t="s">
        <v>5223</v>
      </c>
      <c r="I191" t="s">
        <v>27</v>
      </c>
      <c r="J191">
        <v>1.8526022209690546E-2</v>
      </c>
      <c r="K191" t="s">
        <v>14</v>
      </c>
      <c r="U191" t="s">
        <v>5068</v>
      </c>
      <c r="V191" t="s">
        <v>5350</v>
      </c>
      <c r="W191" t="s">
        <v>5351</v>
      </c>
      <c r="X191" t="s">
        <v>19</v>
      </c>
    </row>
    <row r="192" spans="8:24" x14ac:dyDescent="0.45">
      <c r="H192" t="s">
        <v>5223</v>
      </c>
      <c r="I192" t="s">
        <v>36</v>
      </c>
      <c r="J192">
        <v>1.8526022209690546E-2</v>
      </c>
      <c r="K192" t="s">
        <v>14</v>
      </c>
      <c r="U192" t="s">
        <v>5068</v>
      </c>
      <c r="V192" t="s">
        <v>5352</v>
      </c>
      <c r="W192" t="s">
        <v>5101</v>
      </c>
      <c r="X192" t="s">
        <v>19</v>
      </c>
    </row>
    <row r="193" spans="8:24" x14ac:dyDescent="0.45">
      <c r="H193" t="s">
        <v>5225</v>
      </c>
      <c r="I193" t="s">
        <v>13</v>
      </c>
      <c r="J193">
        <v>4.324298206930708E-2</v>
      </c>
      <c r="K193" t="s">
        <v>14</v>
      </c>
      <c r="U193" t="s">
        <v>5068</v>
      </c>
      <c r="V193" t="s">
        <v>5352</v>
      </c>
      <c r="W193" t="s">
        <v>5351</v>
      </c>
      <c r="X193" t="s">
        <v>19</v>
      </c>
    </row>
    <row r="194" spans="8:24" x14ac:dyDescent="0.45">
      <c r="H194" t="s">
        <v>5225</v>
      </c>
      <c r="I194" t="s">
        <v>27</v>
      </c>
      <c r="J194">
        <v>4.324298206930708E-2</v>
      </c>
      <c r="K194" t="s">
        <v>14</v>
      </c>
      <c r="U194" t="s">
        <v>5068</v>
      </c>
      <c r="V194" t="s">
        <v>5353</v>
      </c>
      <c r="W194" t="s">
        <v>5101</v>
      </c>
      <c r="X194" t="s">
        <v>19</v>
      </c>
    </row>
    <row r="195" spans="8:24" x14ac:dyDescent="0.45">
      <c r="H195" t="s">
        <v>5225</v>
      </c>
      <c r="I195" t="s">
        <v>36</v>
      </c>
      <c r="J195">
        <v>4.324298206930708E-2</v>
      </c>
      <c r="K195" t="s">
        <v>14</v>
      </c>
      <c r="U195" t="s">
        <v>5068</v>
      </c>
      <c r="V195" t="s">
        <v>5353</v>
      </c>
      <c r="W195" t="s">
        <v>5351</v>
      </c>
      <c r="X195" t="s">
        <v>19</v>
      </c>
    </row>
    <row r="196" spans="8:24" x14ac:dyDescent="0.45">
      <c r="H196" t="s">
        <v>5226</v>
      </c>
      <c r="I196" t="s">
        <v>13</v>
      </c>
      <c r="J196">
        <v>1.7422915959801364E-2</v>
      </c>
      <c r="K196" t="s">
        <v>14</v>
      </c>
      <c r="U196" t="s">
        <v>5068</v>
      </c>
      <c r="V196" t="s">
        <v>5354</v>
      </c>
      <c r="W196" t="s">
        <v>5351</v>
      </c>
      <c r="X196" t="s">
        <v>19</v>
      </c>
    </row>
    <row r="197" spans="8:24" x14ac:dyDescent="0.45">
      <c r="H197" t="s">
        <v>5226</v>
      </c>
      <c r="I197" t="s">
        <v>27</v>
      </c>
      <c r="J197">
        <v>1.7422915959801364E-2</v>
      </c>
      <c r="K197" t="s">
        <v>14</v>
      </c>
      <c r="U197" t="s">
        <v>5068</v>
      </c>
      <c r="V197" t="s">
        <v>5355</v>
      </c>
      <c r="W197" t="s">
        <v>5351</v>
      </c>
      <c r="X197" t="s">
        <v>19</v>
      </c>
    </row>
    <row r="198" spans="8:24" x14ac:dyDescent="0.45">
      <c r="H198" t="s">
        <v>5226</v>
      </c>
      <c r="I198" t="s">
        <v>36</v>
      </c>
      <c r="J198">
        <v>1.7422915959801364E-2</v>
      </c>
      <c r="K198" t="s">
        <v>14</v>
      </c>
      <c r="U198" t="s">
        <v>5068</v>
      </c>
      <c r="V198" t="s">
        <v>5356</v>
      </c>
      <c r="W198" t="s">
        <v>5351</v>
      </c>
      <c r="X198" t="s">
        <v>19</v>
      </c>
    </row>
    <row r="199" spans="8:24" x14ac:dyDescent="0.45">
      <c r="H199" t="s">
        <v>5228</v>
      </c>
      <c r="I199" t="s">
        <v>13</v>
      </c>
      <c r="J199">
        <v>3.8892004853638758E-2</v>
      </c>
      <c r="K199" t="s">
        <v>14</v>
      </c>
      <c r="U199" t="s">
        <v>5068</v>
      </c>
      <c r="V199" t="s">
        <v>5356</v>
      </c>
      <c r="W199" t="s">
        <v>5101</v>
      </c>
      <c r="X199" t="s">
        <v>17</v>
      </c>
    </row>
    <row r="200" spans="8:24" x14ac:dyDescent="0.45">
      <c r="H200" t="s">
        <v>5228</v>
      </c>
      <c r="I200" t="s">
        <v>27</v>
      </c>
      <c r="J200">
        <v>3.8892004853638758E-2</v>
      </c>
      <c r="K200" t="s">
        <v>14</v>
      </c>
      <c r="U200" t="s">
        <v>5068</v>
      </c>
      <c r="V200" t="s">
        <v>5357</v>
      </c>
      <c r="W200" t="s">
        <v>5351</v>
      </c>
      <c r="X200" t="s">
        <v>19</v>
      </c>
    </row>
    <row r="201" spans="8:24" x14ac:dyDescent="0.45">
      <c r="H201" t="s">
        <v>5228</v>
      </c>
      <c r="I201" t="s">
        <v>36</v>
      </c>
      <c r="J201">
        <v>3.8892004853638758E-2</v>
      </c>
      <c r="K201" t="s">
        <v>14</v>
      </c>
      <c r="U201" t="s">
        <v>5068</v>
      </c>
      <c r="V201" t="s">
        <v>5357</v>
      </c>
      <c r="W201" t="s">
        <v>5101</v>
      </c>
      <c r="X201" t="s">
        <v>17</v>
      </c>
    </row>
    <row r="202" spans="8:24" x14ac:dyDescent="0.45">
      <c r="H202" t="s">
        <v>5229</v>
      </c>
      <c r="I202" t="s">
        <v>13</v>
      </c>
      <c r="J202">
        <v>2.1875910556301364E-2</v>
      </c>
      <c r="K202" t="s">
        <v>14</v>
      </c>
      <c r="U202" t="s">
        <v>5068</v>
      </c>
      <c r="V202" t="s">
        <v>5358</v>
      </c>
      <c r="W202" t="s">
        <v>5105</v>
      </c>
      <c r="X202" t="s">
        <v>19</v>
      </c>
    </row>
    <row r="203" spans="8:24" x14ac:dyDescent="0.45">
      <c r="H203" t="s">
        <v>5229</v>
      </c>
      <c r="I203" t="s">
        <v>27</v>
      </c>
      <c r="J203">
        <v>2.1875910556301364E-2</v>
      </c>
      <c r="K203" t="s">
        <v>14</v>
      </c>
      <c r="U203" t="s">
        <v>5068</v>
      </c>
      <c r="V203" t="s">
        <v>5359</v>
      </c>
      <c r="W203" t="s">
        <v>5105</v>
      </c>
      <c r="X203" t="s">
        <v>19</v>
      </c>
    </row>
    <row r="204" spans="8:24" x14ac:dyDescent="0.45">
      <c r="H204" t="s">
        <v>5229</v>
      </c>
      <c r="I204" t="s">
        <v>36</v>
      </c>
      <c r="J204">
        <v>2.1875910556301364E-2</v>
      </c>
      <c r="K204" t="s">
        <v>14</v>
      </c>
      <c r="U204" t="s">
        <v>5068</v>
      </c>
      <c r="V204" t="s">
        <v>5360</v>
      </c>
      <c r="W204" t="s">
        <v>5105</v>
      </c>
      <c r="X204" t="s">
        <v>19</v>
      </c>
    </row>
    <row r="205" spans="8:24" x14ac:dyDescent="0.45">
      <c r="H205" t="s">
        <v>5231</v>
      </c>
      <c r="I205" t="s">
        <v>13</v>
      </c>
      <c r="J205">
        <v>2.4395132340854098E-3</v>
      </c>
      <c r="K205" t="s">
        <v>14</v>
      </c>
      <c r="U205" t="s">
        <v>5068</v>
      </c>
      <c r="V205" t="s">
        <v>5361</v>
      </c>
      <c r="W205" t="s">
        <v>5105</v>
      </c>
      <c r="X205" t="s">
        <v>19</v>
      </c>
    </row>
    <row r="206" spans="8:24" x14ac:dyDescent="0.45">
      <c r="H206" t="s">
        <v>5231</v>
      </c>
      <c r="I206" t="s">
        <v>27</v>
      </c>
      <c r="J206">
        <v>2.4395132340854098E-3</v>
      </c>
      <c r="K206" t="s">
        <v>14</v>
      </c>
      <c r="U206" t="s">
        <v>5068</v>
      </c>
      <c r="V206" t="s">
        <v>5362</v>
      </c>
      <c r="W206" t="s">
        <v>5105</v>
      </c>
      <c r="X206" t="s">
        <v>19</v>
      </c>
    </row>
    <row r="207" spans="8:24" x14ac:dyDescent="0.45">
      <c r="H207" t="s">
        <v>5231</v>
      </c>
      <c r="I207" t="s">
        <v>36</v>
      </c>
      <c r="J207">
        <v>2.4395132340854098E-3</v>
      </c>
      <c r="K207" t="s">
        <v>14</v>
      </c>
      <c r="U207" t="s">
        <v>5068</v>
      </c>
      <c r="V207" t="s">
        <v>5363</v>
      </c>
      <c r="W207" t="s">
        <v>5105</v>
      </c>
      <c r="X207" t="s">
        <v>19</v>
      </c>
    </row>
    <row r="208" spans="8:24" x14ac:dyDescent="0.45">
      <c r="H208" t="s">
        <v>5067</v>
      </c>
      <c r="I208" t="s">
        <v>632</v>
      </c>
      <c r="J208">
        <v>0.14093497102231334</v>
      </c>
      <c r="K208" t="s">
        <v>14</v>
      </c>
      <c r="U208" t="s">
        <v>5068</v>
      </c>
      <c r="V208" t="s">
        <v>5364</v>
      </c>
      <c r="W208" t="s">
        <v>5105</v>
      </c>
      <c r="X208" t="s">
        <v>19</v>
      </c>
    </row>
    <row r="209" spans="8:24" x14ac:dyDescent="0.45">
      <c r="H209" t="s">
        <v>5072</v>
      </c>
      <c r="I209" t="s">
        <v>632</v>
      </c>
      <c r="J209">
        <v>5.4849103552203057E-2</v>
      </c>
      <c r="K209" t="s">
        <v>14</v>
      </c>
      <c r="U209" t="s">
        <v>5068</v>
      </c>
      <c r="V209" t="s">
        <v>5365</v>
      </c>
      <c r="W209" t="s">
        <v>5105</v>
      </c>
      <c r="X209" t="s">
        <v>19</v>
      </c>
    </row>
    <row r="210" spans="8:24" x14ac:dyDescent="0.45">
      <c r="H210" t="s">
        <v>5076</v>
      </c>
      <c r="I210" t="s">
        <v>632</v>
      </c>
      <c r="J210">
        <v>0.26151979142048826</v>
      </c>
      <c r="K210" t="s">
        <v>14</v>
      </c>
      <c r="U210" t="s">
        <v>5068</v>
      </c>
      <c r="V210" t="s">
        <v>5366</v>
      </c>
      <c r="W210" t="s">
        <v>5105</v>
      </c>
      <c r="X210" t="s">
        <v>19</v>
      </c>
    </row>
    <row r="211" spans="8:24" x14ac:dyDescent="0.45">
      <c r="H211" t="s">
        <v>5080</v>
      </c>
      <c r="I211" t="s">
        <v>632</v>
      </c>
      <c r="J211">
        <v>3.2552293942139578E-2</v>
      </c>
      <c r="K211" t="s">
        <v>14</v>
      </c>
      <c r="U211" t="s">
        <v>5068</v>
      </c>
      <c r="V211" t="s">
        <v>5367</v>
      </c>
      <c r="W211" t="s">
        <v>5105</v>
      </c>
      <c r="X211" t="s">
        <v>19</v>
      </c>
    </row>
    <row r="212" spans="8:24" x14ac:dyDescent="0.45">
      <c r="H212" t="s">
        <v>5084</v>
      </c>
      <c r="I212" t="s">
        <v>632</v>
      </c>
      <c r="J212">
        <v>0.11727210246411847</v>
      </c>
      <c r="K212" t="s">
        <v>14</v>
      </c>
      <c r="U212" t="s">
        <v>5068</v>
      </c>
      <c r="V212" t="s">
        <v>5368</v>
      </c>
      <c r="W212" t="s">
        <v>5105</v>
      </c>
      <c r="X212" t="s">
        <v>19</v>
      </c>
    </row>
    <row r="213" spans="8:24" x14ac:dyDescent="0.45">
      <c r="H213" t="s">
        <v>5088</v>
      </c>
      <c r="I213" t="s">
        <v>632</v>
      </c>
      <c r="J213">
        <v>9.208246520108479E-2</v>
      </c>
      <c r="K213" t="s">
        <v>14</v>
      </c>
      <c r="U213" t="s">
        <v>5068</v>
      </c>
      <c r="V213" t="s">
        <v>5368</v>
      </c>
      <c r="W213" t="s">
        <v>5244</v>
      </c>
      <c r="X213" t="s">
        <v>19</v>
      </c>
    </row>
    <row r="214" spans="8:24" x14ac:dyDescent="0.45">
      <c r="H214" t="s">
        <v>5092</v>
      </c>
      <c r="I214" t="s">
        <v>632</v>
      </c>
      <c r="J214">
        <v>4.1773661538488886E-3</v>
      </c>
      <c r="K214" t="s">
        <v>14</v>
      </c>
      <c r="U214" t="s">
        <v>5068</v>
      </c>
      <c r="V214" t="s">
        <v>5369</v>
      </c>
      <c r="W214" t="s">
        <v>5105</v>
      </c>
      <c r="X214" t="s">
        <v>19</v>
      </c>
    </row>
    <row r="215" spans="8:24" x14ac:dyDescent="0.45">
      <c r="H215" t="s">
        <v>5096</v>
      </c>
      <c r="I215" t="s">
        <v>632</v>
      </c>
      <c r="J215">
        <v>1.4230867449087099E-3</v>
      </c>
      <c r="K215" t="s">
        <v>14</v>
      </c>
      <c r="U215" t="s">
        <v>5068</v>
      </c>
      <c r="V215" t="s">
        <v>5369</v>
      </c>
      <c r="W215" t="s">
        <v>5244</v>
      </c>
      <c r="X215" t="s">
        <v>19</v>
      </c>
    </row>
    <row r="216" spans="8:24" x14ac:dyDescent="0.45">
      <c r="H216" t="s">
        <v>5100</v>
      </c>
      <c r="I216" t="s">
        <v>632</v>
      </c>
      <c r="J216">
        <v>1.129668260799274E-2</v>
      </c>
      <c r="K216" t="s">
        <v>14</v>
      </c>
      <c r="U216" t="s">
        <v>5068</v>
      </c>
      <c r="V216" t="s">
        <v>5370</v>
      </c>
      <c r="W216" t="s">
        <v>5105</v>
      </c>
      <c r="X216" t="s">
        <v>19</v>
      </c>
    </row>
    <row r="217" spans="8:24" x14ac:dyDescent="0.45">
      <c r="H217" t="s">
        <v>5104</v>
      </c>
      <c r="I217" t="s">
        <v>632</v>
      </c>
      <c r="J217">
        <v>8.8963391083875971E-3</v>
      </c>
      <c r="K217" t="s">
        <v>14</v>
      </c>
      <c r="U217" t="s">
        <v>5068</v>
      </c>
      <c r="V217" t="s">
        <v>5370</v>
      </c>
      <c r="W217" t="s">
        <v>5244</v>
      </c>
      <c r="X217" t="s">
        <v>19</v>
      </c>
    </row>
    <row r="218" spans="8:24" x14ac:dyDescent="0.45">
      <c r="H218" t="s">
        <v>5108</v>
      </c>
      <c r="I218" t="s">
        <v>632</v>
      </c>
      <c r="J218">
        <v>7.4047714283336036E-2</v>
      </c>
      <c r="K218" t="s">
        <v>14</v>
      </c>
      <c r="U218" t="s">
        <v>5068</v>
      </c>
      <c r="V218" t="s">
        <v>5371</v>
      </c>
      <c r="W218" t="s">
        <v>5244</v>
      </c>
      <c r="X218" t="s">
        <v>19</v>
      </c>
    </row>
    <row r="219" spans="8:24" x14ac:dyDescent="0.45">
      <c r="H219" t="s">
        <v>5112</v>
      </c>
      <c r="I219" t="s">
        <v>632</v>
      </c>
      <c r="J219">
        <v>6.0100565010074262E-2</v>
      </c>
      <c r="K219" t="s">
        <v>14</v>
      </c>
      <c r="U219" t="s">
        <v>5068</v>
      </c>
      <c r="V219" t="s">
        <v>5372</v>
      </c>
      <c r="W219" t="s">
        <v>5244</v>
      </c>
      <c r="X219" t="s">
        <v>19</v>
      </c>
    </row>
    <row r="220" spans="8:24" x14ac:dyDescent="0.45">
      <c r="H220" t="s">
        <v>5116</v>
      </c>
      <c r="I220" t="s">
        <v>632</v>
      </c>
      <c r="J220">
        <v>3.7235625755113798E-4</v>
      </c>
      <c r="K220" t="s">
        <v>14</v>
      </c>
      <c r="U220" t="s">
        <v>5068</v>
      </c>
      <c r="V220" t="s">
        <v>5373</v>
      </c>
      <c r="W220" t="s">
        <v>5244</v>
      </c>
      <c r="X220" t="s">
        <v>19</v>
      </c>
    </row>
    <row r="221" spans="8:24" x14ac:dyDescent="0.45">
      <c r="H221" t="s">
        <v>5120</v>
      </c>
      <c r="I221" t="s">
        <v>632</v>
      </c>
      <c r="J221">
        <v>1.6092205759672702E-3</v>
      </c>
      <c r="K221" t="s">
        <v>14</v>
      </c>
      <c r="U221" t="s">
        <v>5068</v>
      </c>
      <c r="V221" t="s">
        <v>5373</v>
      </c>
      <c r="W221" t="s">
        <v>5105</v>
      </c>
      <c r="X221" t="s">
        <v>17</v>
      </c>
    </row>
    <row r="222" spans="8:24" x14ac:dyDescent="0.45">
      <c r="H222" t="s">
        <v>5123</v>
      </c>
      <c r="I222" t="s">
        <v>632</v>
      </c>
      <c r="J222">
        <v>5.4598775538907567E-2</v>
      </c>
      <c r="K222" t="s">
        <v>14</v>
      </c>
      <c r="U222" t="s">
        <v>5068</v>
      </c>
      <c r="V222" t="s">
        <v>5374</v>
      </c>
      <c r="W222" t="s">
        <v>5244</v>
      </c>
      <c r="X222" t="s">
        <v>19</v>
      </c>
    </row>
    <row r="223" spans="8:24" x14ac:dyDescent="0.45">
      <c r="H223" t="s">
        <v>5127</v>
      </c>
      <c r="I223" t="s">
        <v>632</v>
      </c>
      <c r="J223">
        <v>6.4267166116668092E-2</v>
      </c>
      <c r="K223" t="s">
        <v>14</v>
      </c>
      <c r="U223" t="s">
        <v>5068</v>
      </c>
      <c r="V223" t="s">
        <v>5374</v>
      </c>
      <c r="W223" t="s">
        <v>5105</v>
      </c>
      <c r="X223" t="s">
        <v>17</v>
      </c>
    </row>
    <row r="224" spans="8:24" x14ac:dyDescent="0.45">
      <c r="H224" t="s">
        <v>5130</v>
      </c>
      <c r="I224" t="s">
        <v>632</v>
      </c>
      <c r="J224">
        <v>9.3751772225370358E-15</v>
      </c>
      <c r="K224" t="s">
        <v>14</v>
      </c>
      <c r="U224" t="s">
        <v>5068</v>
      </c>
      <c r="V224" t="s">
        <v>5375</v>
      </c>
      <c r="W224" t="s">
        <v>5109</v>
      </c>
      <c r="X224" t="s">
        <v>19</v>
      </c>
    </row>
    <row r="225" spans="8:24" x14ac:dyDescent="0.45">
      <c r="H225" t="s">
        <v>5134</v>
      </c>
      <c r="I225" t="s">
        <v>632</v>
      </c>
      <c r="J225">
        <v>0.14093497102231334</v>
      </c>
      <c r="K225" t="s">
        <v>14</v>
      </c>
      <c r="U225" t="s">
        <v>5068</v>
      </c>
      <c r="V225" t="s">
        <v>5376</v>
      </c>
      <c r="W225" t="s">
        <v>5109</v>
      </c>
      <c r="X225" t="s">
        <v>19</v>
      </c>
    </row>
    <row r="226" spans="8:24" x14ac:dyDescent="0.45">
      <c r="H226" t="s">
        <v>5137</v>
      </c>
      <c r="I226" t="s">
        <v>632</v>
      </c>
      <c r="J226">
        <v>5.4849103552203057E-2</v>
      </c>
      <c r="K226" t="s">
        <v>14</v>
      </c>
      <c r="U226" t="s">
        <v>5068</v>
      </c>
      <c r="V226" t="s">
        <v>5377</v>
      </c>
      <c r="W226" t="s">
        <v>5109</v>
      </c>
      <c r="X226" t="s">
        <v>19</v>
      </c>
    </row>
    <row r="227" spans="8:24" x14ac:dyDescent="0.45">
      <c r="H227" t="s">
        <v>5140</v>
      </c>
      <c r="I227" t="s">
        <v>632</v>
      </c>
      <c r="J227">
        <v>0.26151979142048826</v>
      </c>
      <c r="K227" t="s">
        <v>14</v>
      </c>
      <c r="U227" t="s">
        <v>5068</v>
      </c>
      <c r="V227" t="s">
        <v>5378</v>
      </c>
      <c r="W227" t="s">
        <v>5109</v>
      </c>
      <c r="X227" t="s">
        <v>19</v>
      </c>
    </row>
    <row r="228" spans="8:24" x14ac:dyDescent="0.45">
      <c r="H228" t="s">
        <v>5142</v>
      </c>
      <c r="I228" t="s">
        <v>632</v>
      </c>
      <c r="J228">
        <v>3.2552293942139578E-2</v>
      </c>
      <c r="K228" t="s">
        <v>14</v>
      </c>
      <c r="U228" t="s">
        <v>5068</v>
      </c>
      <c r="V228" t="s">
        <v>5379</v>
      </c>
      <c r="W228" t="s">
        <v>5109</v>
      </c>
      <c r="X228" t="s">
        <v>19</v>
      </c>
    </row>
    <row r="229" spans="8:24" x14ac:dyDescent="0.45">
      <c r="H229" t="s">
        <v>5145</v>
      </c>
      <c r="I229" t="s">
        <v>632</v>
      </c>
      <c r="J229">
        <v>0.11727210246411847</v>
      </c>
      <c r="K229" t="s">
        <v>14</v>
      </c>
      <c r="U229" t="s">
        <v>5068</v>
      </c>
      <c r="V229" t="s">
        <v>5380</v>
      </c>
      <c r="W229" t="s">
        <v>5109</v>
      </c>
      <c r="X229" t="s">
        <v>19</v>
      </c>
    </row>
    <row r="230" spans="8:24" x14ac:dyDescent="0.45">
      <c r="H230" t="s">
        <v>5147</v>
      </c>
      <c r="I230" t="s">
        <v>632</v>
      </c>
      <c r="J230">
        <v>9.208246520108479E-2</v>
      </c>
      <c r="K230" t="s">
        <v>14</v>
      </c>
      <c r="U230" t="s">
        <v>5068</v>
      </c>
      <c r="V230" t="s">
        <v>5381</v>
      </c>
      <c r="W230" t="s">
        <v>5109</v>
      </c>
      <c r="X230" t="s">
        <v>19</v>
      </c>
    </row>
    <row r="231" spans="8:24" x14ac:dyDescent="0.45">
      <c r="H231" t="s">
        <v>5150</v>
      </c>
      <c r="I231" t="s">
        <v>632</v>
      </c>
      <c r="J231">
        <v>4.1773661538488886E-3</v>
      </c>
      <c r="K231" t="s">
        <v>14</v>
      </c>
      <c r="U231" t="s">
        <v>5068</v>
      </c>
      <c r="V231" t="s">
        <v>5382</v>
      </c>
      <c r="W231" t="s">
        <v>5109</v>
      </c>
      <c r="X231" t="s">
        <v>19</v>
      </c>
    </row>
    <row r="232" spans="8:24" x14ac:dyDescent="0.45">
      <c r="H232" t="s">
        <v>5153</v>
      </c>
      <c r="I232" t="s">
        <v>632</v>
      </c>
      <c r="J232">
        <v>1.4230867449087099E-3</v>
      </c>
      <c r="K232" t="s">
        <v>14</v>
      </c>
      <c r="U232" t="s">
        <v>5068</v>
      </c>
      <c r="V232" t="s">
        <v>5383</v>
      </c>
      <c r="W232" t="s">
        <v>5109</v>
      </c>
      <c r="X232" t="s">
        <v>19</v>
      </c>
    </row>
    <row r="233" spans="8:24" x14ac:dyDescent="0.45">
      <c r="H233" t="s">
        <v>5155</v>
      </c>
      <c r="I233" t="s">
        <v>632</v>
      </c>
      <c r="J233">
        <v>1.129668260799274E-2</v>
      </c>
      <c r="K233" t="s">
        <v>14</v>
      </c>
      <c r="U233" t="s">
        <v>5068</v>
      </c>
      <c r="V233" t="s">
        <v>5384</v>
      </c>
      <c r="W233" t="s">
        <v>5109</v>
      </c>
      <c r="X233" t="s">
        <v>19</v>
      </c>
    </row>
    <row r="234" spans="8:24" x14ac:dyDescent="0.45">
      <c r="H234" t="s">
        <v>5157</v>
      </c>
      <c r="I234" t="s">
        <v>632</v>
      </c>
      <c r="J234">
        <v>8.8963391083875971E-3</v>
      </c>
      <c r="K234" t="s">
        <v>14</v>
      </c>
      <c r="U234" t="s">
        <v>5068</v>
      </c>
      <c r="V234" t="s">
        <v>5385</v>
      </c>
      <c r="W234" t="s">
        <v>5109</v>
      </c>
      <c r="X234" t="s">
        <v>19</v>
      </c>
    </row>
    <row r="235" spans="8:24" x14ac:dyDescent="0.45">
      <c r="H235" t="s">
        <v>5159</v>
      </c>
      <c r="I235" t="s">
        <v>632</v>
      </c>
      <c r="J235">
        <v>7.4047714283336036E-2</v>
      </c>
      <c r="K235" t="s">
        <v>14</v>
      </c>
      <c r="U235" t="s">
        <v>5068</v>
      </c>
      <c r="V235" t="s">
        <v>5385</v>
      </c>
      <c r="W235" t="s">
        <v>5258</v>
      </c>
      <c r="X235" t="s">
        <v>19</v>
      </c>
    </row>
    <row r="236" spans="8:24" x14ac:dyDescent="0.45">
      <c r="H236" t="s">
        <v>5161</v>
      </c>
      <c r="I236" t="s">
        <v>632</v>
      </c>
      <c r="J236">
        <v>6.0100565010074262E-2</v>
      </c>
      <c r="K236" t="s">
        <v>14</v>
      </c>
      <c r="U236" t="s">
        <v>5068</v>
      </c>
      <c r="V236" t="s">
        <v>5386</v>
      </c>
      <c r="W236" t="s">
        <v>5109</v>
      </c>
      <c r="X236" t="s">
        <v>19</v>
      </c>
    </row>
    <row r="237" spans="8:24" x14ac:dyDescent="0.45">
      <c r="H237" t="s">
        <v>5163</v>
      </c>
      <c r="I237" t="s">
        <v>632</v>
      </c>
      <c r="J237">
        <v>3.7235625755113798E-4</v>
      </c>
      <c r="K237" t="s">
        <v>14</v>
      </c>
      <c r="U237" t="s">
        <v>5068</v>
      </c>
      <c r="V237" t="s">
        <v>5386</v>
      </c>
      <c r="W237" t="s">
        <v>5258</v>
      </c>
      <c r="X237" t="s">
        <v>19</v>
      </c>
    </row>
    <row r="238" spans="8:24" x14ac:dyDescent="0.45">
      <c r="H238" t="s">
        <v>5165</v>
      </c>
      <c r="I238" t="s">
        <v>632</v>
      </c>
      <c r="J238">
        <v>1.6092205759672702E-3</v>
      </c>
      <c r="K238" t="s">
        <v>14</v>
      </c>
      <c r="U238" t="s">
        <v>5068</v>
      </c>
      <c r="V238" t="s">
        <v>5387</v>
      </c>
      <c r="W238" t="s">
        <v>5109</v>
      </c>
      <c r="X238" t="s">
        <v>19</v>
      </c>
    </row>
    <row r="239" spans="8:24" x14ac:dyDescent="0.45">
      <c r="H239" t="s">
        <v>5167</v>
      </c>
      <c r="I239" t="s">
        <v>632</v>
      </c>
      <c r="J239">
        <v>5.4598775538907567E-2</v>
      </c>
      <c r="K239" t="s">
        <v>14</v>
      </c>
      <c r="U239" t="s">
        <v>5068</v>
      </c>
      <c r="V239" t="s">
        <v>5387</v>
      </c>
      <c r="W239" t="s">
        <v>5258</v>
      </c>
      <c r="X239" t="s">
        <v>19</v>
      </c>
    </row>
    <row r="240" spans="8:24" x14ac:dyDescent="0.45">
      <c r="H240" t="s">
        <v>5169</v>
      </c>
      <c r="I240" t="s">
        <v>632</v>
      </c>
      <c r="J240">
        <v>6.4267166116668092E-2</v>
      </c>
      <c r="K240" t="s">
        <v>14</v>
      </c>
      <c r="U240" t="s">
        <v>5068</v>
      </c>
      <c r="V240" t="s">
        <v>5388</v>
      </c>
      <c r="W240" t="s">
        <v>5258</v>
      </c>
      <c r="X240" t="s">
        <v>19</v>
      </c>
    </row>
    <row r="241" spans="8:24" x14ac:dyDescent="0.45">
      <c r="H241" t="s">
        <v>5171</v>
      </c>
      <c r="I241" t="s">
        <v>632</v>
      </c>
      <c r="J241">
        <v>9.3751772225370358E-15</v>
      </c>
      <c r="K241" t="s">
        <v>14</v>
      </c>
      <c r="U241" t="s">
        <v>5068</v>
      </c>
      <c r="V241" t="s">
        <v>5389</v>
      </c>
      <c r="W241" t="s">
        <v>5258</v>
      </c>
      <c r="X241" t="s">
        <v>19</v>
      </c>
    </row>
    <row r="242" spans="8:24" x14ac:dyDescent="0.45">
      <c r="H242" t="s">
        <v>5173</v>
      </c>
      <c r="I242" t="s">
        <v>632</v>
      </c>
      <c r="J242">
        <v>0.14093497102231334</v>
      </c>
      <c r="K242" t="s">
        <v>14</v>
      </c>
      <c r="U242" t="s">
        <v>5068</v>
      </c>
      <c r="V242" t="s">
        <v>5390</v>
      </c>
      <c r="W242" t="s">
        <v>5258</v>
      </c>
      <c r="X242" t="s">
        <v>19</v>
      </c>
    </row>
    <row r="243" spans="8:24" x14ac:dyDescent="0.45">
      <c r="H243" t="s">
        <v>5175</v>
      </c>
      <c r="I243" t="s">
        <v>632</v>
      </c>
      <c r="J243">
        <v>5.4849103552203057E-2</v>
      </c>
      <c r="K243" t="s">
        <v>14</v>
      </c>
      <c r="U243" t="s">
        <v>5068</v>
      </c>
      <c r="V243" t="s">
        <v>5390</v>
      </c>
      <c r="W243" t="s">
        <v>5109</v>
      </c>
      <c r="X243" t="s">
        <v>17</v>
      </c>
    </row>
    <row r="244" spans="8:24" x14ac:dyDescent="0.45">
      <c r="H244" t="s">
        <v>5176</v>
      </c>
      <c r="I244" t="s">
        <v>632</v>
      </c>
      <c r="J244">
        <v>0.26151979142048826</v>
      </c>
      <c r="K244" t="s">
        <v>14</v>
      </c>
      <c r="U244" t="s">
        <v>5068</v>
      </c>
      <c r="V244" t="s">
        <v>5391</v>
      </c>
      <c r="W244" t="s">
        <v>5258</v>
      </c>
      <c r="X244" t="s">
        <v>19</v>
      </c>
    </row>
    <row r="245" spans="8:24" x14ac:dyDescent="0.45">
      <c r="H245" t="s">
        <v>5178</v>
      </c>
      <c r="I245" t="s">
        <v>632</v>
      </c>
      <c r="J245">
        <v>3.2552293942139578E-2</v>
      </c>
      <c r="K245" t="s">
        <v>14</v>
      </c>
      <c r="U245" t="s">
        <v>5068</v>
      </c>
      <c r="V245" t="s">
        <v>5391</v>
      </c>
      <c r="W245" t="s">
        <v>5109</v>
      </c>
      <c r="X245" t="s">
        <v>17</v>
      </c>
    </row>
    <row r="246" spans="8:24" x14ac:dyDescent="0.45">
      <c r="H246" t="s">
        <v>5179</v>
      </c>
      <c r="I246" t="s">
        <v>632</v>
      </c>
      <c r="J246">
        <v>0.11727210246411847</v>
      </c>
      <c r="K246" t="s">
        <v>14</v>
      </c>
      <c r="U246" t="s">
        <v>5068</v>
      </c>
      <c r="V246" t="s">
        <v>5392</v>
      </c>
      <c r="W246" t="s">
        <v>5113</v>
      </c>
      <c r="X246" t="s">
        <v>19</v>
      </c>
    </row>
    <row r="247" spans="8:24" x14ac:dyDescent="0.45">
      <c r="H247" t="s">
        <v>5181</v>
      </c>
      <c r="I247" t="s">
        <v>632</v>
      </c>
      <c r="J247">
        <v>9.208246520108479E-2</v>
      </c>
      <c r="K247" t="s">
        <v>14</v>
      </c>
      <c r="U247" t="s">
        <v>5068</v>
      </c>
      <c r="V247" t="s">
        <v>5393</v>
      </c>
      <c r="W247" t="s">
        <v>5113</v>
      </c>
      <c r="X247" t="s">
        <v>19</v>
      </c>
    </row>
    <row r="248" spans="8:24" x14ac:dyDescent="0.45">
      <c r="H248" t="s">
        <v>5183</v>
      </c>
      <c r="I248" t="s">
        <v>632</v>
      </c>
      <c r="J248">
        <v>4.1773661538488886E-3</v>
      </c>
      <c r="K248" t="s">
        <v>14</v>
      </c>
      <c r="U248" t="s">
        <v>5068</v>
      </c>
      <c r="V248" t="s">
        <v>5394</v>
      </c>
      <c r="W248" t="s">
        <v>5113</v>
      </c>
      <c r="X248" t="s">
        <v>19</v>
      </c>
    </row>
    <row r="249" spans="8:24" x14ac:dyDescent="0.45">
      <c r="H249" t="s">
        <v>5185</v>
      </c>
      <c r="I249" t="s">
        <v>632</v>
      </c>
      <c r="J249">
        <v>1.4230867449087099E-3</v>
      </c>
      <c r="K249" t="s">
        <v>14</v>
      </c>
      <c r="U249" t="s">
        <v>5068</v>
      </c>
      <c r="V249" t="s">
        <v>5395</v>
      </c>
      <c r="W249" t="s">
        <v>5113</v>
      </c>
      <c r="X249" t="s">
        <v>19</v>
      </c>
    </row>
    <row r="250" spans="8:24" x14ac:dyDescent="0.45">
      <c r="H250" t="s">
        <v>5186</v>
      </c>
      <c r="I250" t="s">
        <v>632</v>
      </c>
      <c r="J250">
        <v>1.129668260799274E-2</v>
      </c>
      <c r="K250" t="s">
        <v>14</v>
      </c>
      <c r="U250" t="s">
        <v>5068</v>
      </c>
      <c r="V250" t="s">
        <v>5396</v>
      </c>
      <c r="W250" t="s">
        <v>5113</v>
      </c>
      <c r="X250" t="s">
        <v>19</v>
      </c>
    </row>
    <row r="251" spans="8:24" x14ac:dyDescent="0.45">
      <c r="H251" t="s">
        <v>5188</v>
      </c>
      <c r="I251" t="s">
        <v>632</v>
      </c>
      <c r="J251">
        <v>8.8963391083875971E-3</v>
      </c>
      <c r="K251" t="s">
        <v>14</v>
      </c>
      <c r="U251" t="s">
        <v>5068</v>
      </c>
      <c r="V251" t="s">
        <v>5397</v>
      </c>
      <c r="W251" t="s">
        <v>5113</v>
      </c>
      <c r="X251" t="s">
        <v>19</v>
      </c>
    </row>
    <row r="252" spans="8:24" x14ac:dyDescent="0.45">
      <c r="H252" t="s">
        <v>5189</v>
      </c>
      <c r="I252" t="s">
        <v>632</v>
      </c>
      <c r="J252">
        <v>7.4047714283336036E-2</v>
      </c>
      <c r="K252" t="s">
        <v>14</v>
      </c>
      <c r="U252" t="s">
        <v>5068</v>
      </c>
      <c r="V252" t="s">
        <v>5398</v>
      </c>
      <c r="W252" t="s">
        <v>5113</v>
      </c>
      <c r="X252" t="s">
        <v>19</v>
      </c>
    </row>
    <row r="253" spans="8:24" x14ac:dyDescent="0.45">
      <c r="H253" t="s">
        <v>5191</v>
      </c>
      <c r="I253" t="s">
        <v>632</v>
      </c>
      <c r="J253">
        <v>6.0100565010074262E-2</v>
      </c>
      <c r="K253" t="s">
        <v>14</v>
      </c>
      <c r="U253" t="s">
        <v>5068</v>
      </c>
      <c r="V253" t="s">
        <v>5399</v>
      </c>
      <c r="W253" t="s">
        <v>5113</v>
      </c>
      <c r="X253" t="s">
        <v>19</v>
      </c>
    </row>
    <row r="254" spans="8:24" x14ac:dyDescent="0.45">
      <c r="H254" t="s">
        <v>5193</v>
      </c>
      <c r="I254" t="s">
        <v>632</v>
      </c>
      <c r="J254">
        <v>3.7235625755113798E-4</v>
      </c>
      <c r="K254" t="s">
        <v>14</v>
      </c>
      <c r="U254" t="s">
        <v>5068</v>
      </c>
      <c r="V254" t="s">
        <v>5400</v>
      </c>
      <c r="W254" t="s">
        <v>5113</v>
      </c>
      <c r="X254" t="s">
        <v>19</v>
      </c>
    </row>
    <row r="255" spans="8:24" x14ac:dyDescent="0.45">
      <c r="H255" t="s">
        <v>5195</v>
      </c>
      <c r="I255" t="s">
        <v>632</v>
      </c>
      <c r="J255">
        <v>1.6092205759672702E-3</v>
      </c>
      <c r="K255" t="s">
        <v>14</v>
      </c>
      <c r="U255" t="s">
        <v>5068</v>
      </c>
      <c r="V255" t="s">
        <v>5401</v>
      </c>
      <c r="W255" t="s">
        <v>5113</v>
      </c>
      <c r="X255" t="s">
        <v>19</v>
      </c>
    </row>
    <row r="256" spans="8:24" x14ac:dyDescent="0.45">
      <c r="H256" t="s">
        <v>5197</v>
      </c>
      <c r="I256" t="s">
        <v>632</v>
      </c>
      <c r="J256">
        <v>5.4598775538907567E-2</v>
      </c>
      <c r="K256" t="s">
        <v>14</v>
      </c>
      <c r="U256" t="s">
        <v>5068</v>
      </c>
      <c r="V256" t="s">
        <v>5402</v>
      </c>
      <c r="W256" t="s">
        <v>5113</v>
      </c>
      <c r="X256" t="s">
        <v>19</v>
      </c>
    </row>
    <row r="257" spans="8:24" x14ac:dyDescent="0.45">
      <c r="H257" t="s">
        <v>5199</v>
      </c>
      <c r="I257" t="s">
        <v>632</v>
      </c>
      <c r="J257">
        <v>6.4267166116668092E-2</v>
      </c>
      <c r="K257" t="s">
        <v>14</v>
      </c>
      <c r="U257" t="s">
        <v>5068</v>
      </c>
      <c r="V257" t="s">
        <v>5402</v>
      </c>
      <c r="W257" t="s">
        <v>5239</v>
      </c>
      <c r="X257" t="s">
        <v>19</v>
      </c>
    </row>
    <row r="258" spans="8:24" x14ac:dyDescent="0.45">
      <c r="H258" t="s">
        <v>5201</v>
      </c>
      <c r="I258" t="s">
        <v>632</v>
      </c>
      <c r="J258">
        <v>9.3751772225370358E-15</v>
      </c>
      <c r="K258" t="s">
        <v>14</v>
      </c>
      <c r="U258" t="s">
        <v>5068</v>
      </c>
      <c r="V258" t="s">
        <v>5403</v>
      </c>
      <c r="W258" t="s">
        <v>5113</v>
      </c>
      <c r="X258" t="s">
        <v>19</v>
      </c>
    </row>
    <row r="259" spans="8:24" x14ac:dyDescent="0.45">
      <c r="H259" t="s">
        <v>5203</v>
      </c>
      <c r="I259" t="s">
        <v>632</v>
      </c>
      <c r="J259">
        <v>0.14093497102231334</v>
      </c>
      <c r="K259" t="s">
        <v>14</v>
      </c>
      <c r="U259" t="s">
        <v>5068</v>
      </c>
      <c r="V259" t="s">
        <v>5403</v>
      </c>
      <c r="W259" t="s">
        <v>5239</v>
      </c>
      <c r="X259" t="s">
        <v>19</v>
      </c>
    </row>
    <row r="260" spans="8:24" x14ac:dyDescent="0.45">
      <c r="H260" t="s">
        <v>5205</v>
      </c>
      <c r="I260" t="s">
        <v>632</v>
      </c>
      <c r="J260">
        <v>5.4849103552203057E-2</v>
      </c>
      <c r="K260" t="s">
        <v>14</v>
      </c>
      <c r="U260" t="s">
        <v>5068</v>
      </c>
      <c r="V260" t="s">
        <v>5404</v>
      </c>
      <c r="W260" t="s">
        <v>5113</v>
      </c>
      <c r="X260" t="s">
        <v>19</v>
      </c>
    </row>
    <row r="261" spans="8:24" x14ac:dyDescent="0.45">
      <c r="H261" t="s">
        <v>5207</v>
      </c>
      <c r="I261" t="s">
        <v>632</v>
      </c>
      <c r="J261">
        <v>0.26151979142048826</v>
      </c>
      <c r="K261" t="s">
        <v>14</v>
      </c>
      <c r="U261" t="s">
        <v>5068</v>
      </c>
      <c r="V261" t="s">
        <v>5404</v>
      </c>
      <c r="W261" t="s">
        <v>5239</v>
      </c>
      <c r="X261" t="s">
        <v>19</v>
      </c>
    </row>
    <row r="262" spans="8:24" x14ac:dyDescent="0.45">
      <c r="H262" t="s">
        <v>5209</v>
      </c>
      <c r="I262" t="s">
        <v>632</v>
      </c>
      <c r="J262">
        <v>3.2552293942139578E-2</v>
      </c>
      <c r="K262" t="s">
        <v>14</v>
      </c>
      <c r="U262" t="s">
        <v>5068</v>
      </c>
      <c r="V262" t="s">
        <v>5405</v>
      </c>
      <c r="W262" t="s">
        <v>5239</v>
      </c>
      <c r="X262" t="s">
        <v>19</v>
      </c>
    </row>
    <row r="263" spans="8:24" x14ac:dyDescent="0.45">
      <c r="H263" t="s">
        <v>5211</v>
      </c>
      <c r="I263" t="s">
        <v>632</v>
      </c>
      <c r="J263">
        <v>0.11727210246411847</v>
      </c>
      <c r="K263" t="s">
        <v>14</v>
      </c>
      <c r="U263" t="s">
        <v>5068</v>
      </c>
      <c r="V263" t="s">
        <v>5406</v>
      </c>
      <c r="W263" t="s">
        <v>5239</v>
      </c>
      <c r="X263" t="s">
        <v>19</v>
      </c>
    </row>
    <row r="264" spans="8:24" x14ac:dyDescent="0.45">
      <c r="H264" t="s">
        <v>5213</v>
      </c>
      <c r="I264" t="s">
        <v>632</v>
      </c>
      <c r="J264">
        <v>9.208246520108479E-2</v>
      </c>
      <c r="K264" t="s">
        <v>14</v>
      </c>
      <c r="U264" t="s">
        <v>5068</v>
      </c>
      <c r="V264" t="s">
        <v>5407</v>
      </c>
      <c r="W264" t="s">
        <v>5239</v>
      </c>
      <c r="X264" t="s">
        <v>19</v>
      </c>
    </row>
    <row r="265" spans="8:24" x14ac:dyDescent="0.45">
      <c r="H265" t="s">
        <v>5215</v>
      </c>
      <c r="I265" t="s">
        <v>632</v>
      </c>
      <c r="J265">
        <v>4.1773661538488886E-3</v>
      </c>
      <c r="K265" t="s">
        <v>14</v>
      </c>
      <c r="U265" t="s">
        <v>5068</v>
      </c>
      <c r="V265" t="s">
        <v>5407</v>
      </c>
      <c r="W265" t="s">
        <v>5113</v>
      </c>
      <c r="X265" t="s">
        <v>17</v>
      </c>
    </row>
    <row r="266" spans="8:24" x14ac:dyDescent="0.45">
      <c r="H266" t="s">
        <v>5216</v>
      </c>
      <c r="I266" t="s">
        <v>632</v>
      </c>
      <c r="J266">
        <v>1.4230867449087099E-3</v>
      </c>
      <c r="K266" t="s">
        <v>14</v>
      </c>
      <c r="U266" t="s">
        <v>5068</v>
      </c>
      <c r="V266" t="s">
        <v>5408</v>
      </c>
      <c r="W266" t="s">
        <v>5239</v>
      </c>
      <c r="X266" t="s">
        <v>19</v>
      </c>
    </row>
    <row r="267" spans="8:24" x14ac:dyDescent="0.45">
      <c r="H267" t="s">
        <v>5218</v>
      </c>
      <c r="I267" t="s">
        <v>632</v>
      </c>
      <c r="J267">
        <v>1.129668260799274E-2</v>
      </c>
      <c r="K267" t="s">
        <v>14</v>
      </c>
      <c r="U267" t="s">
        <v>5068</v>
      </c>
      <c r="V267" t="s">
        <v>5408</v>
      </c>
      <c r="W267" t="s">
        <v>5113</v>
      </c>
      <c r="X267" t="s">
        <v>17</v>
      </c>
    </row>
    <row r="268" spans="8:24" x14ac:dyDescent="0.45">
      <c r="H268" t="s">
        <v>5219</v>
      </c>
      <c r="I268" t="s">
        <v>632</v>
      </c>
      <c r="J268">
        <v>8.8963391083875971E-3</v>
      </c>
      <c r="K268" t="s">
        <v>14</v>
      </c>
      <c r="U268" t="s">
        <v>5068</v>
      </c>
      <c r="V268" t="s">
        <v>5409</v>
      </c>
      <c r="W268" t="s">
        <v>5117</v>
      </c>
      <c r="X268" t="s">
        <v>19</v>
      </c>
    </row>
    <row r="269" spans="8:24" x14ac:dyDescent="0.45">
      <c r="H269" t="s">
        <v>5221</v>
      </c>
      <c r="I269" t="s">
        <v>632</v>
      </c>
      <c r="J269">
        <v>7.4047714283336036E-2</v>
      </c>
      <c r="K269" t="s">
        <v>14</v>
      </c>
      <c r="U269" t="s">
        <v>5068</v>
      </c>
      <c r="V269" t="s">
        <v>5410</v>
      </c>
      <c r="W269" t="s">
        <v>5117</v>
      </c>
      <c r="X269" t="s">
        <v>19</v>
      </c>
    </row>
    <row r="270" spans="8:24" x14ac:dyDescent="0.45">
      <c r="H270" t="s">
        <v>5223</v>
      </c>
      <c r="I270" t="s">
        <v>632</v>
      </c>
      <c r="J270">
        <v>6.0100565010074262E-2</v>
      </c>
      <c r="K270" t="s">
        <v>14</v>
      </c>
      <c r="U270" t="s">
        <v>5068</v>
      </c>
      <c r="V270" t="s">
        <v>5411</v>
      </c>
      <c r="W270" t="s">
        <v>5117</v>
      </c>
      <c r="X270" t="s">
        <v>19</v>
      </c>
    </row>
    <row r="271" spans="8:24" x14ac:dyDescent="0.45">
      <c r="H271" t="s">
        <v>5225</v>
      </c>
      <c r="I271" t="s">
        <v>632</v>
      </c>
      <c r="J271">
        <v>3.7235625755113798E-4</v>
      </c>
      <c r="K271" t="s">
        <v>14</v>
      </c>
      <c r="U271" t="s">
        <v>5068</v>
      </c>
      <c r="V271" t="s">
        <v>5412</v>
      </c>
      <c r="W271" t="s">
        <v>5117</v>
      </c>
      <c r="X271" t="s">
        <v>19</v>
      </c>
    </row>
    <row r="272" spans="8:24" x14ac:dyDescent="0.45">
      <c r="H272" t="s">
        <v>5226</v>
      </c>
      <c r="I272" t="s">
        <v>632</v>
      </c>
      <c r="J272">
        <v>1.6092205759672702E-3</v>
      </c>
      <c r="K272" t="s">
        <v>14</v>
      </c>
      <c r="U272" t="s">
        <v>5068</v>
      </c>
      <c r="V272" t="s">
        <v>5413</v>
      </c>
      <c r="W272" t="s">
        <v>5117</v>
      </c>
      <c r="X272" t="s">
        <v>19</v>
      </c>
    </row>
    <row r="273" spans="8:24" x14ac:dyDescent="0.45">
      <c r="H273" t="s">
        <v>5228</v>
      </c>
      <c r="I273" t="s">
        <v>632</v>
      </c>
      <c r="J273">
        <v>5.4598775538907567E-2</v>
      </c>
      <c r="K273" t="s">
        <v>14</v>
      </c>
      <c r="U273" t="s">
        <v>5068</v>
      </c>
      <c r="V273" t="s">
        <v>5414</v>
      </c>
      <c r="W273" t="s">
        <v>5117</v>
      </c>
      <c r="X273" t="s">
        <v>19</v>
      </c>
    </row>
    <row r="274" spans="8:24" x14ac:dyDescent="0.45">
      <c r="H274" t="s">
        <v>5229</v>
      </c>
      <c r="I274" t="s">
        <v>632</v>
      </c>
      <c r="J274">
        <v>6.4267166116668092E-2</v>
      </c>
      <c r="K274" t="s">
        <v>14</v>
      </c>
      <c r="U274" t="s">
        <v>5068</v>
      </c>
      <c r="V274" t="s">
        <v>5415</v>
      </c>
      <c r="W274" t="s">
        <v>5117</v>
      </c>
      <c r="X274" t="s">
        <v>19</v>
      </c>
    </row>
    <row r="275" spans="8:24" x14ac:dyDescent="0.45">
      <c r="H275" t="s">
        <v>5231</v>
      </c>
      <c r="I275" t="s">
        <v>632</v>
      </c>
      <c r="J275">
        <v>9.3751772225370358E-15</v>
      </c>
      <c r="K275" t="s">
        <v>14</v>
      </c>
      <c r="U275" t="s">
        <v>5068</v>
      </c>
      <c r="V275" t="s">
        <v>5416</v>
      </c>
      <c r="W275" t="s">
        <v>5117</v>
      </c>
      <c r="X275" t="s">
        <v>19</v>
      </c>
    </row>
    <row r="276" spans="8:24" x14ac:dyDescent="0.45">
      <c r="H276" t="s">
        <v>5233</v>
      </c>
      <c r="I276" t="s">
        <v>738</v>
      </c>
      <c r="J276">
        <v>3.7636488704683703E-2</v>
      </c>
      <c r="K276" t="s">
        <v>14</v>
      </c>
      <c r="U276" t="s">
        <v>5068</v>
      </c>
      <c r="V276" t="s">
        <v>5417</v>
      </c>
      <c r="W276" t="s">
        <v>5117</v>
      </c>
      <c r="X276" t="s">
        <v>19</v>
      </c>
    </row>
    <row r="277" spans="8:24" x14ac:dyDescent="0.45">
      <c r="H277" t="s">
        <v>5233</v>
      </c>
      <c r="I277" t="s">
        <v>740</v>
      </c>
      <c r="J277">
        <v>0.19579748896508639</v>
      </c>
      <c r="K277" t="s">
        <v>14</v>
      </c>
      <c r="U277" t="s">
        <v>5068</v>
      </c>
      <c r="V277" t="s">
        <v>5418</v>
      </c>
      <c r="W277" t="s">
        <v>5117</v>
      </c>
      <c r="X277" t="s">
        <v>19</v>
      </c>
    </row>
    <row r="278" spans="8:24" x14ac:dyDescent="0.45">
      <c r="H278" t="s">
        <v>5235</v>
      </c>
      <c r="I278" t="s">
        <v>738</v>
      </c>
      <c r="J278">
        <v>5.2459703727188202E-2</v>
      </c>
      <c r="K278" t="s">
        <v>14</v>
      </c>
      <c r="U278" t="s">
        <v>5068</v>
      </c>
      <c r="V278" t="s">
        <v>5419</v>
      </c>
      <c r="W278" t="s">
        <v>5117</v>
      </c>
      <c r="X278" t="s">
        <v>19</v>
      </c>
    </row>
    <row r="279" spans="8:24" x14ac:dyDescent="0.45">
      <c r="H279" t="s">
        <v>5235</v>
      </c>
      <c r="I279" t="s">
        <v>740</v>
      </c>
      <c r="J279">
        <v>5.2087928562889003E-3</v>
      </c>
      <c r="K279" t="s">
        <v>14</v>
      </c>
      <c r="U279" t="s">
        <v>5068</v>
      </c>
      <c r="V279" t="s">
        <v>5419</v>
      </c>
      <c r="W279" t="s">
        <v>5420</v>
      </c>
      <c r="X279" t="s">
        <v>19</v>
      </c>
    </row>
    <row r="280" spans="8:24" x14ac:dyDescent="0.45">
      <c r="H280" t="s">
        <v>5238</v>
      </c>
      <c r="I280" t="s">
        <v>738</v>
      </c>
      <c r="J280">
        <v>4.4519650134992601E-2</v>
      </c>
      <c r="K280" t="s">
        <v>14</v>
      </c>
      <c r="U280" t="s">
        <v>5068</v>
      </c>
      <c r="V280" t="s">
        <v>5421</v>
      </c>
      <c r="W280" t="s">
        <v>5117</v>
      </c>
      <c r="X280" t="s">
        <v>19</v>
      </c>
    </row>
    <row r="281" spans="8:24" x14ac:dyDescent="0.45">
      <c r="H281" t="s">
        <v>5238</v>
      </c>
      <c r="I281" t="s">
        <v>740</v>
      </c>
      <c r="J281">
        <v>0.14039085800553081</v>
      </c>
      <c r="K281" t="s">
        <v>14</v>
      </c>
      <c r="U281" t="s">
        <v>5068</v>
      </c>
      <c r="V281" t="s">
        <v>5421</v>
      </c>
      <c r="W281" t="s">
        <v>5420</v>
      </c>
      <c r="X281" t="s">
        <v>19</v>
      </c>
    </row>
    <row r="282" spans="8:24" x14ac:dyDescent="0.45">
      <c r="H282" t="s">
        <v>5241</v>
      </c>
      <c r="I282" t="s">
        <v>738</v>
      </c>
      <c r="J282">
        <v>0.16994383087877299</v>
      </c>
      <c r="K282" t="s">
        <v>14</v>
      </c>
      <c r="U282" t="s">
        <v>5068</v>
      </c>
      <c r="V282" t="s">
        <v>5422</v>
      </c>
      <c r="W282" t="s">
        <v>5117</v>
      </c>
      <c r="X282" t="s">
        <v>19</v>
      </c>
    </row>
    <row r="283" spans="8:24" x14ac:dyDescent="0.45">
      <c r="H283" t="s">
        <v>5241</v>
      </c>
      <c r="I283" t="s">
        <v>740</v>
      </c>
      <c r="J283">
        <v>0.21095948747332649</v>
      </c>
      <c r="K283" t="s">
        <v>14</v>
      </c>
      <c r="U283" t="s">
        <v>5068</v>
      </c>
      <c r="V283" t="s">
        <v>5422</v>
      </c>
      <c r="W283" t="s">
        <v>5420</v>
      </c>
      <c r="X283" t="s">
        <v>19</v>
      </c>
    </row>
    <row r="284" spans="8:24" x14ac:dyDescent="0.45">
      <c r="H284" t="s">
        <v>5243</v>
      </c>
      <c r="I284" t="s">
        <v>738</v>
      </c>
      <c r="J284">
        <v>1.2134574550536001E-3</v>
      </c>
      <c r="K284" t="s">
        <v>14</v>
      </c>
      <c r="U284" t="s">
        <v>5068</v>
      </c>
      <c r="V284" t="s">
        <v>5423</v>
      </c>
      <c r="W284" t="s">
        <v>5420</v>
      </c>
      <c r="X284" t="s">
        <v>19</v>
      </c>
    </row>
    <row r="285" spans="8:24" x14ac:dyDescent="0.45">
      <c r="H285" t="s">
        <v>5243</v>
      </c>
      <c r="I285" t="s">
        <v>740</v>
      </c>
      <c r="J285">
        <v>8.5919230413140002E-4</v>
      </c>
      <c r="K285" t="s">
        <v>14</v>
      </c>
      <c r="U285" t="s">
        <v>5068</v>
      </c>
      <c r="V285" t="s">
        <v>5424</v>
      </c>
      <c r="W285" t="s">
        <v>5420</v>
      </c>
      <c r="X285" t="s">
        <v>19</v>
      </c>
    </row>
    <row r="286" spans="8:24" x14ac:dyDescent="0.45">
      <c r="H286" t="s">
        <v>5246</v>
      </c>
      <c r="I286" t="s">
        <v>738</v>
      </c>
      <c r="J286">
        <v>0.24661624004645591</v>
      </c>
      <c r="K286" t="s">
        <v>14</v>
      </c>
      <c r="U286" t="s">
        <v>5068</v>
      </c>
      <c r="V286" t="s">
        <v>5425</v>
      </c>
      <c r="W286" t="s">
        <v>5420</v>
      </c>
      <c r="X286" t="s">
        <v>19</v>
      </c>
    </row>
    <row r="287" spans="8:24" x14ac:dyDescent="0.45">
      <c r="H287" t="s">
        <v>5246</v>
      </c>
      <c r="I287" t="s">
        <v>740</v>
      </c>
      <c r="J287">
        <v>0.23527814986858531</v>
      </c>
      <c r="K287" t="s">
        <v>14</v>
      </c>
      <c r="U287" t="s">
        <v>5068</v>
      </c>
      <c r="V287" t="s">
        <v>5425</v>
      </c>
      <c r="W287" t="s">
        <v>5117</v>
      </c>
      <c r="X287" t="s">
        <v>17</v>
      </c>
    </row>
    <row r="288" spans="8:24" x14ac:dyDescent="0.45">
      <c r="H288" t="s">
        <v>5249</v>
      </c>
      <c r="I288" t="s">
        <v>738</v>
      </c>
      <c r="J288">
        <v>4.8332753640794998E-3</v>
      </c>
      <c r="K288" t="s">
        <v>14</v>
      </c>
      <c r="U288" t="s">
        <v>5068</v>
      </c>
      <c r="V288" t="s">
        <v>5426</v>
      </c>
      <c r="W288" t="s">
        <v>5420</v>
      </c>
      <c r="X288" t="s">
        <v>19</v>
      </c>
    </row>
    <row r="289" spans="8:24" x14ac:dyDescent="0.45">
      <c r="H289" t="s">
        <v>5249</v>
      </c>
      <c r="I289" t="s">
        <v>740</v>
      </c>
      <c r="J289">
        <v>2.4569805073674199E-2</v>
      </c>
      <c r="K289" t="s">
        <v>14</v>
      </c>
      <c r="U289" t="s">
        <v>5068</v>
      </c>
      <c r="V289" t="s">
        <v>5426</v>
      </c>
      <c r="W289" t="s">
        <v>5117</v>
      </c>
      <c r="X289" t="s">
        <v>17</v>
      </c>
    </row>
    <row r="290" spans="8:24" x14ac:dyDescent="0.45">
      <c r="H290" t="s">
        <v>5252</v>
      </c>
      <c r="I290" t="s">
        <v>738</v>
      </c>
      <c r="J290">
        <v>4.102369202108E-4</v>
      </c>
      <c r="K290" t="s">
        <v>14</v>
      </c>
      <c r="U290" t="s">
        <v>5068</v>
      </c>
      <c r="V290" t="s">
        <v>5427</v>
      </c>
      <c r="W290" t="s">
        <v>5121</v>
      </c>
      <c r="X290" t="s">
        <v>19</v>
      </c>
    </row>
    <row r="291" spans="8:24" x14ac:dyDescent="0.45">
      <c r="H291" t="s">
        <v>5252</v>
      </c>
      <c r="I291" t="s">
        <v>740</v>
      </c>
      <c r="J291">
        <v>1.4394638566935999E-3</v>
      </c>
      <c r="K291" t="s">
        <v>14</v>
      </c>
      <c r="U291" t="s">
        <v>5068</v>
      </c>
      <c r="V291" t="s">
        <v>5428</v>
      </c>
      <c r="W291" t="s">
        <v>5121</v>
      </c>
      <c r="X291" t="s">
        <v>19</v>
      </c>
    </row>
    <row r="292" spans="8:24" x14ac:dyDescent="0.45">
      <c r="H292" t="s">
        <v>5254</v>
      </c>
      <c r="I292" t="s">
        <v>738</v>
      </c>
      <c r="J292">
        <v>0.38331064874183979</v>
      </c>
      <c r="K292" t="s">
        <v>14</v>
      </c>
      <c r="U292" t="s">
        <v>5068</v>
      </c>
      <c r="V292" t="s">
        <v>5429</v>
      </c>
      <c r="W292" t="s">
        <v>5121</v>
      </c>
      <c r="X292" t="s">
        <v>19</v>
      </c>
    </row>
    <row r="293" spans="8:24" x14ac:dyDescent="0.45">
      <c r="H293" t="s">
        <v>5254</v>
      </c>
      <c r="I293" t="s">
        <v>740</v>
      </c>
      <c r="J293">
        <v>0.12692424791933879</v>
      </c>
      <c r="K293" t="s">
        <v>14</v>
      </c>
      <c r="U293" t="s">
        <v>5068</v>
      </c>
      <c r="V293" t="s">
        <v>5430</v>
      </c>
      <c r="W293" t="s">
        <v>5121</v>
      </c>
      <c r="X293" t="s">
        <v>19</v>
      </c>
    </row>
    <row r="294" spans="8:24" x14ac:dyDescent="0.45">
      <c r="H294" t="s">
        <v>5257</v>
      </c>
      <c r="I294" t="s">
        <v>738</v>
      </c>
      <c r="J294">
        <v>2.9605933431652201E-2</v>
      </c>
      <c r="K294" t="s">
        <v>14</v>
      </c>
      <c r="U294" t="s">
        <v>5068</v>
      </c>
      <c r="V294" t="s">
        <v>5431</v>
      </c>
      <c r="W294" t="s">
        <v>5121</v>
      </c>
      <c r="X294" t="s">
        <v>19</v>
      </c>
    </row>
    <row r="295" spans="8:24" x14ac:dyDescent="0.45">
      <c r="H295" t="s">
        <v>5257</v>
      </c>
      <c r="I295" t="s">
        <v>740</v>
      </c>
      <c r="J295">
        <v>1.7645287405365501E-2</v>
      </c>
      <c r="K295" t="s">
        <v>14</v>
      </c>
      <c r="U295" t="s">
        <v>5068</v>
      </c>
      <c r="V295" t="s">
        <v>5432</v>
      </c>
      <c r="W295" t="s">
        <v>5121</v>
      </c>
      <c r="X295" t="s">
        <v>19</v>
      </c>
    </row>
    <row r="296" spans="8:24" x14ac:dyDescent="0.45">
      <c r="H296" t="s">
        <v>5259</v>
      </c>
      <c r="I296" t="s">
        <v>738</v>
      </c>
      <c r="J296">
        <v>3.1920849062424001E-3</v>
      </c>
      <c r="K296" t="s">
        <v>14</v>
      </c>
      <c r="U296" t="s">
        <v>5068</v>
      </c>
      <c r="V296" t="s">
        <v>5433</v>
      </c>
      <c r="W296" t="s">
        <v>5121</v>
      </c>
      <c r="X296" t="s">
        <v>19</v>
      </c>
    </row>
    <row r="297" spans="8:24" x14ac:dyDescent="0.45">
      <c r="H297" t="s">
        <v>5259</v>
      </c>
      <c r="I297" t="s">
        <v>740</v>
      </c>
      <c r="J297">
        <v>4.3559984596079002E-3</v>
      </c>
      <c r="K297" t="s">
        <v>14</v>
      </c>
      <c r="U297" t="s">
        <v>5068</v>
      </c>
      <c r="V297" t="s">
        <v>5434</v>
      </c>
      <c r="W297" t="s">
        <v>5121</v>
      </c>
      <c r="X297" t="s">
        <v>19</v>
      </c>
    </row>
    <row r="298" spans="8:24" x14ac:dyDescent="0.45">
      <c r="H298" t="s">
        <v>5262</v>
      </c>
      <c r="I298" t="s">
        <v>738</v>
      </c>
      <c r="J298">
        <v>5.7880561351090001E-3</v>
      </c>
      <c r="K298" t="s">
        <v>14</v>
      </c>
      <c r="U298" t="s">
        <v>5068</v>
      </c>
      <c r="V298" t="s">
        <v>5435</v>
      </c>
      <c r="W298" t="s">
        <v>5121</v>
      </c>
      <c r="X298" t="s">
        <v>19</v>
      </c>
    </row>
    <row r="299" spans="8:24" x14ac:dyDescent="0.45">
      <c r="H299" t="s">
        <v>5262</v>
      </c>
      <c r="I299" t="s">
        <v>740</v>
      </c>
      <c r="J299">
        <v>1.6528995310714799E-2</v>
      </c>
      <c r="K299" t="s">
        <v>14</v>
      </c>
      <c r="U299" t="s">
        <v>5068</v>
      </c>
      <c r="V299" t="s">
        <v>5436</v>
      </c>
      <c r="W299" t="s">
        <v>5121</v>
      </c>
      <c r="X299" t="s">
        <v>19</v>
      </c>
    </row>
    <row r="300" spans="8:24" x14ac:dyDescent="0.45">
      <c r="H300" t="s">
        <v>5264</v>
      </c>
      <c r="I300" t="s">
        <v>738</v>
      </c>
      <c r="J300">
        <v>4.7039355371859999E-4</v>
      </c>
      <c r="K300" t="s">
        <v>14</v>
      </c>
      <c r="U300" t="s">
        <v>5068</v>
      </c>
      <c r="V300" t="s">
        <v>5437</v>
      </c>
      <c r="W300" t="s">
        <v>5121</v>
      </c>
      <c r="X300" t="s">
        <v>19</v>
      </c>
    </row>
    <row r="301" spans="8:24" x14ac:dyDescent="0.45">
      <c r="H301" t="s">
        <v>5264</v>
      </c>
      <c r="I301" t="s">
        <v>740</v>
      </c>
      <c r="J301">
        <v>4.2232501655162321E-5</v>
      </c>
      <c r="K301" t="s">
        <v>14</v>
      </c>
      <c r="U301" t="s">
        <v>5068</v>
      </c>
      <c r="V301" t="s">
        <v>5437</v>
      </c>
      <c r="W301" t="s">
        <v>5265</v>
      </c>
      <c r="X301" t="s">
        <v>19</v>
      </c>
    </row>
    <row r="302" spans="8:24" x14ac:dyDescent="0.45">
      <c r="U302" t="s">
        <v>5068</v>
      </c>
      <c r="V302" t="s">
        <v>5438</v>
      </c>
      <c r="W302" t="s">
        <v>5121</v>
      </c>
      <c r="X302" t="s">
        <v>19</v>
      </c>
    </row>
    <row r="303" spans="8:24" x14ac:dyDescent="0.45">
      <c r="U303" t="s">
        <v>5068</v>
      </c>
      <c r="V303" t="s">
        <v>5438</v>
      </c>
      <c r="W303" t="s">
        <v>5265</v>
      </c>
      <c r="X303" t="s">
        <v>19</v>
      </c>
    </row>
    <row r="304" spans="8:24" x14ac:dyDescent="0.45">
      <c r="U304" t="s">
        <v>5068</v>
      </c>
      <c r="V304" t="s">
        <v>5439</v>
      </c>
      <c r="W304" t="s">
        <v>5121</v>
      </c>
      <c r="X304" t="s">
        <v>19</v>
      </c>
    </row>
    <row r="305" spans="21:24" x14ac:dyDescent="0.45">
      <c r="U305" t="s">
        <v>5068</v>
      </c>
      <c r="V305" t="s">
        <v>5439</v>
      </c>
      <c r="W305" t="s">
        <v>5265</v>
      </c>
      <c r="X305" t="s">
        <v>19</v>
      </c>
    </row>
    <row r="306" spans="21:24" x14ac:dyDescent="0.45">
      <c r="U306" t="s">
        <v>5068</v>
      </c>
      <c r="V306" t="s">
        <v>5440</v>
      </c>
      <c r="W306" t="s">
        <v>5265</v>
      </c>
      <c r="X306" t="s">
        <v>19</v>
      </c>
    </row>
    <row r="307" spans="21:24" x14ac:dyDescent="0.45">
      <c r="U307" t="s">
        <v>5068</v>
      </c>
      <c r="V307" t="s">
        <v>5441</v>
      </c>
      <c r="W307" t="s">
        <v>5265</v>
      </c>
      <c r="X307" t="s">
        <v>19</v>
      </c>
    </row>
    <row r="308" spans="21:24" x14ac:dyDescent="0.45">
      <c r="U308" t="s">
        <v>5068</v>
      </c>
      <c r="V308" t="s">
        <v>5442</v>
      </c>
      <c r="W308" t="s">
        <v>5265</v>
      </c>
      <c r="X308" t="s">
        <v>19</v>
      </c>
    </row>
    <row r="309" spans="21:24" x14ac:dyDescent="0.45">
      <c r="U309" t="s">
        <v>5068</v>
      </c>
      <c r="V309" t="s">
        <v>5442</v>
      </c>
      <c r="W309" t="s">
        <v>5121</v>
      </c>
      <c r="X309" t="s">
        <v>17</v>
      </c>
    </row>
    <row r="310" spans="21:24" x14ac:dyDescent="0.45">
      <c r="U310" t="s">
        <v>5068</v>
      </c>
      <c r="V310" t="s">
        <v>5443</v>
      </c>
      <c r="W310" t="s">
        <v>5265</v>
      </c>
      <c r="X310" t="s">
        <v>19</v>
      </c>
    </row>
    <row r="311" spans="21:24" x14ac:dyDescent="0.45">
      <c r="U311" t="s">
        <v>5068</v>
      </c>
      <c r="V311" t="s">
        <v>5443</v>
      </c>
      <c r="W311" t="s">
        <v>5121</v>
      </c>
      <c r="X311" t="s">
        <v>17</v>
      </c>
    </row>
    <row r="312" spans="21:24" x14ac:dyDescent="0.45">
      <c r="U312" t="s">
        <v>5068</v>
      </c>
      <c r="V312" t="s">
        <v>5444</v>
      </c>
      <c r="W312" t="s">
        <v>5124</v>
      </c>
      <c r="X312" t="s">
        <v>19</v>
      </c>
    </row>
    <row r="313" spans="21:24" x14ac:dyDescent="0.45">
      <c r="U313" t="s">
        <v>5068</v>
      </c>
      <c r="V313" t="s">
        <v>5445</v>
      </c>
      <c r="W313" t="s">
        <v>5124</v>
      </c>
      <c r="X313" t="s">
        <v>19</v>
      </c>
    </row>
    <row r="314" spans="21:24" x14ac:dyDescent="0.45">
      <c r="U314" t="s">
        <v>5068</v>
      </c>
      <c r="V314" t="s">
        <v>5446</v>
      </c>
      <c r="W314" t="s">
        <v>5124</v>
      </c>
      <c r="X314" t="s">
        <v>19</v>
      </c>
    </row>
    <row r="315" spans="21:24" x14ac:dyDescent="0.45">
      <c r="U315" t="s">
        <v>5068</v>
      </c>
      <c r="V315" t="s">
        <v>5447</v>
      </c>
      <c r="W315" t="s">
        <v>5124</v>
      </c>
      <c r="X315" t="s">
        <v>19</v>
      </c>
    </row>
    <row r="316" spans="21:24" x14ac:dyDescent="0.45">
      <c r="U316" t="s">
        <v>5068</v>
      </c>
      <c r="V316" t="s">
        <v>5448</v>
      </c>
      <c r="W316" t="s">
        <v>5124</v>
      </c>
      <c r="X316" t="s">
        <v>19</v>
      </c>
    </row>
    <row r="317" spans="21:24" x14ac:dyDescent="0.45">
      <c r="U317" t="s">
        <v>5068</v>
      </c>
      <c r="V317" t="s">
        <v>5449</v>
      </c>
      <c r="W317" t="s">
        <v>5124</v>
      </c>
      <c r="X317" t="s">
        <v>19</v>
      </c>
    </row>
    <row r="318" spans="21:24" x14ac:dyDescent="0.45">
      <c r="U318" t="s">
        <v>5068</v>
      </c>
      <c r="V318" t="s">
        <v>5450</v>
      </c>
      <c r="W318" t="s">
        <v>5124</v>
      </c>
      <c r="X318" t="s">
        <v>19</v>
      </c>
    </row>
    <row r="319" spans="21:24" x14ac:dyDescent="0.45">
      <c r="U319" t="s">
        <v>5068</v>
      </c>
      <c r="V319" t="s">
        <v>5451</v>
      </c>
      <c r="W319" t="s">
        <v>5124</v>
      </c>
      <c r="X319" t="s">
        <v>19</v>
      </c>
    </row>
    <row r="320" spans="21:24" x14ac:dyDescent="0.45">
      <c r="U320" t="s">
        <v>5068</v>
      </c>
      <c r="V320" t="s">
        <v>5452</v>
      </c>
      <c r="W320" t="s">
        <v>5124</v>
      </c>
      <c r="X320" t="s">
        <v>19</v>
      </c>
    </row>
    <row r="321" spans="21:24" x14ac:dyDescent="0.45">
      <c r="U321" t="s">
        <v>5068</v>
      </c>
      <c r="V321" t="s">
        <v>5453</v>
      </c>
      <c r="W321" t="s">
        <v>5124</v>
      </c>
      <c r="X321" t="s">
        <v>19</v>
      </c>
    </row>
    <row r="322" spans="21:24" x14ac:dyDescent="0.45">
      <c r="U322" t="s">
        <v>5068</v>
      </c>
      <c r="V322" t="s">
        <v>5454</v>
      </c>
      <c r="W322" t="s">
        <v>5124</v>
      </c>
      <c r="X322" t="s">
        <v>19</v>
      </c>
    </row>
    <row r="323" spans="21:24" x14ac:dyDescent="0.45">
      <c r="U323" t="s">
        <v>5068</v>
      </c>
      <c r="V323" t="s">
        <v>5454</v>
      </c>
      <c r="W323" t="s">
        <v>5260</v>
      </c>
      <c r="X323" t="s">
        <v>19</v>
      </c>
    </row>
    <row r="324" spans="21:24" x14ac:dyDescent="0.45">
      <c r="U324" t="s">
        <v>5068</v>
      </c>
      <c r="V324" t="s">
        <v>5455</v>
      </c>
      <c r="W324" t="s">
        <v>5124</v>
      </c>
      <c r="X324" t="s">
        <v>19</v>
      </c>
    </row>
    <row r="325" spans="21:24" x14ac:dyDescent="0.45">
      <c r="U325" t="s">
        <v>5068</v>
      </c>
      <c r="V325" t="s">
        <v>5455</v>
      </c>
      <c r="W325" t="s">
        <v>5260</v>
      </c>
      <c r="X325" t="s">
        <v>19</v>
      </c>
    </row>
    <row r="326" spans="21:24" x14ac:dyDescent="0.45">
      <c r="U326" t="s">
        <v>5068</v>
      </c>
      <c r="V326" t="s">
        <v>5456</v>
      </c>
      <c r="W326" t="s">
        <v>5124</v>
      </c>
      <c r="X326" t="s">
        <v>19</v>
      </c>
    </row>
    <row r="327" spans="21:24" x14ac:dyDescent="0.45">
      <c r="U327" t="s">
        <v>5068</v>
      </c>
      <c r="V327" t="s">
        <v>5456</v>
      </c>
      <c r="W327" t="s">
        <v>5260</v>
      </c>
      <c r="X327" t="s">
        <v>19</v>
      </c>
    </row>
    <row r="328" spans="21:24" x14ac:dyDescent="0.45">
      <c r="U328" t="s">
        <v>5068</v>
      </c>
      <c r="V328" t="s">
        <v>5457</v>
      </c>
      <c r="W328" t="s">
        <v>5260</v>
      </c>
      <c r="X328" t="s">
        <v>19</v>
      </c>
    </row>
    <row r="329" spans="21:24" x14ac:dyDescent="0.45">
      <c r="U329" t="s">
        <v>5068</v>
      </c>
      <c r="V329" t="s">
        <v>5458</v>
      </c>
      <c r="W329" t="s">
        <v>5260</v>
      </c>
      <c r="X329" t="s">
        <v>19</v>
      </c>
    </row>
    <row r="330" spans="21:24" x14ac:dyDescent="0.45">
      <c r="U330" t="s">
        <v>5068</v>
      </c>
      <c r="V330" t="s">
        <v>5459</v>
      </c>
      <c r="W330" t="s">
        <v>5260</v>
      </c>
      <c r="X330" t="s">
        <v>19</v>
      </c>
    </row>
    <row r="331" spans="21:24" x14ac:dyDescent="0.45">
      <c r="U331" t="s">
        <v>5068</v>
      </c>
      <c r="V331" t="s">
        <v>5459</v>
      </c>
      <c r="W331" t="s">
        <v>5124</v>
      </c>
      <c r="X331" t="s">
        <v>17</v>
      </c>
    </row>
    <row r="332" spans="21:24" x14ac:dyDescent="0.45">
      <c r="U332" t="s">
        <v>5068</v>
      </c>
      <c r="V332" t="s">
        <v>5460</v>
      </c>
      <c r="W332" t="s">
        <v>5260</v>
      </c>
      <c r="X332" t="s">
        <v>19</v>
      </c>
    </row>
    <row r="333" spans="21:24" x14ac:dyDescent="0.45">
      <c r="U333" t="s">
        <v>5068</v>
      </c>
      <c r="V333" t="s">
        <v>5460</v>
      </c>
      <c r="W333" t="s">
        <v>5124</v>
      </c>
      <c r="X333" t="s">
        <v>17</v>
      </c>
    </row>
    <row r="334" spans="21:24" x14ac:dyDescent="0.45">
      <c r="U334" t="s">
        <v>5068</v>
      </c>
      <c r="V334" t="s">
        <v>5461</v>
      </c>
      <c r="W334" t="s">
        <v>5128</v>
      </c>
      <c r="X334" t="s">
        <v>19</v>
      </c>
    </row>
    <row r="335" spans="21:24" x14ac:dyDescent="0.45">
      <c r="U335" t="s">
        <v>5068</v>
      </c>
      <c r="V335" t="s">
        <v>5462</v>
      </c>
      <c r="W335" t="s">
        <v>5128</v>
      </c>
      <c r="X335" t="s">
        <v>19</v>
      </c>
    </row>
    <row r="336" spans="21:24" x14ac:dyDescent="0.45">
      <c r="U336" t="s">
        <v>5068</v>
      </c>
      <c r="V336" t="s">
        <v>5463</v>
      </c>
      <c r="W336" t="s">
        <v>5128</v>
      </c>
      <c r="X336" t="s">
        <v>19</v>
      </c>
    </row>
    <row r="337" spans="21:24" x14ac:dyDescent="0.45">
      <c r="U337" t="s">
        <v>5068</v>
      </c>
      <c r="V337" t="s">
        <v>5464</v>
      </c>
      <c r="W337" t="s">
        <v>5128</v>
      </c>
      <c r="X337" t="s">
        <v>19</v>
      </c>
    </row>
    <row r="338" spans="21:24" x14ac:dyDescent="0.45">
      <c r="U338" t="s">
        <v>5068</v>
      </c>
      <c r="V338" t="s">
        <v>5465</v>
      </c>
      <c r="W338" t="s">
        <v>5128</v>
      </c>
      <c r="X338" t="s">
        <v>19</v>
      </c>
    </row>
    <row r="339" spans="21:24" x14ac:dyDescent="0.45">
      <c r="U339" t="s">
        <v>5068</v>
      </c>
      <c r="V339" t="s">
        <v>5466</v>
      </c>
      <c r="W339" t="s">
        <v>5128</v>
      </c>
      <c r="X339" t="s">
        <v>19</v>
      </c>
    </row>
    <row r="340" spans="21:24" x14ac:dyDescent="0.45">
      <c r="U340" t="s">
        <v>5068</v>
      </c>
      <c r="V340" t="s">
        <v>5467</v>
      </c>
      <c r="W340" t="s">
        <v>5128</v>
      </c>
      <c r="X340" t="s">
        <v>19</v>
      </c>
    </row>
    <row r="341" spans="21:24" x14ac:dyDescent="0.45">
      <c r="U341" t="s">
        <v>5068</v>
      </c>
      <c r="V341" t="s">
        <v>5468</v>
      </c>
      <c r="W341" t="s">
        <v>5128</v>
      </c>
      <c r="X341" t="s">
        <v>19</v>
      </c>
    </row>
    <row r="342" spans="21:24" x14ac:dyDescent="0.45">
      <c r="U342" t="s">
        <v>5068</v>
      </c>
      <c r="V342" t="s">
        <v>5469</v>
      </c>
      <c r="W342" t="s">
        <v>5128</v>
      </c>
      <c r="X342" t="s">
        <v>19</v>
      </c>
    </row>
    <row r="343" spans="21:24" x14ac:dyDescent="0.45">
      <c r="U343" t="s">
        <v>5068</v>
      </c>
      <c r="V343" t="s">
        <v>5470</v>
      </c>
      <c r="W343" t="s">
        <v>5128</v>
      </c>
      <c r="X343" t="s">
        <v>19</v>
      </c>
    </row>
    <row r="344" spans="21:24" x14ac:dyDescent="0.45">
      <c r="U344" t="s">
        <v>5068</v>
      </c>
      <c r="V344" t="s">
        <v>5471</v>
      </c>
      <c r="W344" t="s">
        <v>5128</v>
      </c>
      <c r="X344" t="s">
        <v>19</v>
      </c>
    </row>
    <row r="345" spans="21:24" x14ac:dyDescent="0.45">
      <c r="U345" t="s">
        <v>5068</v>
      </c>
      <c r="V345" t="s">
        <v>5471</v>
      </c>
      <c r="W345" t="s">
        <v>5263</v>
      </c>
      <c r="X345" t="s">
        <v>19</v>
      </c>
    </row>
    <row r="346" spans="21:24" x14ac:dyDescent="0.45">
      <c r="U346" t="s">
        <v>5068</v>
      </c>
      <c r="V346" t="s">
        <v>5472</v>
      </c>
      <c r="W346" t="s">
        <v>5128</v>
      </c>
      <c r="X346" t="s">
        <v>19</v>
      </c>
    </row>
    <row r="347" spans="21:24" x14ac:dyDescent="0.45">
      <c r="U347" t="s">
        <v>5068</v>
      </c>
      <c r="V347" t="s">
        <v>5472</v>
      </c>
      <c r="W347" t="s">
        <v>5263</v>
      </c>
      <c r="X347" t="s">
        <v>19</v>
      </c>
    </row>
    <row r="348" spans="21:24" x14ac:dyDescent="0.45">
      <c r="U348" t="s">
        <v>5068</v>
      </c>
      <c r="V348" t="s">
        <v>5473</v>
      </c>
      <c r="W348" t="s">
        <v>5128</v>
      </c>
      <c r="X348" t="s">
        <v>19</v>
      </c>
    </row>
    <row r="349" spans="21:24" x14ac:dyDescent="0.45">
      <c r="U349" t="s">
        <v>5068</v>
      </c>
      <c r="V349" t="s">
        <v>5473</v>
      </c>
      <c r="W349" t="s">
        <v>5263</v>
      </c>
      <c r="X349" t="s">
        <v>19</v>
      </c>
    </row>
    <row r="350" spans="21:24" x14ac:dyDescent="0.45">
      <c r="U350" t="s">
        <v>5068</v>
      </c>
      <c r="V350" t="s">
        <v>5474</v>
      </c>
      <c r="W350" t="s">
        <v>5263</v>
      </c>
      <c r="X350" t="s">
        <v>19</v>
      </c>
    </row>
    <row r="351" spans="21:24" x14ac:dyDescent="0.45">
      <c r="U351" t="s">
        <v>5068</v>
      </c>
      <c r="V351" t="s">
        <v>5475</v>
      </c>
      <c r="W351" t="s">
        <v>5263</v>
      </c>
      <c r="X351" t="s">
        <v>19</v>
      </c>
    </row>
    <row r="352" spans="21:24" x14ac:dyDescent="0.45">
      <c r="U352" t="s">
        <v>5068</v>
      </c>
      <c r="V352" t="s">
        <v>5476</v>
      </c>
      <c r="W352" t="s">
        <v>5263</v>
      </c>
      <c r="X352" t="s">
        <v>19</v>
      </c>
    </row>
    <row r="353" spans="21:24" x14ac:dyDescent="0.45">
      <c r="U353" t="s">
        <v>5068</v>
      </c>
      <c r="V353" t="s">
        <v>5476</v>
      </c>
      <c r="W353" t="s">
        <v>5128</v>
      </c>
      <c r="X353" t="s">
        <v>17</v>
      </c>
    </row>
    <row r="354" spans="21:24" x14ac:dyDescent="0.45">
      <c r="U354" t="s">
        <v>5068</v>
      </c>
      <c r="V354" t="s">
        <v>5477</v>
      </c>
      <c r="W354" t="s">
        <v>5263</v>
      </c>
      <c r="X354" t="s">
        <v>19</v>
      </c>
    </row>
    <row r="355" spans="21:24" x14ac:dyDescent="0.45">
      <c r="U355" t="s">
        <v>5068</v>
      </c>
      <c r="V355" t="s">
        <v>5477</v>
      </c>
      <c r="W355" t="s">
        <v>5128</v>
      </c>
      <c r="X355" t="s">
        <v>17</v>
      </c>
    </row>
    <row r="356" spans="21:24" x14ac:dyDescent="0.45">
      <c r="U356" t="s">
        <v>5068</v>
      </c>
      <c r="V356" t="s">
        <v>5478</v>
      </c>
      <c r="W356" t="s">
        <v>5131</v>
      </c>
      <c r="X356" t="s">
        <v>19</v>
      </c>
    </row>
    <row r="357" spans="21:24" x14ac:dyDescent="0.45">
      <c r="U357" t="s">
        <v>5068</v>
      </c>
      <c r="V357" t="s">
        <v>5479</v>
      </c>
      <c r="W357" t="s">
        <v>5131</v>
      </c>
      <c r="X357" t="s">
        <v>19</v>
      </c>
    </row>
    <row r="358" spans="21:24" x14ac:dyDescent="0.45">
      <c r="U358" t="s">
        <v>5068</v>
      </c>
      <c r="V358" t="s">
        <v>5480</v>
      </c>
      <c r="W358" t="s">
        <v>5131</v>
      </c>
      <c r="X358" t="s">
        <v>19</v>
      </c>
    </row>
    <row r="359" spans="21:24" x14ac:dyDescent="0.45">
      <c r="U359" t="s">
        <v>5068</v>
      </c>
      <c r="V359" t="s">
        <v>5481</v>
      </c>
      <c r="W359" t="s">
        <v>5131</v>
      </c>
      <c r="X359" t="s">
        <v>19</v>
      </c>
    </row>
    <row r="360" spans="21:24" x14ac:dyDescent="0.45">
      <c r="U360" t="s">
        <v>5068</v>
      </c>
      <c r="V360" t="s">
        <v>5482</v>
      </c>
      <c r="W360" t="s">
        <v>5131</v>
      </c>
      <c r="X360" t="s">
        <v>19</v>
      </c>
    </row>
    <row r="361" spans="21:24" x14ac:dyDescent="0.45">
      <c r="U361" t="s">
        <v>5068</v>
      </c>
      <c r="V361" t="s">
        <v>5483</v>
      </c>
      <c r="W361" t="s">
        <v>5131</v>
      </c>
      <c r="X361" t="s">
        <v>19</v>
      </c>
    </row>
    <row r="362" spans="21:24" x14ac:dyDescent="0.45">
      <c r="U362" t="s">
        <v>5068</v>
      </c>
      <c r="V362" t="s">
        <v>5484</v>
      </c>
      <c r="W362" t="s">
        <v>5131</v>
      </c>
      <c r="X362" t="s">
        <v>19</v>
      </c>
    </row>
    <row r="363" spans="21:24" x14ac:dyDescent="0.45">
      <c r="U363" t="s">
        <v>5068</v>
      </c>
      <c r="V363" t="s">
        <v>5485</v>
      </c>
      <c r="W363" t="s">
        <v>5131</v>
      </c>
      <c r="X363" t="s">
        <v>19</v>
      </c>
    </row>
    <row r="364" spans="21:24" x14ac:dyDescent="0.45">
      <c r="U364" t="s">
        <v>5068</v>
      </c>
      <c r="V364" t="s">
        <v>5486</v>
      </c>
      <c r="W364" t="s">
        <v>5131</v>
      </c>
      <c r="X364" t="s">
        <v>19</v>
      </c>
    </row>
    <row r="365" spans="21:24" x14ac:dyDescent="0.45">
      <c r="U365" t="s">
        <v>5068</v>
      </c>
      <c r="V365" t="s">
        <v>5487</v>
      </c>
      <c r="W365" t="s">
        <v>5131</v>
      </c>
      <c r="X365" t="s">
        <v>19</v>
      </c>
    </row>
    <row r="366" spans="21:24" x14ac:dyDescent="0.45">
      <c r="U366" t="s">
        <v>5068</v>
      </c>
      <c r="V366" t="s">
        <v>5488</v>
      </c>
      <c r="W366" t="s">
        <v>5131</v>
      </c>
      <c r="X366" t="s">
        <v>19</v>
      </c>
    </row>
    <row r="367" spans="21:24" x14ac:dyDescent="0.45">
      <c r="U367" t="s">
        <v>5068</v>
      </c>
      <c r="V367" t="s">
        <v>5488</v>
      </c>
      <c r="W367" t="s">
        <v>5489</v>
      </c>
      <c r="X367" t="s">
        <v>19</v>
      </c>
    </row>
    <row r="368" spans="21:24" x14ac:dyDescent="0.45">
      <c r="U368" t="s">
        <v>5068</v>
      </c>
      <c r="V368" t="s">
        <v>5490</v>
      </c>
      <c r="W368" t="s">
        <v>5131</v>
      </c>
      <c r="X368" t="s">
        <v>19</v>
      </c>
    </row>
    <row r="369" spans="21:24" x14ac:dyDescent="0.45">
      <c r="U369" t="s">
        <v>5068</v>
      </c>
      <c r="V369" t="s">
        <v>5490</v>
      </c>
      <c r="W369" t="s">
        <v>5489</v>
      </c>
      <c r="X369" t="s">
        <v>19</v>
      </c>
    </row>
    <row r="370" spans="21:24" x14ac:dyDescent="0.45">
      <c r="U370" t="s">
        <v>5068</v>
      </c>
      <c r="V370" t="s">
        <v>5491</v>
      </c>
      <c r="W370" t="s">
        <v>5131</v>
      </c>
      <c r="X370" t="s">
        <v>19</v>
      </c>
    </row>
    <row r="371" spans="21:24" x14ac:dyDescent="0.45">
      <c r="U371" t="s">
        <v>5068</v>
      </c>
      <c r="V371" t="s">
        <v>5491</v>
      </c>
      <c r="W371" t="s">
        <v>5489</v>
      </c>
      <c r="X371" t="s">
        <v>19</v>
      </c>
    </row>
    <row r="372" spans="21:24" x14ac:dyDescent="0.45">
      <c r="U372" t="s">
        <v>5068</v>
      </c>
      <c r="V372" t="s">
        <v>5492</v>
      </c>
      <c r="W372" t="s">
        <v>5489</v>
      </c>
      <c r="X372" t="s">
        <v>19</v>
      </c>
    </row>
    <row r="373" spans="21:24" x14ac:dyDescent="0.45">
      <c r="U373" t="s">
        <v>5068</v>
      </c>
      <c r="V373" t="s">
        <v>5493</v>
      </c>
      <c r="W373" t="s">
        <v>5489</v>
      </c>
      <c r="X373" t="s">
        <v>19</v>
      </c>
    </row>
    <row r="374" spans="21:24" x14ac:dyDescent="0.45">
      <c r="U374" t="s">
        <v>5068</v>
      </c>
      <c r="V374" t="s">
        <v>5494</v>
      </c>
      <c r="W374" t="s">
        <v>5489</v>
      </c>
      <c r="X374" t="s">
        <v>19</v>
      </c>
    </row>
    <row r="375" spans="21:24" x14ac:dyDescent="0.45">
      <c r="U375" t="s">
        <v>5068</v>
      </c>
      <c r="V375" t="s">
        <v>5494</v>
      </c>
      <c r="W375" t="s">
        <v>5131</v>
      </c>
      <c r="X375" t="s">
        <v>17</v>
      </c>
    </row>
    <row r="376" spans="21:24" x14ac:dyDescent="0.45">
      <c r="U376" t="s">
        <v>5068</v>
      </c>
      <c r="V376" t="s">
        <v>5495</v>
      </c>
      <c r="W376" t="s">
        <v>5489</v>
      </c>
      <c r="X376" t="s">
        <v>19</v>
      </c>
    </row>
    <row r="377" spans="21:24" x14ac:dyDescent="0.45">
      <c r="U377" t="s">
        <v>5068</v>
      </c>
      <c r="V377" t="s">
        <v>5495</v>
      </c>
      <c r="W377" t="s">
        <v>5131</v>
      </c>
      <c r="X377" t="s">
        <v>17</v>
      </c>
    </row>
    <row r="378" spans="21:24" x14ac:dyDescent="0.45">
      <c r="U378" t="s">
        <v>5068</v>
      </c>
      <c r="V378" t="s">
        <v>5496</v>
      </c>
      <c r="W378" t="s">
        <v>5069</v>
      </c>
      <c r="X378" t="s">
        <v>19</v>
      </c>
    </row>
    <row r="379" spans="21:24" x14ac:dyDescent="0.45">
      <c r="U379" t="s">
        <v>5068</v>
      </c>
      <c r="V379" t="s">
        <v>5496</v>
      </c>
      <c r="W379" t="s">
        <v>5069</v>
      </c>
      <c r="X379" t="s">
        <v>17</v>
      </c>
    </row>
    <row r="380" spans="21:24" x14ac:dyDescent="0.45">
      <c r="U380" t="s">
        <v>5068</v>
      </c>
      <c r="V380" t="s">
        <v>5497</v>
      </c>
      <c r="W380" t="s">
        <v>5069</v>
      </c>
      <c r="X380" t="s">
        <v>19</v>
      </c>
    </row>
    <row r="381" spans="21:24" x14ac:dyDescent="0.45">
      <c r="U381" t="s">
        <v>5068</v>
      </c>
      <c r="V381" t="s">
        <v>5497</v>
      </c>
      <c r="W381" t="s">
        <v>5069</v>
      </c>
      <c r="X381" t="s">
        <v>17</v>
      </c>
    </row>
    <row r="382" spans="21:24" x14ac:dyDescent="0.45">
      <c r="U382" t="s">
        <v>5068</v>
      </c>
      <c r="V382" t="s">
        <v>5498</v>
      </c>
      <c r="W382" t="s">
        <v>5073</v>
      </c>
      <c r="X382" t="s">
        <v>19</v>
      </c>
    </row>
    <row r="383" spans="21:24" x14ac:dyDescent="0.45">
      <c r="U383" t="s">
        <v>5068</v>
      </c>
      <c r="V383" t="s">
        <v>5498</v>
      </c>
      <c r="W383" t="s">
        <v>5073</v>
      </c>
      <c r="X383" t="s">
        <v>17</v>
      </c>
    </row>
    <row r="384" spans="21:24" x14ac:dyDescent="0.45">
      <c r="U384" t="s">
        <v>5068</v>
      </c>
      <c r="V384" t="s">
        <v>5499</v>
      </c>
      <c r="W384" t="s">
        <v>5073</v>
      </c>
      <c r="X384" t="s">
        <v>19</v>
      </c>
    </row>
    <row r="385" spans="21:24" x14ac:dyDescent="0.45">
      <c r="U385" t="s">
        <v>5068</v>
      </c>
      <c r="V385" t="s">
        <v>5499</v>
      </c>
      <c r="W385" t="s">
        <v>5073</v>
      </c>
      <c r="X385" t="s">
        <v>17</v>
      </c>
    </row>
    <row r="386" spans="21:24" x14ac:dyDescent="0.45">
      <c r="U386" t="s">
        <v>5068</v>
      </c>
      <c r="V386" t="s">
        <v>5500</v>
      </c>
      <c r="W386" t="s">
        <v>5077</v>
      </c>
      <c r="X386" t="s">
        <v>19</v>
      </c>
    </row>
    <row r="387" spans="21:24" x14ac:dyDescent="0.45">
      <c r="U387" t="s">
        <v>5068</v>
      </c>
      <c r="V387" t="s">
        <v>5500</v>
      </c>
      <c r="W387" t="s">
        <v>5077</v>
      </c>
      <c r="X387" t="s">
        <v>17</v>
      </c>
    </row>
    <row r="388" spans="21:24" x14ac:dyDescent="0.45">
      <c r="U388" t="s">
        <v>5068</v>
      </c>
      <c r="V388" t="s">
        <v>5501</v>
      </c>
      <c r="W388" t="s">
        <v>5077</v>
      </c>
      <c r="X388" t="s">
        <v>19</v>
      </c>
    </row>
    <row r="389" spans="21:24" x14ac:dyDescent="0.45">
      <c r="U389" t="s">
        <v>5068</v>
      </c>
      <c r="V389" t="s">
        <v>5501</v>
      </c>
      <c r="W389" t="s">
        <v>5077</v>
      </c>
      <c r="X389" t="s">
        <v>17</v>
      </c>
    </row>
    <row r="390" spans="21:24" x14ac:dyDescent="0.45">
      <c r="U390" t="s">
        <v>5068</v>
      </c>
      <c r="V390" t="s">
        <v>5502</v>
      </c>
      <c r="W390" t="s">
        <v>5081</v>
      </c>
      <c r="X390" t="s">
        <v>19</v>
      </c>
    </row>
    <row r="391" spans="21:24" x14ac:dyDescent="0.45">
      <c r="U391" t="s">
        <v>5068</v>
      </c>
      <c r="V391" t="s">
        <v>5502</v>
      </c>
      <c r="W391" t="s">
        <v>5081</v>
      </c>
      <c r="X391" t="s">
        <v>17</v>
      </c>
    </row>
    <row r="392" spans="21:24" x14ac:dyDescent="0.45">
      <c r="U392" t="s">
        <v>5068</v>
      </c>
      <c r="V392" t="s">
        <v>5503</v>
      </c>
      <c r="W392" t="s">
        <v>5081</v>
      </c>
      <c r="X392" t="s">
        <v>19</v>
      </c>
    </row>
    <row r="393" spans="21:24" x14ac:dyDescent="0.45">
      <c r="U393" t="s">
        <v>5068</v>
      </c>
      <c r="V393" t="s">
        <v>5503</v>
      </c>
      <c r="W393" t="s">
        <v>5081</v>
      </c>
      <c r="X393" t="s">
        <v>17</v>
      </c>
    </row>
    <row r="394" spans="21:24" x14ac:dyDescent="0.45">
      <c r="U394" t="s">
        <v>5068</v>
      </c>
      <c r="V394" t="s">
        <v>5504</v>
      </c>
      <c r="W394" t="s">
        <v>5085</v>
      </c>
      <c r="X394" t="s">
        <v>19</v>
      </c>
    </row>
    <row r="395" spans="21:24" x14ac:dyDescent="0.45">
      <c r="U395" t="s">
        <v>5068</v>
      </c>
      <c r="V395" t="s">
        <v>5504</v>
      </c>
      <c r="W395" t="s">
        <v>5085</v>
      </c>
      <c r="X395" t="s">
        <v>17</v>
      </c>
    </row>
    <row r="396" spans="21:24" x14ac:dyDescent="0.45">
      <c r="U396" t="s">
        <v>5068</v>
      </c>
      <c r="V396" t="s">
        <v>5505</v>
      </c>
      <c r="W396" t="s">
        <v>5085</v>
      </c>
      <c r="X396" t="s">
        <v>19</v>
      </c>
    </row>
    <row r="397" spans="21:24" x14ac:dyDescent="0.45">
      <c r="U397" t="s">
        <v>5068</v>
      </c>
      <c r="V397" t="s">
        <v>5505</v>
      </c>
      <c r="W397" t="s">
        <v>5085</v>
      </c>
      <c r="X397" t="s">
        <v>17</v>
      </c>
    </row>
    <row r="398" spans="21:24" x14ac:dyDescent="0.45">
      <c r="U398" t="s">
        <v>5068</v>
      </c>
      <c r="V398" t="s">
        <v>5506</v>
      </c>
      <c r="W398" t="s">
        <v>5089</v>
      </c>
      <c r="X398" t="s">
        <v>19</v>
      </c>
    </row>
    <row r="399" spans="21:24" x14ac:dyDescent="0.45">
      <c r="U399" t="s">
        <v>5068</v>
      </c>
      <c r="V399" t="s">
        <v>5506</v>
      </c>
      <c r="W399" t="s">
        <v>5089</v>
      </c>
      <c r="X399" t="s">
        <v>17</v>
      </c>
    </row>
    <row r="400" spans="21:24" x14ac:dyDescent="0.45">
      <c r="U400" t="s">
        <v>5068</v>
      </c>
      <c r="V400" t="s">
        <v>5507</v>
      </c>
      <c r="W400" t="s">
        <v>5089</v>
      </c>
      <c r="X400" t="s">
        <v>19</v>
      </c>
    </row>
    <row r="401" spans="21:24" x14ac:dyDescent="0.45">
      <c r="U401" t="s">
        <v>5068</v>
      </c>
      <c r="V401" t="s">
        <v>5507</v>
      </c>
      <c r="W401" t="s">
        <v>5089</v>
      </c>
      <c r="X401" t="s">
        <v>17</v>
      </c>
    </row>
    <row r="402" spans="21:24" x14ac:dyDescent="0.45">
      <c r="U402" t="s">
        <v>5068</v>
      </c>
      <c r="V402" t="s">
        <v>5508</v>
      </c>
      <c r="W402" t="s">
        <v>5093</v>
      </c>
      <c r="X402" t="s">
        <v>19</v>
      </c>
    </row>
    <row r="403" spans="21:24" x14ac:dyDescent="0.45">
      <c r="U403" t="s">
        <v>5068</v>
      </c>
      <c r="V403" t="s">
        <v>5508</v>
      </c>
      <c r="W403" t="s">
        <v>5093</v>
      </c>
      <c r="X403" t="s">
        <v>17</v>
      </c>
    </row>
    <row r="404" spans="21:24" x14ac:dyDescent="0.45">
      <c r="U404" t="s">
        <v>5068</v>
      </c>
      <c r="V404" t="s">
        <v>5509</v>
      </c>
      <c r="W404" t="s">
        <v>5093</v>
      </c>
      <c r="X404" t="s">
        <v>19</v>
      </c>
    </row>
    <row r="405" spans="21:24" x14ac:dyDescent="0.45">
      <c r="U405" t="s">
        <v>5068</v>
      </c>
      <c r="V405" t="s">
        <v>5509</v>
      </c>
      <c r="W405" t="s">
        <v>5093</v>
      </c>
      <c r="X405" t="s">
        <v>17</v>
      </c>
    </row>
    <row r="406" spans="21:24" x14ac:dyDescent="0.45">
      <c r="U406" t="s">
        <v>5068</v>
      </c>
      <c r="V406" t="s">
        <v>5510</v>
      </c>
      <c r="W406" t="s">
        <v>5097</v>
      </c>
      <c r="X406" t="s">
        <v>19</v>
      </c>
    </row>
    <row r="407" spans="21:24" x14ac:dyDescent="0.45">
      <c r="U407" t="s">
        <v>5068</v>
      </c>
      <c r="V407" t="s">
        <v>5510</v>
      </c>
      <c r="W407" t="s">
        <v>5097</v>
      </c>
      <c r="X407" t="s">
        <v>17</v>
      </c>
    </row>
    <row r="408" spans="21:24" x14ac:dyDescent="0.45">
      <c r="U408" t="s">
        <v>5068</v>
      </c>
      <c r="V408" t="s">
        <v>5511</v>
      </c>
      <c r="W408" t="s">
        <v>5097</v>
      </c>
      <c r="X408" t="s">
        <v>19</v>
      </c>
    </row>
    <row r="409" spans="21:24" x14ac:dyDescent="0.45">
      <c r="U409" t="s">
        <v>5068</v>
      </c>
      <c r="V409" t="s">
        <v>5511</v>
      </c>
      <c r="W409" t="s">
        <v>5097</v>
      </c>
      <c r="X409" t="s">
        <v>17</v>
      </c>
    </row>
    <row r="410" spans="21:24" x14ac:dyDescent="0.45">
      <c r="U410" t="s">
        <v>5068</v>
      </c>
      <c r="V410" t="s">
        <v>5512</v>
      </c>
      <c r="W410" t="s">
        <v>5101</v>
      </c>
      <c r="X410" t="s">
        <v>19</v>
      </c>
    </row>
    <row r="411" spans="21:24" x14ac:dyDescent="0.45">
      <c r="U411" t="s">
        <v>5068</v>
      </c>
      <c r="V411" t="s">
        <v>5512</v>
      </c>
      <c r="W411" t="s">
        <v>5101</v>
      </c>
      <c r="X411" t="s">
        <v>17</v>
      </c>
    </row>
    <row r="412" spans="21:24" x14ac:dyDescent="0.45">
      <c r="U412" t="s">
        <v>5068</v>
      </c>
      <c r="V412" t="s">
        <v>5513</v>
      </c>
      <c r="W412" t="s">
        <v>5101</v>
      </c>
      <c r="X412" t="s">
        <v>19</v>
      </c>
    </row>
    <row r="413" spans="21:24" x14ac:dyDescent="0.45">
      <c r="U413" t="s">
        <v>5068</v>
      </c>
      <c r="V413" t="s">
        <v>5513</v>
      </c>
      <c r="W413" t="s">
        <v>5101</v>
      </c>
      <c r="X413" t="s">
        <v>17</v>
      </c>
    </row>
    <row r="414" spans="21:24" x14ac:dyDescent="0.45">
      <c r="U414" t="s">
        <v>5068</v>
      </c>
      <c r="V414" t="s">
        <v>5514</v>
      </c>
      <c r="W414" t="s">
        <v>5105</v>
      </c>
      <c r="X414" t="s">
        <v>19</v>
      </c>
    </row>
    <row r="415" spans="21:24" x14ac:dyDescent="0.45">
      <c r="U415" t="s">
        <v>5068</v>
      </c>
      <c r="V415" t="s">
        <v>5514</v>
      </c>
      <c r="W415" t="s">
        <v>5105</v>
      </c>
      <c r="X415" t="s">
        <v>17</v>
      </c>
    </row>
    <row r="416" spans="21:24" x14ac:dyDescent="0.45">
      <c r="U416" t="s">
        <v>5068</v>
      </c>
      <c r="V416" t="s">
        <v>5515</v>
      </c>
      <c r="W416" t="s">
        <v>5105</v>
      </c>
      <c r="X416" t="s">
        <v>19</v>
      </c>
    </row>
    <row r="417" spans="21:24" x14ac:dyDescent="0.45">
      <c r="U417" t="s">
        <v>5068</v>
      </c>
      <c r="V417" t="s">
        <v>5515</v>
      </c>
      <c r="W417" t="s">
        <v>5105</v>
      </c>
      <c r="X417" t="s">
        <v>17</v>
      </c>
    </row>
    <row r="418" spans="21:24" x14ac:dyDescent="0.45">
      <c r="U418" t="s">
        <v>5068</v>
      </c>
      <c r="V418" t="s">
        <v>5516</v>
      </c>
      <c r="W418" t="s">
        <v>5109</v>
      </c>
      <c r="X418" t="s">
        <v>19</v>
      </c>
    </row>
    <row r="419" spans="21:24" x14ac:dyDescent="0.45">
      <c r="U419" t="s">
        <v>5068</v>
      </c>
      <c r="V419" t="s">
        <v>5516</v>
      </c>
      <c r="W419" t="s">
        <v>5109</v>
      </c>
      <c r="X419" t="s">
        <v>17</v>
      </c>
    </row>
    <row r="420" spans="21:24" x14ac:dyDescent="0.45">
      <c r="U420" t="s">
        <v>5068</v>
      </c>
      <c r="V420" t="s">
        <v>5517</v>
      </c>
      <c r="W420" t="s">
        <v>5109</v>
      </c>
      <c r="X420" t="s">
        <v>19</v>
      </c>
    </row>
    <row r="421" spans="21:24" x14ac:dyDescent="0.45">
      <c r="U421" t="s">
        <v>5068</v>
      </c>
      <c r="V421" t="s">
        <v>5517</v>
      </c>
      <c r="W421" t="s">
        <v>5109</v>
      </c>
      <c r="X421" t="s">
        <v>17</v>
      </c>
    </row>
    <row r="422" spans="21:24" x14ac:dyDescent="0.45">
      <c r="U422" t="s">
        <v>5068</v>
      </c>
      <c r="V422" t="s">
        <v>5518</v>
      </c>
      <c r="W422" t="s">
        <v>5113</v>
      </c>
      <c r="X422" t="s">
        <v>19</v>
      </c>
    </row>
    <row r="423" spans="21:24" x14ac:dyDescent="0.45">
      <c r="U423" t="s">
        <v>5068</v>
      </c>
      <c r="V423" t="s">
        <v>5518</v>
      </c>
      <c r="W423" t="s">
        <v>5113</v>
      </c>
      <c r="X423" t="s">
        <v>17</v>
      </c>
    </row>
    <row r="424" spans="21:24" x14ac:dyDescent="0.45">
      <c r="U424" t="s">
        <v>5068</v>
      </c>
      <c r="V424" t="s">
        <v>5519</v>
      </c>
      <c r="W424" t="s">
        <v>5113</v>
      </c>
      <c r="X424" t="s">
        <v>19</v>
      </c>
    </row>
    <row r="425" spans="21:24" x14ac:dyDescent="0.45">
      <c r="U425" t="s">
        <v>5068</v>
      </c>
      <c r="V425" t="s">
        <v>5519</v>
      </c>
      <c r="W425" t="s">
        <v>5113</v>
      </c>
      <c r="X425" t="s">
        <v>17</v>
      </c>
    </row>
    <row r="426" spans="21:24" x14ac:dyDescent="0.45">
      <c r="U426" t="s">
        <v>5068</v>
      </c>
      <c r="V426" t="s">
        <v>5520</v>
      </c>
      <c r="W426" t="s">
        <v>5117</v>
      </c>
      <c r="X426" t="s">
        <v>19</v>
      </c>
    </row>
    <row r="427" spans="21:24" x14ac:dyDescent="0.45">
      <c r="U427" t="s">
        <v>5068</v>
      </c>
      <c r="V427" t="s">
        <v>5520</v>
      </c>
      <c r="W427" t="s">
        <v>5117</v>
      </c>
      <c r="X427" t="s">
        <v>17</v>
      </c>
    </row>
    <row r="428" spans="21:24" x14ac:dyDescent="0.45">
      <c r="U428" t="s">
        <v>5068</v>
      </c>
      <c r="V428" t="s">
        <v>5521</v>
      </c>
      <c r="W428" t="s">
        <v>5117</v>
      </c>
      <c r="X428" t="s">
        <v>19</v>
      </c>
    </row>
    <row r="429" spans="21:24" x14ac:dyDescent="0.45">
      <c r="U429" t="s">
        <v>5068</v>
      </c>
      <c r="V429" t="s">
        <v>5521</v>
      </c>
      <c r="W429" t="s">
        <v>5117</v>
      </c>
      <c r="X429" t="s">
        <v>17</v>
      </c>
    </row>
    <row r="430" spans="21:24" x14ac:dyDescent="0.45">
      <c r="U430" t="s">
        <v>5068</v>
      </c>
      <c r="V430" t="s">
        <v>5522</v>
      </c>
      <c r="W430" t="s">
        <v>5121</v>
      </c>
      <c r="X430" t="s">
        <v>19</v>
      </c>
    </row>
    <row r="431" spans="21:24" x14ac:dyDescent="0.45">
      <c r="U431" t="s">
        <v>5068</v>
      </c>
      <c r="V431" t="s">
        <v>5522</v>
      </c>
      <c r="W431" t="s">
        <v>5121</v>
      </c>
      <c r="X431" t="s">
        <v>17</v>
      </c>
    </row>
    <row r="432" spans="21:24" x14ac:dyDescent="0.45">
      <c r="U432" t="s">
        <v>5068</v>
      </c>
      <c r="V432" t="s">
        <v>5523</v>
      </c>
      <c r="W432" t="s">
        <v>5121</v>
      </c>
      <c r="X432" t="s">
        <v>19</v>
      </c>
    </row>
    <row r="433" spans="21:24" x14ac:dyDescent="0.45">
      <c r="U433" t="s">
        <v>5068</v>
      </c>
      <c r="V433" t="s">
        <v>5523</v>
      </c>
      <c r="W433" t="s">
        <v>5121</v>
      </c>
      <c r="X433" t="s">
        <v>17</v>
      </c>
    </row>
    <row r="434" spans="21:24" x14ac:dyDescent="0.45">
      <c r="U434" t="s">
        <v>5068</v>
      </c>
      <c r="V434" t="s">
        <v>5524</v>
      </c>
      <c r="W434" t="s">
        <v>5124</v>
      </c>
      <c r="X434" t="s">
        <v>19</v>
      </c>
    </row>
    <row r="435" spans="21:24" x14ac:dyDescent="0.45">
      <c r="U435" t="s">
        <v>5068</v>
      </c>
      <c r="V435" t="s">
        <v>5524</v>
      </c>
      <c r="W435" t="s">
        <v>5124</v>
      </c>
      <c r="X435" t="s">
        <v>17</v>
      </c>
    </row>
    <row r="436" spans="21:24" x14ac:dyDescent="0.45">
      <c r="U436" t="s">
        <v>5068</v>
      </c>
      <c r="V436" t="s">
        <v>5525</v>
      </c>
      <c r="W436" t="s">
        <v>5124</v>
      </c>
      <c r="X436" t="s">
        <v>19</v>
      </c>
    </row>
    <row r="437" spans="21:24" x14ac:dyDescent="0.45">
      <c r="U437" t="s">
        <v>5068</v>
      </c>
      <c r="V437" t="s">
        <v>5525</v>
      </c>
      <c r="W437" t="s">
        <v>5124</v>
      </c>
      <c r="X437" t="s">
        <v>17</v>
      </c>
    </row>
    <row r="438" spans="21:24" x14ac:dyDescent="0.45">
      <c r="U438" t="s">
        <v>5068</v>
      </c>
      <c r="V438" t="s">
        <v>5526</v>
      </c>
      <c r="W438" t="s">
        <v>5128</v>
      </c>
      <c r="X438" t="s">
        <v>19</v>
      </c>
    </row>
    <row r="439" spans="21:24" x14ac:dyDescent="0.45">
      <c r="U439" t="s">
        <v>5068</v>
      </c>
      <c r="V439" t="s">
        <v>5526</v>
      </c>
      <c r="W439" t="s">
        <v>5128</v>
      </c>
      <c r="X439" t="s">
        <v>17</v>
      </c>
    </row>
    <row r="440" spans="21:24" x14ac:dyDescent="0.45">
      <c r="U440" t="s">
        <v>5068</v>
      </c>
      <c r="V440" t="s">
        <v>5527</v>
      </c>
      <c r="W440" t="s">
        <v>5128</v>
      </c>
      <c r="X440" t="s">
        <v>19</v>
      </c>
    </row>
    <row r="441" spans="21:24" x14ac:dyDescent="0.45">
      <c r="U441" t="s">
        <v>5068</v>
      </c>
      <c r="V441" t="s">
        <v>5527</v>
      </c>
      <c r="W441" t="s">
        <v>5128</v>
      </c>
      <c r="X441" t="s">
        <v>17</v>
      </c>
    </row>
    <row r="442" spans="21:24" x14ac:dyDescent="0.45">
      <c r="U442" t="s">
        <v>5068</v>
      </c>
      <c r="V442" t="s">
        <v>5528</v>
      </c>
      <c r="W442" t="s">
        <v>5131</v>
      </c>
      <c r="X442" t="s">
        <v>19</v>
      </c>
    </row>
    <row r="443" spans="21:24" x14ac:dyDescent="0.45">
      <c r="U443" t="s">
        <v>5068</v>
      </c>
      <c r="V443" t="s">
        <v>5528</v>
      </c>
      <c r="W443" t="s">
        <v>5131</v>
      </c>
      <c r="X443" t="s">
        <v>17</v>
      </c>
    </row>
    <row r="444" spans="21:24" x14ac:dyDescent="0.45">
      <c r="U444" t="s">
        <v>5068</v>
      </c>
      <c r="V444" t="s">
        <v>5529</v>
      </c>
      <c r="W444" t="s">
        <v>5131</v>
      </c>
      <c r="X444" t="s">
        <v>19</v>
      </c>
    </row>
    <row r="445" spans="21:24" x14ac:dyDescent="0.45">
      <c r="U445" t="s">
        <v>5068</v>
      </c>
      <c r="V445" t="s">
        <v>5529</v>
      </c>
      <c r="W445" t="s">
        <v>5131</v>
      </c>
      <c r="X445" t="s">
        <v>17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851C-7F8A-4EE2-8D4E-DD4194B28539}">
  <dimension ref="F1:AE15"/>
  <sheetViews>
    <sheetView topLeftCell="F1" workbookViewId="0">
      <selection activeCell="T11" sqref="T11"/>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6.39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1.2</v>
      </c>
      <c r="W1">
        <v>0.2</v>
      </c>
    </row>
    <row r="2" spans="6:31" x14ac:dyDescent="0.45">
      <c r="F2" s="1" t="s">
        <v>967</v>
      </c>
      <c r="G2" s="1" t="s">
        <v>968</v>
      </c>
      <c r="H2" s="1" t="s">
        <v>969</v>
      </c>
      <c r="I2" s="1" t="s">
        <v>970</v>
      </c>
      <c r="J2" s="1" t="s">
        <v>971</v>
      </c>
    </row>
    <row r="3" spans="6:31" x14ac:dyDescent="0.45">
      <c r="F3" t="s">
        <v>972</v>
      </c>
      <c r="G3" s="2">
        <v>0.51001620268080727</v>
      </c>
      <c r="H3" s="2">
        <v>0.75627853881278551</v>
      </c>
      <c r="I3" s="2">
        <v>0.50511173071483417</v>
      </c>
      <c r="J3" s="2">
        <v>0.76035679991193617</v>
      </c>
      <c r="O3" t="s">
        <v>973</v>
      </c>
    </row>
    <row r="4" spans="6:31" x14ac:dyDescent="0.45">
      <c r="F4" t="s">
        <v>974</v>
      </c>
      <c r="G4" s="2">
        <v>0.12235669636919801</v>
      </c>
      <c r="H4" s="2">
        <v>0.67201764232568773</v>
      </c>
      <c r="I4" s="2"/>
      <c r="J4" s="2"/>
    </row>
    <row r="5" spans="6:31" x14ac:dyDescent="0.45">
      <c r="F5" t="s">
        <v>975</v>
      </c>
      <c r="G5" s="2">
        <v>0.19650832925932948</v>
      </c>
      <c r="H5" s="2">
        <v>4.2660240148824622</v>
      </c>
      <c r="I5" s="2"/>
      <c r="J5" s="2"/>
    </row>
    <row r="6" spans="6:31" x14ac:dyDescent="0.45">
      <c r="F6" t="s">
        <v>979</v>
      </c>
      <c r="G6" s="2">
        <v>0.119452163449132</v>
      </c>
      <c r="H6" s="2">
        <v>0.30029646289102435</v>
      </c>
      <c r="I6" s="2">
        <v>0.11978938899111068</v>
      </c>
      <c r="J6" s="2">
        <v>0.2802977952362124</v>
      </c>
      <c r="N6" t="s">
        <v>977</v>
      </c>
      <c r="Y6" t="s">
        <v>978</v>
      </c>
    </row>
    <row r="7" spans="6:31" x14ac:dyDescent="0.45">
      <c r="F7" t="s">
        <v>987</v>
      </c>
      <c r="G7" s="2">
        <v>0.81831943617232472</v>
      </c>
      <c r="H7" s="2">
        <v>0.96713178859419036</v>
      </c>
      <c r="I7" s="2">
        <v>0.81777938974602216</v>
      </c>
      <c r="J7" s="2">
        <v>0.96723004917223399</v>
      </c>
      <c r="N7" t="s">
        <v>980</v>
      </c>
      <c r="O7" t="s">
        <v>981</v>
      </c>
      <c r="P7" t="s">
        <v>982</v>
      </c>
      <c r="Q7" t="s">
        <v>983</v>
      </c>
      <c r="R7" t="s">
        <v>984</v>
      </c>
      <c r="S7">
        <v>2022</v>
      </c>
      <c r="T7">
        <v>2030</v>
      </c>
      <c r="U7" t="s">
        <v>985</v>
      </c>
      <c r="V7" t="s">
        <v>986</v>
      </c>
      <c r="Y7" t="s">
        <v>980</v>
      </c>
      <c r="Z7" t="s">
        <v>981</v>
      </c>
      <c r="AA7" t="s">
        <v>983</v>
      </c>
      <c r="AB7" t="s">
        <v>984</v>
      </c>
      <c r="AC7">
        <v>2050</v>
      </c>
      <c r="AD7" t="s">
        <v>985</v>
      </c>
      <c r="AE7" t="s">
        <v>986</v>
      </c>
    </row>
    <row r="8" spans="6:31" x14ac:dyDescent="0.45">
      <c r="F8" t="s">
        <v>991</v>
      </c>
      <c r="G8" s="2">
        <v>0.32713633398564901</v>
      </c>
      <c r="H8" s="2">
        <v>1.289056487609666</v>
      </c>
      <c r="I8" s="2">
        <v>3.1109738667750693E-2</v>
      </c>
      <c r="J8" s="2">
        <v>0.11155931804373953</v>
      </c>
      <c r="N8" t="s">
        <v>988</v>
      </c>
      <c r="O8" t="s">
        <v>974</v>
      </c>
      <c r="P8" s="3" t="s">
        <v>989</v>
      </c>
      <c r="Q8" s="4">
        <f>-1/8.76</f>
        <v>-0.11415525114155252</v>
      </c>
      <c r="S8" s="4">
        <f>VLOOKUP(O8,$F$3:$J$11,3,FALSE)</f>
        <v>0.67201764232568773</v>
      </c>
      <c r="T8" s="4">
        <f>MIN(S8*$U$1,0.95)</f>
        <v>0.8064211707908252</v>
      </c>
      <c r="U8">
        <v>0</v>
      </c>
      <c r="V8">
        <v>3</v>
      </c>
      <c r="Y8" t="s">
        <v>990</v>
      </c>
      <c r="Z8" t="s">
        <v>974</v>
      </c>
      <c r="AA8">
        <f>-1/8.76</f>
        <v>-0.11415525114155252</v>
      </c>
      <c r="AB8" s="4">
        <f>VLOOKUP(Z8,$F$3:$J$11,2,FALSE)</f>
        <v>0.12235669636919801</v>
      </c>
      <c r="AC8">
        <f>AB8*$W$1</f>
        <v>2.4471339273839602E-2</v>
      </c>
      <c r="AD8">
        <v>0</v>
      </c>
      <c r="AE8">
        <v>3</v>
      </c>
    </row>
    <row r="9" spans="6:31" x14ac:dyDescent="0.45">
      <c r="F9" t="s">
        <v>994</v>
      </c>
      <c r="G9" s="2">
        <v>4.5662100456621002E-2</v>
      </c>
      <c r="H9" s="2">
        <v>0.23316817254444772</v>
      </c>
      <c r="I9" s="2">
        <v>8.5541050927600309E-2</v>
      </c>
      <c r="J9" s="2">
        <v>0.2335458790517923</v>
      </c>
      <c r="N9" t="s">
        <v>992</v>
      </c>
      <c r="O9" t="s">
        <v>975</v>
      </c>
      <c r="P9" s="3" t="s">
        <v>989</v>
      </c>
      <c r="Q9" s="4">
        <f>-1/8.76</f>
        <v>-0.11415525114155252</v>
      </c>
      <c r="S9" s="4">
        <f>VLOOKUP(O9,$F$3:$J$11,3,FALSE)</f>
        <v>4.2660240148824622</v>
      </c>
      <c r="T9" s="4">
        <f>MIN(S9*$U$1,0.95)</f>
        <v>0.95</v>
      </c>
      <c r="U9">
        <v>0</v>
      </c>
      <c r="V9">
        <v>3</v>
      </c>
      <c r="Y9" t="s">
        <v>993</v>
      </c>
      <c r="Z9" t="s">
        <v>975</v>
      </c>
      <c r="AA9">
        <f>-1/8.76</f>
        <v>-0.11415525114155252</v>
      </c>
      <c r="AB9" s="4">
        <f>VLOOKUP(Z9,$F$3:$J$11,2,FALSE)</f>
        <v>0.19650832925932948</v>
      </c>
      <c r="AC9">
        <f>AB9*$W$1</f>
        <v>3.9301665851865897E-2</v>
      </c>
      <c r="AD9">
        <v>0</v>
      </c>
      <c r="AE9">
        <v>3</v>
      </c>
    </row>
    <row r="10" spans="6:31" ht="14.65" customHeight="1" x14ac:dyDescent="0.45">
      <c r="F10" t="s">
        <v>1583</v>
      </c>
      <c r="G10" s="2"/>
      <c r="H10" s="2"/>
      <c r="I10" s="2">
        <v>0.12557077625570776</v>
      </c>
      <c r="J10" s="2">
        <v>0.27397260273972607</v>
      </c>
      <c r="N10" t="s">
        <v>992</v>
      </c>
      <c r="O10" t="s">
        <v>987</v>
      </c>
      <c r="P10" s="3" t="s">
        <v>989</v>
      </c>
      <c r="Q10" s="4">
        <f>-1/8.76</f>
        <v>-0.11415525114155252</v>
      </c>
      <c r="S10" s="4">
        <f>VLOOKUP(O10,$F$3:$J$11,3,FALSE)</f>
        <v>0.96713178859419036</v>
      </c>
      <c r="T10" s="4">
        <f>MIN(S10*$U$1,0.95)</f>
        <v>0.95</v>
      </c>
      <c r="U10">
        <v>0</v>
      </c>
      <c r="V10">
        <v>3</v>
      </c>
      <c r="Y10" t="s">
        <v>995</v>
      </c>
      <c r="Z10" t="s">
        <v>991</v>
      </c>
      <c r="AA10">
        <f>-1/8.76</f>
        <v>-0.11415525114155252</v>
      </c>
      <c r="AB10" s="4">
        <f>VLOOKUP(Z10,$F$3:$J$11,2,FALSE)</f>
        <v>0.32713633398564901</v>
      </c>
      <c r="AC10" s="5">
        <f>AB10*$W$1</f>
        <v>6.5427266797129804E-2</v>
      </c>
      <c r="AD10">
        <v>0</v>
      </c>
      <c r="AE10">
        <v>3</v>
      </c>
    </row>
    <row r="11" spans="6:31" ht="14.65" customHeight="1" x14ac:dyDescent="0.45">
      <c r="F11" t="s">
        <v>996</v>
      </c>
      <c r="G11" s="2">
        <v>0.20143431102335213</v>
      </c>
      <c r="H11" s="2">
        <v>0.27663755111132321</v>
      </c>
      <c r="I11" s="2">
        <v>0.21235033491702565</v>
      </c>
      <c r="J11" s="2">
        <v>0.27669207694023146</v>
      </c>
    </row>
    <row r="15" spans="6:31" x14ac:dyDescent="0.45">
      <c r="X15" s="6">
        <v>2.5</v>
      </c>
      <c r="Y15" s="7" t="s">
        <v>997</v>
      </c>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11F3-E162-4BC0-A45B-6D77DC22856E}">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998</v>
      </c>
    </row>
    <row r="10" spans="2:10" x14ac:dyDescent="0.45">
      <c r="B10" t="s">
        <v>999</v>
      </c>
      <c r="C10" t="s">
        <v>1000</v>
      </c>
      <c r="D10" t="s">
        <v>1001</v>
      </c>
      <c r="E10" t="s">
        <v>1002</v>
      </c>
      <c r="F10" t="s">
        <v>1003</v>
      </c>
      <c r="G10" t="s">
        <v>1004</v>
      </c>
      <c r="H10" t="s">
        <v>1005</v>
      </c>
      <c r="I10" t="s">
        <v>1006</v>
      </c>
      <c r="J10" t="s">
        <v>1007</v>
      </c>
    </row>
    <row r="11" spans="2:10" x14ac:dyDescent="0.45">
      <c r="B11" t="s">
        <v>5068</v>
      </c>
      <c r="C11">
        <v>10</v>
      </c>
      <c r="D11">
        <v>18</v>
      </c>
      <c r="E11">
        <v>6</v>
      </c>
      <c r="F11">
        <v>10</v>
      </c>
      <c r="G11">
        <v>0.1</v>
      </c>
      <c r="H11">
        <v>0.3</v>
      </c>
      <c r="I11">
        <v>0</v>
      </c>
      <c r="J11">
        <v>0</v>
      </c>
    </row>
    <row r="14" spans="2:10" x14ac:dyDescent="0.45">
      <c r="B14" t="s">
        <v>5684</v>
      </c>
    </row>
    <row r="18" spans="1:8" ht="14.65" thickBot="1" x14ac:dyDescent="0.5">
      <c r="B18" s="8" t="s">
        <v>1008</v>
      </c>
    </row>
    <row r="19" spans="1:8" ht="15" thickTop="1" thickBot="1" x14ac:dyDescent="0.5">
      <c r="A19" s="9" t="s">
        <v>1009</v>
      </c>
      <c r="B19" s="9" t="s">
        <v>1010</v>
      </c>
      <c r="C19" s="9" t="s">
        <v>981</v>
      </c>
      <c r="D19" s="9" t="s">
        <v>1011</v>
      </c>
      <c r="E19" s="9" t="s">
        <v>1012</v>
      </c>
      <c r="F19" s="9">
        <v>2025</v>
      </c>
      <c r="G19" s="9">
        <v>2040</v>
      </c>
      <c r="H19" s="9">
        <v>0</v>
      </c>
    </row>
    <row r="20" spans="1:8" x14ac:dyDescent="0.45">
      <c r="A20" t="s">
        <v>994</v>
      </c>
      <c r="B20" t="str">
        <f>"uce_buildrate_"&amp;A20</f>
        <v>uce_buildrate_solar</v>
      </c>
      <c r="C20" t="str">
        <f>A20</f>
        <v>solar</v>
      </c>
      <c r="D20" t="s">
        <v>1013</v>
      </c>
      <c r="E20">
        <v>1</v>
      </c>
      <c r="F20">
        <f>C11</f>
        <v>10</v>
      </c>
      <c r="G20">
        <f>D11</f>
        <v>18</v>
      </c>
      <c r="H20">
        <v>4</v>
      </c>
    </row>
    <row r="21" spans="1:8" x14ac:dyDescent="0.45">
      <c r="A21" t="s">
        <v>1014</v>
      </c>
      <c r="B21" t="str">
        <f t="shared" ref="B21:B23" si="0">"uce_buildrate_"&amp;A21</f>
        <v>uce_buildrate_wind</v>
      </c>
      <c r="C21" t="str">
        <f>A21&amp;"*"</f>
        <v>wind*</v>
      </c>
      <c r="D21" t="s">
        <v>1013</v>
      </c>
      <c r="E21">
        <v>1</v>
      </c>
      <c r="F21">
        <f>E11</f>
        <v>6</v>
      </c>
      <c r="G21">
        <f>F11</f>
        <v>10</v>
      </c>
      <c r="H21">
        <v>4</v>
      </c>
    </row>
    <row r="22" spans="1:8" x14ac:dyDescent="0.45">
      <c r="A22" t="s">
        <v>979</v>
      </c>
      <c r="B22" t="str">
        <f t="shared" si="0"/>
        <v>uce_buildrate_hydro</v>
      </c>
      <c r="C22" t="str">
        <f t="shared" ref="C22:C23" si="1">A22</f>
        <v>hydro</v>
      </c>
      <c r="D22" t="s">
        <v>1013</v>
      </c>
      <c r="E22">
        <v>1</v>
      </c>
      <c r="F22">
        <f>G11</f>
        <v>0.1</v>
      </c>
      <c r="G22">
        <f>H11</f>
        <v>0.3</v>
      </c>
      <c r="H22">
        <v>4</v>
      </c>
    </row>
    <row r="23" spans="1:8" x14ac:dyDescent="0.45">
      <c r="A23" t="s">
        <v>987</v>
      </c>
      <c r="B23" t="str">
        <f t="shared" si="0"/>
        <v>uce_buildrate_nuclear</v>
      </c>
      <c r="C23" t="str">
        <f t="shared" si="1"/>
        <v>nuclear</v>
      </c>
      <c r="D23" t="s">
        <v>1013</v>
      </c>
      <c r="E23">
        <v>1</v>
      </c>
      <c r="F23">
        <f>I11</f>
        <v>0</v>
      </c>
      <c r="G23">
        <f>J11</f>
        <v>0</v>
      </c>
      <c r="H23">
        <v>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DF3D-E994-469B-AFC3-56F704289FB9}">
  <dimension ref="A1:I74"/>
  <sheetViews>
    <sheetView workbookViewId="0"/>
  </sheetViews>
  <sheetFormatPr defaultRowHeight="14.25" x14ac:dyDescent="0.45"/>
  <sheetData>
    <row r="1" spans="1:9" x14ac:dyDescent="0.45">
      <c r="C1" t="s">
        <v>1015</v>
      </c>
    </row>
    <row r="3" spans="1:9" x14ac:dyDescent="0.45">
      <c r="C3" t="s">
        <v>1016</v>
      </c>
      <c r="G3" t="s">
        <v>1017</v>
      </c>
    </row>
    <row r="4" spans="1:9" x14ac:dyDescent="0.45">
      <c r="A4" t="s">
        <v>24</v>
      </c>
      <c r="B4" t="s">
        <v>1010</v>
      </c>
      <c r="C4" t="s">
        <v>982</v>
      </c>
      <c r="D4" t="s">
        <v>1018</v>
      </c>
      <c r="E4" t="s">
        <v>1019</v>
      </c>
      <c r="G4" t="s">
        <v>1010</v>
      </c>
      <c r="H4" t="s">
        <v>981</v>
      </c>
      <c r="I4" t="s">
        <v>1018</v>
      </c>
    </row>
    <row r="5" spans="1:9" x14ac:dyDescent="0.45">
      <c r="A5" t="s">
        <v>1020</v>
      </c>
      <c r="B5" t="s">
        <v>5530</v>
      </c>
      <c r="C5" t="s">
        <v>5531</v>
      </c>
      <c r="D5">
        <v>1</v>
      </c>
      <c r="E5">
        <v>2</v>
      </c>
      <c r="G5" t="s">
        <v>5530</v>
      </c>
      <c r="H5" t="s">
        <v>5531</v>
      </c>
      <c r="I5">
        <v>-1</v>
      </c>
    </row>
    <row r="6" spans="1:9" x14ac:dyDescent="0.45">
      <c r="A6" t="s">
        <v>1020</v>
      </c>
      <c r="B6" t="s">
        <v>5532</v>
      </c>
      <c r="C6" t="s">
        <v>5533</v>
      </c>
      <c r="D6">
        <v>1</v>
      </c>
      <c r="E6">
        <v>2</v>
      </c>
      <c r="G6" t="s">
        <v>5532</v>
      </c>
      <c r="H6" t="s">
        <v>5533</v>
      </c>
      <c r="I6">
        <v>-1</v>
      </c>
    </row>
    <row r="7" spans="1:9" x14ac:dyDescent="0.45">
      <c r="A7" t="s">
        <v>1020</v>
      </c>
      <c r="B7" t="s">
        <v>5534</v>
      </c>
      <c r="C7" t="s">
        <v>5535</v>
      </c>
      <c r="D7">
        <v>1</v>
      </c>
      <c r="E7">
        <v>2</v>
      </c>
      <c r="G7" t="s">
        <v>5534</v>
      </c>
      <c r="H7" t="s">
        <v>5535</v>
      </c>
      <c r="I7">
        <v>-1</v>
      </c>
    </row>
    <row r="8" spans="1:9" x14ac:dyDescent="0.45">
      <c r="A8" t="s">
        <v>1020</v>
      </c>
      <c r="B8" t="s">
        <v>5536</v>
      </c>
      <c r="C8" t="s">
        <v>5537</v>
      </c>
      <c r="D8">
        <v>1</v>
      </c>
      <c r="E8">
        <v>2</v>
      </c>
      <c r="G8" t="s">
        <v>5536</v>
      </c>
      <c r="H8" t="s">
        <v>5537</v>
      </c>
      <c r="I8">
        <v>-1</v>
      </c>
    </row>
    <row r="9" spans="1:9" x14ac:dyDescent="0.45">
      <c r="A9" t="s">
        <v>1020</v>
      </c>
      <c r="B9" t="s">
        <v>5538</v>
      </c>
      <c r="C9" t="s">
        <v>5539</v>
      </c>
      <c r="D9">
        <v>1</v>
      </c>
      <c r="E9">
        <v>2</v>
      </c>
      <c r="G9" t="s">
        <v>5538</v>
      </c>
      <c r="H9" t="s">
        <v>5539</v>
      </c>
      <c r="I9">
        <v>-1</v>
      </c>
    </row>
    <row r="10" spans="1:9" x14ac:dyDescent="0.45">
      <c r="A10" t="s">
        <v>1020</v>
      </c>
      <c r="B10" t="s">
        <v>5540</v>
      </c>
      <c r="C10" t="s">
        <v>5541</v>
      </c>
      <c r="D10">
        <v>1</v>
      </c>
      <c r="E10">
        <v>2</v>
      </c>
      <c r="G10" t="s">
        <v>5540</v>
      </c>
      <c r="H10" t="s">
        <v>5541</v>
      </c>
      <c r="I10">
        <v>-1</v>
      </c>
    </row>
    <row r="11" spans="1:9" x14ac:dyDescent="0.45">
      <c r="A11" t="s">
        <v>1020</v>
      </c>
      <c r="B11" t="s">
        <v>5542</v>
      </c>
      <c r="C11" t="s">
        <v>5543</v>
      </c>
      <c r="D11">
        <v>1</v>
      </c>
      <c r="E11">
        <v>2</v>
      </c>
      <c r="G11" t="s">
        <v>5542</v>
      </c>
      <c r="H11" t="s">
        <v>5543</v>
      </c>
      <c r="I11">
        <v>-1</v>
      </c>
    </row>
    <row r="12" spans="1:9" x14ac:dyDescent="0.45">
      <c r="A12" t="s">
        <v>1020</v>
      </c>
      <c r="B12" t="s">
        <v>5544</v>
      </c>
      <c r="C12" t="s">
        <v>5545</v>
      </c>
      <c r="D12">
        <v>1</v>
      </c>
      <c r="E12">
        <v>2</v>
      </c>
      <c r="G12" t="s">
        <v>5544</v>
      </c>
      <c r="H12" t="s">
        <v>5545</v>
      </c>
      <c r="I12">
        <v>-1</v>
      </c>
    </row>
    <row r="13" spans="1:9" x14ac:dyDescent="0.45">
      <c r="A13" t="s">
        <v>1020</v>
      </c>
      <c r="B13" t="s">
        <v>5546</v>
      </c>
      <c r="C13" t="s">
        <v>5547</v>
      </c>
      <c r="D13">
        <v>1</v>
      </c>
      <c r="E13">
        <v>2</v>
      </c>
      <c r="G13" t="s">
        <v>5546</v>
      </c>
      <c r="H13" t="s">
        <v>5547</v>
      </c>
      <c r="I13">
        <v>-1</v>
      </c>
    </row>
    <row r="14" spans="1:9" x14ac:dyDescent="0.45">
      <c r="A14" t="s">
        <v>1020</v>
      </c>
      <c r="B14" t="s">
        <v>5548</v>
      </c>
      <c r="C14" t="s">
        <v>5549</v>
      </c>
      <c r="D14">
        <v>1</v>
      </c>
      <c r="E14">
        <v>2</v>
      </c>
      <c r="G14" t="s">
        <v>5548</v>
      </c>
      <c r="H14" t="s">
        <v>5549</v>
      </c>
      <c r="I14">
        <v>-1</v>
      </c>
    </row>
    <row r="15" spans="1:9" x14ac:dyDescent="0.45">
      <c r="A15" t="s">
        <v>1020</v>
      </c>
      <c r="B15" t="s">
        <v>5550</v>
      </c>
      <c r="C15" t="s">
        <v>5551</v>
      </c>
      <c r="D15">
        <v>1</v>
      </c>
      <c r="E15">
        <v>2</v>
      </c>
      <c r="G15" t="s">
        <v>5550</v>
      </c>
      <c r="H15" t="s">
        <v>5551</v>
      </c>
      <c r="I15">
        <v>-1</v>
      </c>
    </row>
    <row r="16" spans="1:9" x14ac:dyDescent="0.45">
      <c r="A16" t="s">
        <v>1020</v>
      </c>
      <c r="B16" t="s">
        <v>5552</v>
      </c>
      <c r="C16" t="s">
        <v>5553</v>
      </c>
      <c r="D16">
        <v>1</v>
      </c>
      <c r="E16">
        <v>2</v>
      </c>
      <c r="G16" t="s">
        <v>5552</v>
      </c>
      <c r="H16" t="s">
        <v>5553</v>
      </c>
      <c r="I16">
        <v>-1</v>
      </c>
    </row>
    <row r="17" spans="1:9" x14ac:dyDescent="0.45">
      <c r="A17" t="s">
        <v>1020</v>
      </c>
      <c r="B17" t="s">
        <v>5554</v>
      </c>
      <c r="C17" t="s">
        <v>5555</v>
      </c>
      <c r="D17">
        <v>1</v>
      </c>
      <c r="E17">
        <v>2</v>
      </c>
      <c r="G17" t="s">
        <v>5554</v>
      </c>
      <c r="H17" t="s">
        <v>5555</v>
      </c>
      <c r="I17">
        <v>-1</v>
      </c>
    </row>
    <row r="18" spans="1:9" x14ac:dyDescent="0.45">
      <c r="A18" t="s">
        <v>1020</v>
      </c>
      <c r="B18" t="s">
        <v>5556</v>
      </c>
      <c r="C18" t="s">
        <v>5557</v>
      </c>
      <c r="D18">
        <v>1</v>
      </c>
      <c r="E18">
        <v>2</v>
      </c>
      <c r="G18" t="s">
        <v>5556</v>
      </c>
      <c r="H18" t="s">
        <v>5557</v>
      </c>
      <c r="I18">
        <v>-1</v>
      </c>
    </row>
    <row r="19" spans="1:9" x14ac:dyDescent="0.45">
      <c r="A19" t="s">
        <v>1020</v>
      </c>
      <c r="B19" t="s">
        <v>5558</v>
      </c>
      <c r="C19" t="s">
        <v>5559</v>
      </c>
      <c r="D19">
        <v>1</v>
      </c>
      <c r="E19">
        <v>2</v>
      </c>
      <c r="G19" t="s">
        <v>5558</v>
      </c>
      <c r="H19" t="s">
        <v>5559</v>
      </c>
      <c r="I19">
        <v>-1</v>
      </c>
    </row>
    <row r="20" spans="1:9" x14ac:dyDescent="0.45">
      <c r="A20" t="s">
        <v>1020</v>
      </c>
      <c r="B20" t="s">
        <v>5560</v>
      </c>
      <c r="C20" t="s">
        <v>5561</v>
      </c>
      <c r="D20">
        <v>1</v>
      </c>
      <c r="E20">
        <v>2</v>
      </c>
      <c r="G20" t="s">
        <v>5560</v>
      </c>
      <c r="H20" t="s">
        <v>5561</v>
      </c>
      <c r="I20">
        <v>-1</v>
      </c>
    </row>
    <row r="21" spans="1:9" x14ac:dyDescent="0.45">
      <c r="A21" t="s">
        <v>1020</v>
      </c>
      <c r="B21" t="s">
        <v>5562</v>
      </c>
      <c r="C21" t="s">
        <v>5563</v>
      </c>
      <c r="D21">
        <v>1</v>
      </c>
      <c r="E21">
        <v>2</v>
      </c>
      <c r="G21" t="s">
        <v>5562</v>
      </c>
      <c r="H21" t="s">
        <v>5563</v>
      </c>
      <c r="I21">
        <v>-1</v>
      </c>
    </row>
    <row r="22" spans="1:9" x14ac:dyDescent="0.45">
      <c r="A22" t="s">
        <v>1020</v>
      </c>
      <c r="B22" t="s">
        <v>5564</v>
      </c>
      <c r="C22" t="s">
        <v>5565</v>
      </c>
      <c r="D22">
        <v>1</v>
      </c>
      <c r="E22">
        <v>2</v>
      </c>
      <c r="G22" t="s">
        <v>5564</v>
      </c>
      <c r="H22" t="s">
        <v>5565</v>
      </c>
      <c r="I22">
        <v>-1</v>
      </c>
    </row>
    <row r="23" spans="1:9" x14ac:dyDescent="0.45">
      <c r="A23" t="s">
        <v>1020</v>
      </c>
      <c r="B23" t="s">
        <v>5566</v>
      </c>
      <c r="C23" t="s">
        <v>5567</v>
      </c>
      <c r="D23">
        <v>1</v>
      </c>
      <c r="E23">
        <v>2</v>
      </c>
      <c r="G23" t="s">
        <v>5566</v>
      </c>
      <c r="H23" t="s">
        <v>5567</v>
      </c>
      <c r="I23">
        <v>-1</v>
      </c>
    </row>
    <row r="24" spans="1:9" x14ac:dyDescent="0.45">
      <c r="A24" t="s">
        <v>1020</v>
      </c>
      <c r="B24" t="s">
        <v>5568</v>
      </c>
      <c r="C24" t="s">
        <v>5569</v>
      </c>
      <c r="D24">
        <v>1</v>
      </c>
      <c r="E24">
        <v>2</v>
      </c>
      <c r="G24" t="s">
        <v>5568</v>
      </c>
      <c r="H24" t="s">
        <v>5569</v>
      </c>
      <c r="I24">
        <v>-1</v>
      </c>
    </row>
    <row r="25" spans="1:9" x14ac:dyDescent="0.45">
      <c r="A25" t="s">
        <v>1020</v>
      </c>
      <c r="B25" t="s">
        <v>5570</v>
      </c>
      <c r="C25" t="s">
        <v>5571</v>
      </c>
      <c r="D25">
        <v>1</v>
      </c>
      <c r="E25">
        <v>2</v>
      </c>
      <c r="G25" t="s">
        <v>5570</v>
      </c>
      <c r="H25" t="s">
        <v>5571</v>
      </c>
      <c r="I25">
        <v>-1</v>
      </c>
    </row>
    <row r="26" spans="1:9" x14ac:dyDescent="0.45">
      <c r="A26" t="s">
        <v>1020</v>
      </c>
      <c r="B26" t="s">
        <v>5572</v>
      </c>
      <c r="C26" t="s">
        <v>5573</v>
      </c>
      <c r="D26">
        <v>1</v>
      </c>
      <c r="E26">
        <v>2</v>
      </c>
      <c r="G26" t="s">
        <v>5572</v>
      </c>
      <c r="H26" t="s">
        <v>5573</v>
      </c>
      <c r="I26">
        <v>-1</v>
      </c>
    </row>
    <row r="27" spans="1:9" x14ac:dyDescent="0.45">
      <c r="A27" t="s">
        <v>1020</v>
      </c>
      <c r="B27" t="s">
        <v>5574</v>
      </c>
      <c r="C27" t="s">
        <v>5575</v>
      </c>
      <c r="D27">
        <v>1</v>
      </c>
      <c r="E27">
        <v>2</v>
      </c>
      <c r="G27" t="s">
        <v>5574</v>
      </c>
      <c r="H27" t="s">
        <v>5575</v>
      </c>
      <c r="I27">
        <v>-1</v>
      </c>
    </row>
    <row r="28" spans="1:9" x14ac:dyDescent="0.45">
      <c r="A28" t="s">
        <v>1020</v>
      </c>
      <c r="B28" t="s">
        <v>5576</v>
      </c>
      <c r="C28" t="s">
        <v>5577</v>
      </c>
      <c r="D28">
        <v>1</v>
      </c>
      <c r="E28">
        <v>2</v>
      </c>
      <c r="G28" t="s">
        <v>5576</v>
      </c>
      <c r="H28" t="s">
        <v>5577</v>
      </c>
      <c r="I28">
        <v>-1</v>
      </c>
    </row>
    <row r="29" spans="1:9" x14ac:dyDescent="0.45">
      <c r="A29" t="s">
        <v>1020</v>
      </c>
      <c r="B29" t="s">
        <v>5578</v>
      </c>
      <c r="C29" t="s">
        <v>5579</v>
      </c>
      <c r="D29">
        <v>1</v>
      </c>
      <c r="E29">
        <v>2</v>
      </c>
      <c r="G29" t="s">
        <v>5578</v>
      </c>
      <c r="H29" t="s">
        <v>5579</v>
      </c>
      <c r="I29">
        <v>-1</v>
      </c>
    </row>
    <row r="30" spans="1:9" x14ac:dyDescent="0.45">
      <c r="A30" t="s">
        <v>1020</v>
      </c>
      <c r="B30" t="s">
        <v>5580</v>
      </c>
      <c r="C30" t="s">
        <v>5581</v>
      </c>
      <c r="D30">
        <v>1</v>
      </c>
      <c r="E30">
        <v>2</v>
      </c>
      <c r="G30" t="s">
        <v>5580</v>
      </c>
      <c r="H30" t="s">
        <v>5581</v>
      </c>
      <c r="I30">
        <v>-1</v>
      </c>
    </row>
    <row r="31" spans="1:9" x14ac:dyDescent="0.45">
      <c r="A31" t="s">
        <v>1020</v>
      </c>
      <c r="B31" t="s">
        <v>5582</v>
      </c>
      <c r="C31" t="s">
        <v>5583</v>
      </c>
      <c r="D31">
        <v>1</v>
      </c>
      <c r="E31">
        <v>2</v>
      </c>
      <c r="G31" t="s">
        <v>5582</v>
      </c>
      <c r="H31" t="s">
        <v>5583</v>
      </c>
      <c r="I31">
        <v>-1</v>
      </c>
    </row>
    <row r="32" spans="1:9" x14ac:dyDescent="0.45">
      <c r="A32" t="s">
        <v>1020</v>
      </c>
      <c r="B32" t="s">
        <v>5584</v>
      </c>
      <c r="C32" t="s">
        <v>5585</v>
      </c>
      <c r="D32">
        <v>1</v>
      </c>
      <c r="E32">
        <v>2</v>
      </c>
      <c r="G32" t="s">
        <v>5584</v>
      </c>
      <c r="H32" t="s">
        <v>5585</v>
      </c>
      <c r="I32">
        <v>-1</v>
      </c>
    </row>
    <row r="33" spans="1:9" x14ac:dyDescent="0.45">
      <c r="A33" t="s">
        <v>1020</v>
      </c>
      <c r="B33" t="s">
        <v>5586</v>
      </c>
      <c r="C33" t="s">
        <v>5587</v>
      </c>
      <c r="D33">
        <v>1</v>
      </c>
      <c r="E33">
        <v>2</v>
      </c>
      <c r="G33" t="s">
        <v>5586</v>
      </c>
      <c r="H33" t="s">
        <v>5587</v>
      </c>
      <c r="I33">
        <v>-1</v>
      </c>
    </row>
    <row r="34" spans="1:9" x14ac:dyDescent="0.45">
      <c r="A34" t="s">
        <v>1020</v>
      </c>
      <c r="B34" t="s">
        <v>5588</v>
      </c>
      <c r="C34" t="s">
        <v>5589</v>
      </c>
      <c r="D34">
        <v>1</v>
      </c>
      <c r="E34">
        <v>2</v>
      </c>
      <c r="G34" t="s">
        <v>5588</v>
      </c>
      <c r="H34" t="s">
        <v>5589</v>
      </c>
      <c r="I34">
        <v>-1</v>
      </c>
    </row>
    <row r="35" spans="1:9" x14ac:dyDescent="0.45">
      <c r="A35" t="s">
        <v>1020</v>
      </c>
      <c r="B35" t="s">
        <v>5590</v>
      </c>
      <c r="C35" t="s">
        <v>5591</v>
      </c>
      <c r="D35">
        <v>1</v>
      </c>
      <c r="E35">
        <v>2</v>
      </c>
      <c r="G35" t="s">
        <v>5590</v>
      </c>
      <c r="H35" t="s">
        <v>5591</v>
      </c>
      <c r="I35">
        <v>-1</v>
      </c>
    </row>
    <row r="36" spans="1:9" x14ac:dyDescent="0.45">
      <c r="A36" t="s">
        <v>1020</v>
      </c>
      <c r="B36" t="s">
        <v>5592</v>
      </c>
      <c r="C36" t="s">
        <v>5593</v>
      </c>
      <c r="D36">
        <v>1</v>
      </c>
      <c r="E36">
        <v>2</v>
      </c>
      <c r="G36" t="s">
        <v>5592</v>
      </c>
      <c r="H36" t="s">
        <v>5593</v>
      </c>
      <c r="I36">
        <v>-1</v>
      </c>
    </row>
    <row r="37" spans="1:9" x14ac:dyDescent="0.45">
      <c r="A37" t="s">
        <v>1020</v>
      </c>
      <c r="B37" t="s">
        <v>5594</v>
      </c>
      <c r="C37" t="s">
        <v>5595</v>
      </c>
      <c r="D37">
        <v>1</v>
      </c>
      <c r="E37">
        <v>2</v>
      </c>
      <c r="G37" t="s">
        <v>5594</v>
      </c>
      <c r="H37" t="s">
        <v>5595</v>
      </c>
      <c r="I37">
        <v>-1</v>
      </c>
    </row>
    <row r="38" spans="1:9" x14ac:dyDescent="0.45">
      <c r="A38" t="s">
        <v>1020</v>
      </c>
      <c r="B38" t="s">
        <v>5596</v>
      </c>
      <c r="C38" t="s">
        <v>5597</v>
      </c>
      <c r="D38">
        <v>1</v>
      </c>
      <c r="E38">
        <v>2</v>
      </c>
      <c r="G38" t="s">
        <v>5596</v>
      </c>
      <c r="H38" t="s">
        <v>5597</v>
      </c>
      <c r="I38">
        <v>-1</v>
      </c>
    </row>
    <row r="39" spans="1:9" x14ac:dyDescent="0.45">
      <c r="A39" t="s">
        <v>1020</v>
      </c>
      <c r="B39" t="s">
        <v>5598</v>
      </c>
      <c r="C39" t="s">
        <v>5599</v>
      </c>
      <c r="D39">
        <v>1</v>
      </c>
      <c r="E39">
        <v>2</v>
      </c>
      <c r="G39" t="s">
        <v>5598</v>
      </c>
      <c r="H39" t="s">
        <v>5599</v>
      </c>
      <c r="I39">
        <v>-1</v>
      </c>
    </row>
    <row r="40" spans="1:9" x14ac:dyDescent="0.45">
      <c r="A40" t="s">
        <v>1020</v>
      </c>
      <c r="B40" t="s">
        <v>5600</v>
      </c>
      <c r="C40" t="s">
        <v>5601</v>
      </c>
      <c r="D40">
        <v>1</v>
      </c>
      <c r="E40">
        <v>2</v>
      </c>
      <c r="G40" t="s">
        <v>5600</v>
      </c>
      <c r="H40" t="s">
        <v>5601</v>
      </c>
      <c r="I40">
        <v>-1</v>
      </c>
    </row>
    <row r="41" spans="1:9" x14ac:dyDescent="0.45">
      <c r="A41" t="s">
        <v>1020</v>
      </c>
      <c r="B41" t="s">
        <v>5602</v>
      </c>
      <c r="C41" t="s">
        <v>5603</v>
      </c>
      <c r="D41">
        <v>1</v>
      </c>
      <c r="E41">
        <v>2</v>
      </c>
      <c r="G41" t="s">
        <v>5602</v>
      </c>
      <c r="H41" t="s">
        <v>5603</v>
      </c>
      <c r="I41">
        <v>-1</v>
      </c>
    </row>
    <row r="42" spans="1:9" x14ac:dyDescent="0.45">
      <c r="A42" t="s">
        <v>1020</v>
      </c>
      <c r="B42" t="s">
        <v>5604</v>
      </c>
      <c r="C42" t="s">
        <v>5605</v>
      </c>
      <c r="D42">
        <v>1</v>
      </c>
      <c r="E42">
        <v>2</v>
      </c>
      <c r="G42" t="s">
        <v>5604</v>
      </c>
      <c r="H42" t="s">
        <v>5605</v>
      </c>
      <c r="I42">
        <v>-1</v>
      </c>
    </row>
    <row r="43" spans="1:9" x14ac:dyDescent="0.45">
      <c r="A43" t="s">
        <v>1020</v>
      </c>
      <c r="B43" t="s">
        <v>5606</v>
      </c>
      <c r="C43" t="s">
        <v>5607</v>
      </c>
      <c r="D43">
        <v>1</v>
      </c>
      <c r="E43">
        <v>2</v>
      </c>
      <c r="G43" t="s">
        <v>5606</v>
      </c>
      <c r="H43" t="s">
        <v>5607</v>
      </c>
      <c r="I43">
        <v>-1</v>
      </c>
    </row>
    <row r="44" spans="1:9" x14ac:dyDescent="0.45">
      <c r="A44" t="s">
        <v>1020</v>
      </c>
      <c r="B44" t="s">
        <v>5608</v>
      </c>
      <c r="C44" t="s">
        <v>5609</v>
      </c>
      <c r="D44">
        <v>1</v>
      </c>
      <c r="E44">
        <v>2</v>
      </c>
      <c r="G44" t="s">
        <v>5608</v>
      </c>
      <c r="H44" t="s">
        <v>5609</v>
      </c>
      <c r="I44">
        <v>-1</v>
      </c>
    </row>
    <row r="45" spans="1:9" x14ac:dyDescent="0.45">
      <c r="A45" t="s">
        <v>1020</v>
      </c>
      <c r="B45" t="s">
        <v>5610</v>
      </c>
      <c r="C45" t="s">
        <v>5611</v>
      </c>
      <c r="D45">
        <v>1</v>
      </c>
      <c r="E45">
        <v>2</v>
      </c>
      <c r="G45" t="s">
        <v>5610</v>
      </c>
      <c r="H45" t="s">
        <v>5611</v>
      </c>
      <c r="I45">
        <v>-1</v>
      </c>
    </row>
    <row r="46" spans="1:9" x14ac:dyDescent="0.45">
      <c r="A46" t="s">
        <v>1020</v>
      </c>
      <c r="B46" t="s">
        <v>5612</v>
      </c>
      <c r="C46" t="s">
        <v>5613</v>
      </c>
      <c r="D46">
        <v>1</v>
      </c>
      <c r="E46">
        <v>2</v>
      </c>
      <c r="G46" t="s">
        <v>5612</v>
      </c>
      <c r="H46" t="s">
        <v>5613</v>
      </c>
      <c r="I46">
        <v>-1</v>
      </c>
    </row>
    <row r="47" spans="1:9" x14ac:dyDescent="0.45">
      <c r="A47" t="s">
        <v>1020</v>
      </c>
      <c r="B47" t="s">
        <v>5614</v>
      </c>
      <c r="C47" t="s">
        <v>5615</v>
      </c>
      <c r="D47">
        <v>1</v>
      </c>
      <c r="E47">
        <v>2</v>
      </c>
      <c r="G47" t="s">
        <v>5614</v>
      </c>
      <c r="H47" t="s">
        <v>5615</v>
      </c>
      <c r="I47">
        <v>-1</v>
      </c>
    </row>
    <row r="48" spans="1:9" x14ac:dyDescent="0.45">
      <c r="A48" t="s">
        <v>1020</v>
      </c>
      <c r="B48" t="s">
        <v>5616</v>
      </c>
      <c r="C48" t="s">
        <v>5617</v>
      </c>
      <c r="D48">
        <v>1</v>
      </c>
      <c r="E48">
        <v>2</v>
      </c>
      <c r="G48" t="s">
        <v>5616</v>
      </c>
      <c r="H48" t="s">
        <v>5617</v>
      </c>
      <c r="I48">
        <v>-1</v>
      </c>
    </row>
    <row r="49" spans="1:9" x14ac:dyDescent="0.45">
      <c r="A49" t="s">
        <v>1020</v>
      </c>
      <c r="B49" t="s">
        <v>5618</v>
      </c>
      <c r="C49" t="s">
        <v>5619</v>
      </c>
      <c r="D49">
        <v>1</v>
      </c>
      <c r="E49">
        <v>2</v>
      </c>
      <c r="G49" t="s">
        <v>5618</v>
      </c>
      <c r="H49" t="s">
        <v>5619</v>
      </c>
      <c r="I49">
        <v>-1</v>
      </c>
    </row>
    <row r="50" spans="1:9" x14ac:dyDescent="0.45">
      <c r="A50" t="s">
        <v>1020</v>
      </c>
      <c r="B50" t="s">
        <v>5620</v>
      </c>
      <c r="C50" t="s">
        <v>5621</v>
      </c>
      <c r="D50">
        <v>1</v>
      </c>
      <c r="E50">
        <v>2</v>
      </c>
      <c r="G50" t="s">
        <v>5620</v>
      </c>
      <c r="H50" t="s">
        <v>5621</v>
      </c>
      <c r="I50">
        <v>-1</v>
      </c>
    </row>
    <row r="51" spans="1:9" x14ac:dyDescent="0.45">
      <c r="A51" t="s">
        <v>1020</v>
      </c>
      <c r="B51" t="s">
        <v>5622</v>
      </c>
      <c r="C51" t="s">
        <v>5623</v>
      </c>
      <c r="D51">
        <v>1</v>
      </c>
      <c r="E51">
        <v>2</v>
      </c>
      <c r="G51" t="s">
        <v>5622</v>
      </c>
      <c r="H51" t="s">
        <v>5623</v>
      </c>
      <c r="I51">
        <v>-1</v>
      </c>
    </row>
    <row r="52" spans="1:9" x14ac:dyDescent="0.45">
      <c r="A52" t="s">
        <v>1020</v>
      </c>
      <c r="B52" t="s">
        <v>5624</v>
      </c>
      <c r="C52" t="s">
        <v>5625</v>
      </c>
      <c r="D52">
        <v>1</v>
      </c>
      <c r="E52">
        <v>2</v>
      </c>
      <c r="G52" t="s">
        <v>5624</v>
      </c>
      <c r="H52" t="s">
        <v>5625</v>
      </c>
      <c r="I52">
        <v>-1</v>
      </c>
    </row>
    <row r="53" spans="1:9" x14ac:dyDescent="0.45">
      <c r="A53" t="s">
        <v>1020</v>
      </c>
      <c r="B53" t="s">
        <v>5626</v>
      </c>
      <c r="C53" t="s">
        <v>5627</v>
      </c>
      <c r="D53">
        <v>1</v>
      </c>
      <c r="E53">
        <v>2</v>
      </c>
      <c r="G53" t="s">
        <v>5626</v>
      </c>
      <c r="H53" t="s">
        <v>5627</v>
      </c>
      <c r="I53">
        <v>-1</v>
      </c>
    </row>
    <row r="54" spans="1:9" x14ac:dyDescent="0.45">
      <c r="A54" t="s">
        <v>1020</v>
      </c>
      <c r="B54" t="s">
        <v>5628</v>
      </c>
      <c r="C54" t="s">
        <v>5629</v>
      </c>
      <c r="D54">
        <v>1</v>
      </c>
      <c r="E54">
        <v>2</v>
      </c>
      <c r="G54" t="s">
        <v>5628</v>
      </c>
      <c r="H54" t="s">
        <v>5629</v>
      </c>
      <c r="I54">
        <v>-1</v>
      </c>
    </row>
    <row r="55" spans="1:9" x14ac:dyDescent="0.45">
      <c r="A55" t="s">
        <v>1020</v>
      </c>
      <c r="B55" t="s">
        <v>5630</v>
      </c>
      <c r="C55" t="s">
        <v>5631</v>
      </c>
      <c r="D55">
        <v>1</v>
      </c>
      <c r="E55">
        <v>2</v>
      </c>
      <c r="G55" t="s">
        <v>5630</v>
      </c>
      <c r="H55" t="s">
        <v>5631</v>
      </c>
      <c r="I55">
        <v>-1</v>
      </c>
    </row>
    <row r="56" spans="1:9" x14ac:dyDescent="0.45">
      <c r="A56" t="s">
        <v>1020</v>
      </c>
      <c r="B56" t="s">
        <v>5632</v>
      </c>
      <c r="C56" t="s">
        <v>5633</v>
      </c>
      <c r="D56">
        <v>1</v>
      </c>
      <c r="E56">
        <v>2</v>
      </c>
      <c r="G56" t="s">
        <v>5632</v>
      </c>
      <c r="H56" t="s">
        <v>5633</v>
      </c>
      <c r="I56">
        <v>-1</v>
      </c>
    </row>
    <row r="57" spans="1:9" x14ac:dyDescent="0.45">
      <c r="A57" t="s">
        <v>1020</v>
      </c>
      <c r="B57" t="s">
        <v>5634</v>
      </c>
      <c r="C57" t="s">
        <v>5635</v>
      </c>
      <c r="D57">
        <v>1</v>
      </c>
      <c r="E57">
        <v>2</v>
      </c>
      <c r="G57" t="s">
        <v>5634</v>
      </c>
      <c r="H57" t="s">
        <v>5635</v>
      </c>
      <c r="I57">
        <v>-1</v>
      </c>
    </row>
    <row r="58" spans="1:9" x14ac:dyDescent="0.45">
      <c r="A58" t="s">
        <v>1020</v>
      </c>
      <c r="B58" t="s">
        <v>5636</v>
      </c>
      <c r="C58" t="s">
        <v>5637</v>
      </c>
      <c r="D58">
        <v>1</v>
      </c>
      <c r="E58">
        <v>2</v>
      </c>
      <c r="G58" t="s">
        <v>5636</v>
      </c>
      <c r="H58" t="s">
        <v>5637</v>
      </c>
      <c r="I58">
        <v>-1</v>
      </c>
    </row>
    <row r="59" spans="1:9" x14ac:dyDescent="0.45">
      <c r="A59" t="s">
        <v>1020</v>
      </c>
      <c r="B59" t="s">
        <v>5638</v>
      </c>
      <c r="C59" t="s">
        <v>5639</v>
      </c>
      <c r="D59">
        <v>1</v>
      </c>
      <c r="E59">
        <v>2</v>
      </c>
      <c r="G59" t="s">
        <v>5638</v>
      </c>
      <c r="H59" t="s">
        <v>5639</v>
      </c>
      <c r="I59">
        <v>-1</v>
      </c>
    </row>
    <row r="60" spans="1:9" x14ac:dyDescent="0.45">
      <c r="A60" t="s">
        <v>1020</v>
      </c>
      <c r="B60" t="s">
        <v>5640</v>
      </c>
      <c r="C60" t="s">
        <v>5641</v>
      </c>
      <c r="D60">
        <v>1</v>
      </c>
      <c r="E60">
        <v>2</v>
      </c>
      <c r="G60" t="s">
        <v>5640</v>
      </c>
      <c r="H60" t="s">
        <v>5641</v>
      </c>
      <c r="I60">
        <v>-1</v>
      </c>
    </row>
    <row r="61" spans="1:9" x14ac:dyDescent="0.45">
      <c r="A61" t="s">
        <v>1020</v>
      </c>
      <c r="B61" t="s">
        <v>5642</v>
      </c>
      <c r="C61" t="s">
        <v>5643</v>
      </c>
      <c r="D61">
        <v>1</v>
      </c>
      <c r="E61">
        <v>2</v>
      </c>
      <c r="G61" t="s">
        <v>5642</v>
      </c>
      <c r="H61" t="s">
        <v>5643</v>
      </c>
      <c r="I61">
        <v>-1</v>
      </c>
    </row>
    <row r="62" spans="1:9" x14ac:dyDescent="0.45">
      <c r="A62" t="s">
        <v>1020</v>
      </c>
      <c r="B62" t="s">
        <v>5644</v>
      </c>
      <c r="C62" t="s">
        <v>5645</v>
      </c>
      <c r="D62">
        <v>1</v>
      </c>
      <c r="E62">
        <v>2</v>
      </c>
      <c r="G62" t="s">
        <v>5644</v>
      </c>
      <c r="H62" t="s">
        <v>5645</v>
      </c>
      <c r="I62">
        <v>-1</v>
      </c>
    </row>
    <row r="63" spans="1:9" x14ac:dyDescent="0.45">
      <c r="A63" t="s">
        <v>1020</v>
      </c>
      <c r="B63" t="s">
        <v>5646</v>
      </c>
      <c r="C63" t="s">
        <v>5647</v>
      </c>
      <c r="D63">
        <v>1</v>
      </c>
      <c r="E63">
        <v>2</v>
      </c>
      <c r="G63" t="s">
        <v>5646</v>
      </c>
      <c r="H63" t="s">
        <v>5647</v>
      </c>
      <c r="I63">
        <v>-1</v>
      </c>
    </row>
    <row r="64" spans="1:9" x14ac:dyDescent="0.45">
      <c r="A64" t="s">
        <v>1020</v>
      </c>
      <c r="B64" t="s">
        <v>5648</v>
      </c>
      <c r="C64" t="s">
        <v>5649</v>
      </c>
      <c r="D64">
        <v>1</v>
      </c>
      <c r="E64">
        <v>2</v>
      </c>
      <c r="G64" t="s">
        <v>5648</v>
      </c>
      <c r="H64" t="s">
        <v>5649</v>
      </c>
      <c r="I64">
        <v>-1</v>
      </c>
    </row>
    <row r="65" spans="1:9" x14ac:dyDescent="0.45">
      <c r="A65" t="s">
        <v>1020</v>
      </c>
      <c r="B65" t="s">
        <v>5650</v>
      </c>
      <c r="C65" t="s">
        <v>5651</v>
      </c>
      <c r="D65">
        <v>1</v>
      </c>
      <c r="E65">
        <v>2</v>
      </c>
      <c r="G65" t="s">
        <v>5650</v>
      </c>
      <c r="H65" t="s">
        <v>5651</v>
      </c>
      <c r="I65">
        <v>-1</v>
      </c>
    </row>
    <row r="66" spans="1:9" x14ac:dyDescent="0.45">
      <c r="A66" t="s">
        <v>1020</v>
      </c>
      <c r="B66" t="s">
        <v>5652</v>
      </c>
      <c r="C66" t="s">
        <v>5653</v>
      </c>
      <c r="D66">
        <v>1</v>
      </c>
      <c r="E66">
        <v>2</v>
      </c>
      <c r="G66" t="s">
        <v>5652</v>
      </c>
      <c r="H66" t="s">
        <v>5653</v>
      </c>
      <c r="I66">
        <v>-1</v>
      </c>
    </row>
    <row r="67" spans="1:9" x14ac:dyDescent="0.45">
      <c r="A67" t="s">
        <v>1020</v>
      </c>
      <c r="B67" t="s">
        <v>5654</v>
      </c>
      <c r="C67" t="s">
        <v>5655</v>
      </c>
      <c r="D67">
        <v>1</v>
      </c>
      <c r="E67">
        <v>2</v>
      </c>
      <c r="G67" t="s">
        <v>5654</v>
      </c>
      <c r="H67" t="s">
        <v>5655</v>
      </c>
      <c r="I67">
        <v>-1</v>
      </c>
    </row>
    <row r="68" spans="1:9" x14ac:dyDescent="0.45">
      <c r="A68" t="s">
        <v>1020</v>
      </c>
      <c r="B68" t="s">
        <v>5656</v>
      </c>
      <c r="C68" t="s">
        <v>5657</v>
      </c>
      <c r="D68">
        <v>1</v>
      </c>
      <c r="E68">
        <v>2</v>
      </c>
      <c r="G68" t="s">
        <v>5656</v>
      </c>
      <c r="H68" t="s">
        <v>5657</v>
      </c>
      <c r="I68">
        <v>-1</v>
      </c>
    </row>
    <row r="69" spans="1:9" x14ac:dyDescent="0.45">
      <c r="A69" t="s">
        <v>1020</v>
      </c>
      <c r="B69" t="s">
        <v>5658</v>
      </c>
      <c r="C69" t="s">
        <v>5659</v>
      </c>
      <c r="D69">
        <v>1</v>
      </c>
      <c r="E69">
        <v>2</v>
      </c>
      <c r="G69" t="s">
        <v>5658</v>
      </c>
      <c r="H69" t="s">
        <v>5659</v>
      </c>
      <c r="I69">
        <v>-1</v>
      </c>
    </row>
    <row r="70" spans="1:9" x14ac:dyDescent="0.45">
      <c r="A70" t="s">
        <v>1020</v>
      </c>
      <c r="B70" t="s">
        <v>5660</v>
      </c>
      <c r="C70" t="s">
        <v>5661</v>
      </c>
      <c r="D70">
        <v>1</v>
      </c>
      <c r="E70">
        <v>2</v>
      </c>
      <c r="G70" t="s">
        <v>5660</v>
      </c>
      <c r="H70" t="s">
        <v>5661</v>
      </c>
      <c r="I70">
        <v>-1</v>
      </c>
    </row>
    <row r="71" spans="1:9" x14ac:dyDescent="0.45">
      <c r="A71" t="s">
        <v>1020</v>
      </c>
      <c r="B71" t="s">
        <v>5662</v>
      </c>
      <c r="C71" t="s">
        <v>5663</v>
      </c>
      <c r="D71">
        <v>1</v>
      </c>
      <c r="E71">
        <v>2</v>
      </c>
      <c r="G71" t="s">
        <v>5662</v>
      </c>
      <c r="H71" t="s">
        <v>5663</v>
      </c>
      <c r="I71">
        <v>-1</v>
      </c>
    </row>
    <row r="72" spans="1:9" x14ac:dyDescent="0.45">
      <c r="A72" t="s">
        <v>1020</v>
      </c>
      <c r="B72" t="s">
        <v>5664</v>
      </c>
      <c r="C72" t="s">
        <v>5665</v>
      </c>
      <c r="D72">
        <v>1</v>
      </c>
      <c r="E72">
        <v>2</v>
      </c>
      <c r="G72" t="s">
        <v>5664</v>
      </c>
      <c r="H72" t="s">
        <v>5665</v>
      </c>
      <c r="I72">
        <v>-1</v>
      </c>
    </row>
    <row r="73" spans="1:9" x14ac:dyDescent="0.45">
      <c r="A73" t="s">
        <v>1020</v>
      </c>
      <c r="B73" t="s">
        <v>5666</v>
      </c>
      <c r="C73" t="s">
        <v>5667</v>
      </c>
      <c r="D73">
        <v>1</v>
      </c>
      <c r="E73">
        <v>2</v>
      </c>
      <c r="G73" t="s">
        <v>5666</v>
      </c>
      <c r="H73" t="s">
        <v>5667</v>
      </c>
      <c r="I73">
        <v>-1</v>
      </c>
    </row>
    <row r="74" spans="1:9" x14ac:dyDescent="0.45">
      <c r="A74" t="s">
        <v>1020</v>
      </c>
      <c r="B74" t="s">
        <v>5668</v>
      </c>
      <c r="C74" t="s">
        <v>5669</v>
      </c>
      <c r="D74">
        <v>1</v>
      </c>
      <c r="E74">
        <v>2</v>
      </c>
      <c r="G74" t="s">
        <v>5668</v>
      </c>
      <c r="H74" t="s">
        <v>5669</v>
      </c>
      <c r="I74">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250F3-06D0-4B56-953B-7F6D3BF793B7}">
  <dimension ref="B9:L64"/>
  <sheetViews>
    <sheetView workbookViewId="0"/>
  </sheetViews>
  <sheetFormatPr defaultRowHeight="14.25" x14ac:dyDescent="0.45"/>
  <sheetData>
    <row r="9" spans="2:12" x14ac:dyDescent="0.45">
      <c r="B9" t="s">
        <v>5686</v>
      </c>
    </row>
    <row r="10" spans="2:12" x14ac:dyDescent="0.45">
      <c r="B10" t="s">
        <v>5687</v>
      </c>
      <c r="C10" t="s">
        <v>5688</v>
      </c>
      <c r="D10" t="s">
        <v>5689</v>
      </c>
      <c r="E10" t="s">
        <v>5690</v>
      </c>
      <c r="F10" t="s">
        <v>5691</v>
      </c>
      <c r="G10" t="s">
        <v>5692</v>
      </c>
      <c r="H10" t="s">
        <v>5693</v>
      </c>
      <c r="I10" t="s">
        <v>5694</v>
      </c>
      <c r="J10" t="s">
        <v>5695</v>
      </c>
      <c r="K10" t="s">
        <v>5696</v>
      </c>
      <c r="L10" t="s">
        <v>5697</v>
      </c>
    </row>
    <row r="11" spans="2:12" ht="409.5" x14ac:dyDescent="0.45">
      <c r="B11">
        <v>2028</v>
      </c>
      <c r="C11" t="s">
        <v>5698</v>
      </c>
      <c r="D11" t="s">
        <v>5699</v>
      </c>
      <c r="E11">
        <v>1.18</v>
      </c>
      <c r="F11" t="s">
        <v>5700</v>
      </c>
      <c r="G11" t="s">
        <v>5701</v>
      </c>
      <c r="H11" t="s">
        <v>5702</v>
      </c>
      <c r="I11" s="10">
        <v>43891</v>
      </c>
      <c r="J11" t="s">
        <v>5703</v>
      </c>
      <c r="K11" t="s">
        <v>5704</v>
      </c>
      <c r="L11" s="11" t="s">
        <v>5705</v>
      </c>
    </row>
    <row r="12" spans="2:12" x14ac:dyDescent="0.45">
      <c r="B12">
        <v>2030</v>
      </c>
      <c r="C12" t="s">
        <v>5698</v>
      </c>
      <c r="D12" t="s">
        <v>5699</v>
      </c>
      <c r="E12">
        <v>0</v>
      </c>
      <c r="F12" t="s">
        <v>5700</v>
      </c>
      <c r="G12" t="s">
        <v>5706</v>
      </c>
      <c r="H12" t="s">
        <v>5702</v>
      </c>
      <c r="I12" s="10">
        <v>45251</v>
      </c>
      <c r="J12" t="s">
        <v>5707</v>
      </c>
      <c r="K12" t="s">
        <v>5708</v>
      </c>
      <c r="L12" t="s">
        <v>5709</v>
      </c>
    </row>
    <row r="13" spans="2:12" ht="409.5" x14ac:dyDescent="0.45">
      <c r="B13">
        <v>2028</v>
      </c>
      <c r="C13" t="s">
        <v>5710</v>
      </c>
      <c r="D13" t="s">
        <v>5699</v>
      </c>
      <c r="E13">
        <v>26.4</v>
      </c>
      <c r="F13" t="s">
        <v>5700</v>
      </c>
      <c r="G13" t="s">
        <v>5701</v>
      </c>
      <c r="H13" t="s">
        <v>5702</v>
      </c>
      <c r="I13" s="10">
        <v>43891</v>
      </c>
      <c r="J13" t="s">
        <v>5703</v>
      </c>
      <c r="K13" t="s">
        <v>5704</v>
      </c>
      <c r="L13" s="11" t="s">
        <v>5705</v>
      </c>
    </row>
    <row r="14" spans="2:12" ht="409.5" x14ac:dyDescent="0.45">
      <c r="B14">
        <v>2030</v>
      </c>
      <c r="C14" t="s">
        <v>5710</v>
      </c>
      <c r="D14" t="s">
        <v>5699</v>
      </c>
      <c r="E14">
        <v>0</v>
      </c>
      <c r="F14" t="s">
        <v>5700</v>
      </c>
      <c r="G14" t="s">
        <v>5706</v>
      </c>
      <c r="H14" t="s">
        <v>5702</v>
      </c>
      <c r="I14" s="10">
        <v>45483</v>
      </c>
      <c r="J14" t="s">
        <v>5711</v>
      </c>
      <c r="K14" t="s">
        <v>5712</v>
      </c>
      <c r="L14" s="11" t="s">
        <v>5713</v>
      </c>
    </row>
    <row r="15" spans="2:12" x14ac:dyDescent="0.45">
      <c r="B15">
        <v>2030</v>
      </c>
      <c r="C15" t="s">
        <v>5710</v>
      </c>
      <c r="D15" t="s">
        <v>5699</v>
      </c>
      <c r="E15">
        <v>26.3</v>
      </c>
      <c r="F15" t="s">
        <v>5700</v>
      </c>
      <c r="G15" t="s">
        <v>5706</v>
      </c>
      <c r="H15" t="s">
        <v>5702</v>
      </c>
      <c r="I15" s="10">
        <v>45251</v>
      </c>
      <c r="J15" t="s">
        <v>5707</v>
      </c>
      <c r="K15" t="s">
        <v>5708</v>
      </c>
      <c r="L15" t="s">
        <v>5709</v>
      </c>
    </row>
    <row r="16" spans="2:12" ht="409.5" x14ac:dyDescent="0.45">
      <c r="B16">
        <v>2028</v>
      </c>
      <c r="C16" t="s">
        <v>5714</v>
      </c>
      <c r="D16" t="s">
        <v>5699</v>
      </c>
      <c r="E16">
        <v>5.2</v>
      </c>
      <c r="F16" t="s">
        <v>5700</v>
      </c>
      <c r="G16" t="s">
        <v>5701</v>
      </c>
      <c r="H16" t="s">
        <v>5702</v>
      </c>
      <c r="I16" s="10">
        <v>43891</v>
      </c>
      <c r="J16" t="s">
        <v>5703</v>
      </c>
      <c r="K16" t="s">
        <v>5704</v>
      </c>
      <c r="L16" s="11" t="s">
        <v>5705</v>
      </c>
    </row>
    <row r="17" spans="2:12" ht="409.5" x14ac:dyDescent="0.45">
      <c r="B17">
        <v>2030</v>
      </c>
      <c r="C17" t="s">
        <v>5714</v>
      </c>
      <c r="D17" t="s">
        <v>5699</v>
      </c>
      <c r="E17">
        <v>3.6</v>
      </c>
      <c r="F17" t="s">
        <v>5700</v>
      </c>
      <c r="G17" t="s">
        <v>5706</v>
      </c>
      <c r="H17" t="s">
        <v>5702</v>
      </c>
      <c r="I17" s="10">
        <v>45483</v>
      </c>
      <c r="J17" t="s">
        <v>5711</v>
      </c>
      <c r="K17" t="s">
        <v>5712</v>
      </c>
      <c r="L17" s="11" t="s">
        <v>5713</v>
      </c>
    </row>
    <row r="18" spans="2:12" ht="171" x14ac:dyDescent="0.45">
      <c r="B18">
        <v>2030</v>
      </c>
      <c r="C18" t="s">
        <v>5714</v>
      </c>
      <c r="D18" t="s">
        <v>5699</v>
      </c>
      <c r="E18">
        <v>3.6</v>
      </c>
      <c r="F18" t="s">
        <v>5700</v>
      </c>
      <c r="G18" t="s">
        <v>5715</v>
      </c>
      <c r="H18" t="s">
        <v>5716</v>
      </c>
      <c r="I18" s="10">
        <v>45108</v>
      </c>
      <c r="J18" t="s">
        <v>5717</v>
      </c>
      <c r="K18" t="s">
        <v>5718</v>
      </c>
      <c r="L18" s="11" t="s">
        <v>5719</v>
      </c>
    </row>
    <row r="19" spans="2:12" x14ac:dyDescent="0.45">
      <c r="B19">
        <v>2030</v>
      </c>
      <c r="C19" t="s">
        <v>5714</v>
      </c>
      <c r="D19" t="s">
        <v>5699</v>
      </c>
      <c r="E19">
        <v>3.6</v>
      </c>
      <c r="F19" t="s">
        <v>5700</v>
      </c>
      <c r="G19" t="s">
        <v>5706</v>
      </c>
      <c r="H19" t="s">
        <v>5702</v>
      </c>
      <c r="I19" s="10">
        <v>45251</v>
      </c>
      <c r="J19" t="s">
        <v>5707</v>
      </c>
      <c r="K19" t="s">
        <v>5708</v>
      </c>
      <c r="L19" t="s">
        <v>5709</v>
      </c>
    </row>
    <row r="20" spans="2:12" x14ac:dyDescent="0.45">
      <c r="B20">
        <v>2030</v>
      </c>
      <c r="C20" t="s">
        <v>5720</v>
      </c>
      <c r="D20" t="s">
        <v>5699</v>
      </c>
      <c r="E20">
        <v>33</v>
      </c>
      <c r="F20" t="s">
        <v>5700</v>
      </c>
      <c r="G20" t="s">
        <v>5706</v>
      </c>
      <c r="H20" t="s">
        <v>5702</v>
      </c>
      <c r="I20" s="10">
        <v>45251</v>
      </c>
      <c r="J20" t="s">
        <v>5707</v>
      </c>
      <c r="K20" t="s">
        <v>5708</v>
      </c>
      <c r="L20" t="s">
        <v>5709</v>
      </c>
    </row>
    <row r="21" spans="2:12" ht="409.5" x14ac:dyDescent="0.45">
      <c r="B21">
        <v>2030</v>
      </c>
      <c r="C21" t="s">
        <v>5720</v>
      </c>
      <c r="D21" t="s">
        <v>5699</v>
      </c>
      <c r="E21">
        <v>33</v>
      </c>
      <c r="F21" t="s">
        <v>5700</v>
      </c>
      <c r="G21" t="s">
        <v>5706</v>
      </c>
      <c r="H21" t="s">
        <v>5702</v>
      </c>
      <c r="I21" s="10">
        <v>45483</v>
      </c>
      <c r="J21" t="s">
        <v>5711</v>
      </c>
      <c r="K21" t="s">
        <v>5712</v>
      </c>
      <c r="L21" s="11" t="s">
        <v>5713</v>
      </c>
    </row>
    <row r="22" spans="2:12" ht="171" x14ac:dyDescent="0.45">
      <c r="B22">
        <v>2030</v>
      </c>
      <c r="C22" t="s">
        <v>5720</v>
      </c>
      <c r="D22" t="s">
        <v>5699</v>
      </c>
      <c r="E22">
        <v>30</v>
      </c>
      <c r="F22" t="s">
        <v>5700</v>
      </c>
      <c r="G22" t="s">
        <v>5715</v>
      </c>
      <c r="H22" t="s">
        <v>5716</v>
      </c>
      <c r="I22" s="10">
        <v>45108</v>
      </c>
      <c r="J22" t="s">
        <v>5717</v>
      </c>
      <c r="K22" t="s">
        <v>5718</v>
      </c>
      <c r="L22" s="11" t="s">
        <v>5719</v>
      </c>
    </row>
    <row r="23" spans="2:12" ht="409.5" x14ac:dyDescent="0.45">
      <c r="B23">
        <v>2028</v>
      </c>
      <c r="C23" t="s">
        <v>5720</v>
      </c>
      <c r="D23" t="s">
        <v>5699</v>
      </c>
      <c r="E23">
        <v>33.200000000000003</v>
      </c>
      <c r="F23" t="s">
        <v>5700</v>
      </c>
      <c r="G23" t="s">
        <v>5701</v>
      </c>
      <c r="H23" t="s">
        <v>5702</v>
      </c>
      <c r="I23" s="10">
        <v>43891</v>
      </c>
      <c r="J23" t="s">
        <v>5703</v>
      </c>
      <c r="K23" t="s">
        <v>5704</v>
      </c>
      <c r="L23" s="11" t="s">
        <v>5705</v>
      </c>
    </row>
    <row r="24" spans="2:12" ht="409.5" x14ac:dyDescent="0.45">
      <c r="B24">
        <v>2028</v>
      </c>
      <c r="C24" t="s">
        <v>5721</v>
      </c>
      <c r="D24" t="s">
        <v>5699</v>
      </c>
      <c r="E24">
        <v>2.4E-2</v>
      </c>
      <c r="F24" t="s">
        <v>5700</v>
      </c>
      <c r="G24" t="s">
        <v>5701</v>
      </c>
      <c r="H24" t="s">
        <v>5702</v>
      </c>
      <c r="I24" s="10">
        <v>43891</v>
      </c>
      <c r="J24" t="s">
        <v>5703</v>
      </c>
      <c r="K24" t="s">
        <v>5704</v>
      </c>
      <c r="L24" s="11" t="s">
        <v>5705</v>
      </c>
    </row>
    <row r="25" spans="2:12" ht="409.5" x14ac:dyDescent="0.45">
      <c r="B25">
        <v>2028</v>
      </c>
      <c r="C25" t="s">
        <v>5722</v>
      </c>
      <c r="D25" t="s">
        <v>5699</v>
      </c>
      <c r="E25">
        <v>35.1</v>
      </c>
      <c r="F25" t="s">
        <v>5700</v>
      </c>
      <c r="G25" t="s">
        <v>5701</v>
      </c>
      <c r="H25" t="s">
        <v>5702</v>
      </c>
      <c r="I25" s="10">
        <v>43891</v>
      </c>
      <c r="J25" t="s">
        <v>5703</v>
      </c>
      <c r="K25" t="s">
        <v>5704</v>
      </c>
      <c r="L25" s="11" t="s">
        <v>5705</v>
      </c>
    </row>
    <row r="26" spans="2:12" ht="409.5" x14ac:dyDescent="0.45">
      <c r="B26">
        <v>2030</v>
      </c>
      <c r="C26" t="s">
        <v>5722</v>
      </c>
      <c r="D26" t="s">
        <v>5699</v>
      </c>
      <c r="E26">
        <v>54</v>
      </c>
      <c r="F26" t="s">
        <v>5700</v>
      </c>
      <c r="G26" t="s">
        <v>5706</v>
      </c>
      <c r="H26" t="s">
        <v>5702</v>
      </c>
      <c r="I26" s="10">
        <v>45483</v>
      </c>
      <c r="J26" t="s">
        <v>5711</v>
      </c>
      <c r="K26" t="s">
        <v>5712</v>
      </c>
      <c r="L26" s="11" t="s">
        <v>5713</v>
      </c>
    </row>
    <row r="27" spans="2:12" ht="171" x14ac:dyDescent="0.45">
      <c r="B27">
        <v>2030</v>
      </c>
      <c r="C27" t="s">
        <v>5722</v>
      </c>
      <c r="D27" t="s">
        <v>5699</v>
      </c>
      <c r="E27">
        <v>52</v>
      </c>
      <c r="F27" t="s">
        <v>5700</v>
      </c>
      <c r="G27" t="s">
        <v>5715</v>
      </c>
      <c r="H27" t="s">
        <v>5716</v>
      </c>
      <c r="I27" s="10">
        <v>45108</v>
      </c>
      <c r="J27" t="s">
        <v>5717</v>
      </c>
      <c r="K27" t="s">
        <v>5718</v>
      </c>
      <c r="L27" s="11" t="s">
        <v>5719</v>
      </c>
    </row>
    <row r="28" spans="2:12" x14ac:dyDescent="0.45">
      <c r="B28">
        <v>2030</v>
      </c>
      <c r="C28" t="s">
        <v>5722</v>
      </c>
      <c r="D28" t="s">
        <v>5699</v>
      </c>
      <c r="E28">
        <v>54</v>
      </c>
      <c r="F28" t="s">
        <v>5700</v>
      </c>
      <c r="G28" t="s">
        <v>5706</v>
      </c>
      <c r="H28" t="s">
        <v>5702</v>
      </c>
      <c r="I28" s="10">
        <v>45251</v>
      </c>
      <c r="J28" t="s">
        <v>5707</v>
      </c>
      <c r="K28" t="s">
        <v>5708</v>
      </c>
      <c r="L28" t="s">
        <v>5709</v>
      </c>
    </row>
    <row r="29" spans="2:12" ht="409.5" x14ac:dyDescent="0.45">
      <c r="B29">
        <v>2030</v>
      </c>
      <c r="C29" t="s">
        <v>5723</v>
      </c>
      <c r="D29" t="s">
        <v>5724</v>
      </c>
      <c r="E29">
        <v>22.51</v>
      </c>
      <c r="F29" t="s">
        <v>5700</v>
      </c>
      <c r="G29" t="s">
        <v>5706</v>
      </c>
      <c r="H29" t="s">
        <v>5702</v>
      </c>
      <c r="I29" s="10">
        <v>45483</v>
      </c>
      <c r="J29" t="s">
        <v>5711</v>
      </c>
      <c r="K29" t="s">
        <v>5712</v>
      </c>
      <c r="L29" s="11" t="s">
        <v>5713</v>
      </c>
    </row>
    <row r="30" spans="2:12" x14ac:dyDescent="0.45">
      <c r="B30">
        <v>2030</v>
      </c>
      <c r="C30" t="s">
        <v>5725</v>
      </c>
      <c r="D30" t="s">
        <v>5724</v>
      </c>
      <c r="E30">
        <v>27</v>
      </c>
      <c r="F30" t="s">
        <v>5700</v>
      </c>
      <c r="G30" t="s">
        <v>5726</v>
      </c>
      <c r="H30" t="s">
        <v>5702</v>
      </c>
      <c r="I30" s="10">
        <v>45089</v>
      </c>
      <c r="J30" t="s">
        <v>5727</v>
      </c>
      <c r="K30" t="s">
        <v>5728</v>
      </c>
      <c r="L30" t="s">
        <v>5729</v>
      </c>
    </row>
    <row r="31" spans="2:12" x14ac:dyDescent="0.45">
      <c r="B31">
        <v>2030</v>
      </c>
      <c r="C31" t="s">
        <v>5725</v>
      </c>
      <c r="D31" t="s">
        <v>5724</v>
      </c>
      <c r="F31" t="s">
        <v>5700</v>
      </c>
      <c r="G31" t="s">
        <v>5706</v>
      </c>
      <c r="H31" t="s">
        <v>5702</v>
      </c>
      <c r="I31" s="10">
        <v>45251</v>
      </c>
      <c r="J31" t="s">
        <v>5707</v>
      </c>
      <c r="K31" t="s">
        <v>5708</v>
      </c>
      <c r="L31" t="s">
        <v>5709</v>
      </c>
    </row>
    <row r="32" spans="2:12" x14ac:dyDescent="0.45">
      <c r="B32">
        <v>2030</v>
      </c>
      <c r="C32" t="s">
        <v>5710</v>
      </c>
      <c r="D32" t="s">
        <v>5724</v>
      </c>
      <c r="E32">
        <v>58</v>
      </c>
      <c r="F32" t="s">
        <v>5700</v>
      </c>
      <c r="G32" t="s">
        <v>5726</v>
      </c>
      <c r="H32" t="s">
        <v>5702</v>
      </c>
      <c r="I32" s="10">
        <v>45089</v>
      </c>
      <c r="J32" t="s">
        <v>5727</v>
      </c>
      <c r="K32" t="s">
        <v>5728</v>
      </c>
      <c r="L32" t="s">
        <v>5729</v>
      </c>
    </row>
    <row r="33" spans="2:12" ht="409.5" x14ac:dyDescent="0.45">
      <c r="B33">
        <v>2030</v>
      </c>
      <c r="C33" t="s">
        <v>5710</v>
      </c>
      <c r="D33" t="s">
        <v>5724</v>
      </c>
      <c r="E33">
        <v>54</v>
      </c>
      <c r="F33" t="s">
        <v>5700</v>
      </c>
      <c r="G33" t="s">
        <v>5706</v>
      </c>
      <c r="H33" t="s">
        <v>5702</v>
      </c>
      <c r="I33" s="10">
        <v>45483</v>
      </c>
      <c r="J33" t="s">
        <v>5711</v>
      </c>
      <c r="K33" t="s">
        <v>5712</v>
      </c>
      <c r="L33" s="11" t="s">
        <v>5713</v>
      </c>
    </row>
    <row r="34" spans="2:12" x14ac:dyDescent="0.45">
      <c r="B34">
        <v>2030</v>
      </c>
      <c r="C34" t="s">
        <v>5710</v>
      </c>
      <c r="D34" t="s">
        <v>5724</v>
      </c>
      <c r="E34">
        <v>14</v>
      </c>
      <c r="F34" t="s">
        <v>5700</v>
      </c>
      <c r="G34" t="s">
        <v>5706</v>
      </c>
      <c r="H34" t="s">
        <v>5702</v>
      </c>
      <c r="I34" s="10">
        <v>45251</v>
      </c>
      <c r="J34" t="s">
        <v>5707</v>
      </c>
      <c r="K34" t="s">
        <v>5708</v>
      </c>
      <c r="L34" t="s">
        <v>5709</v>
      </c>
    </row>
    <row r="35" spans="2:12" x14ac:dyDescent="0.45">
      <c r="B35">
        <v>2030</v>
      </c>
      <c r="C35" t="s">
        <v>5730</v>
      </c>
      <c r="D35" t="s">
        <v>5724</v>
      </c>
      <c r="E35">
        <v>361</v>
      </c>
      <c r="F35" t="s">
        <v>5700</v>
      </c>
      <c r="G35" t="s">
        <v>5726</v>
      </c>
      <c r="H35" t="s">
        <v>5702</v>
      </c>
      <c r="I35" s="10">
        <v>45089</v>
      </c>
      <c r="J35" t="s">
        <v>5727</v>
      </c>
      <c r="K35" t="s">
        <v>5728</v>
      </c>
      <c r="L35" t="s">
        <v>5729</v>
      </c>
    </row>
    <row r="36" spans="2:12" ht="409.5" x14ac:dyDescent="0.45">
      <c r="B36">
        <v>2030</v>
      </c>
      <c r="C36" t="s">
        <v>5730</v>
      </c>
      <c r="D36" t="s">
        <v>5724</v>
      </c>
      <c r="E36">
        <v>343.34</v>
      </c>
      <c r="F36" t="s">
        <v>5700</v>
      </c>
      <c r="G36" t="s">
        <v>5706</v>
      </c>
      <c r="H36" t="s">
        <v>5702</v>
      </c>
      <c r="I36" s="10">
        <v>45483</v>
      </c>
      <c r="J36" t="s">
        <v>5711</v>
      </c>
      <c r="K36" t="s">
        <v>5712</v>
      </c>
      <c r="L36" s="11" t="s">
        <v>5713</v>
      </c>
    </row>
    <row r="37" spans="2:12" ht="409.5" x14ac:dyDescent="0.45">
      <c r="B37">
        <v>2030</v>
      </c>
      <c r="C37" t="s">
        <v>5714</v>
      </c>
      <c r="D37" t="s">
        <v>5724</v>
      </c>
      <c r="E37">
        <v>14</v>
      </c>
      <c r="F37" t="s">
        <v>5700</v>
      </c>
      <c r="G37" t="s">
        <v>5706</v>
      </c>
      <c r="H37" t="s">
        <v>5702</v>
      </c>
      <c r="I37" s="10">
        <v>45483</v>
      </c>
      <c r="J37" t="s">
        <v>5711</v>
      </c>
      <c r="K37" t="s">
        <v>5712</v>
      </c>
      <c r="L37" s="11" t="s">
        <v>5713</v>
      </c>
    </row>
    <row r="38" spans="2:12" x14ac:dyDescent="0.45">
      <c r="B38">
        <v>2030</v>
      </c>
      <c r="C38" t="s">
        <v>5714</v>
      </c>
      <c r="D38" t="s">
        <v>5724</v>
      </c>
      <c r="E38">
        <v>54</v>
      </c>
      <c r="F38" t="s">
        <v>5700</v>
      </c>
      <c r="G38" t="s">
        <v>5706</v>
      </c>
      <c r="H38" t="s">
        <v>5702</v>
      </c>
      <c r="I38" s="10">
        <v>45251</v>
      </c>
      <c r="J38" t="s">
        <v>5707</v>
      </c>
      <c r="K38" t="s">
        <v>5708</v>
      </c>
      <c r="L38" t="s">
        <v>5709</v>
      </c>
    </row>
    <row r="39" spans="2:12" x14ac:dyDescent="0.45">
      <c r="B39">
        <v>2030</v>
      </c>
      <c r="C39" t="s">
        <v>5714</v>
      </c>
      <c r="D39" t="s">
        <v>5724</v>
      </c>
      <c r="E39">
        <v>18</v>
      </c>
      <c r="F39" t="s">
        <v>5700</v>
      </c>
      <c r="G39" t="s">
        <v>5726</v>
      </c>
      <c r="H39" t="s">
        <v>5702</v>
      </c>
      <c r="I39" s="10">
        <v>45089</v>
      </c>
      <c r="J39" t="s">
        <v>5727</v>
      </c>
      <c r="K39" t="s">
        <v>5728</v>
      </c>
      <c r="L39" t="s">
        <v>5729</v>
      </c>
    </row>
    <row r="40" spans="2:12" x14ac:dyDescent="0.45">
      <c r="B40">
        <v>2030</v>
      </c>
      <c r="C40" t="s">
        <v>5720</v>
      </c>
      <c r="D40" t="s">
        <v>5724</v>
      </c>
      <c r="E40">
        <v>64</v>
      </c>
      <c r="F40" t="s">
        <v>5700</v>
      </c>
      <c r="G40" t="s">
        <v>5706</v>
      </c>
      <c r="H40" t="s">
        <v>5702</v>
      </c>
      <c r="I40" s="10">
        <v>45251</v>
      </c>
      <c r="J40" t="s">
        <v>5707</v>
      </c>
      <c r="K40" t="s">
        <v>5708</v>
      </c>
      <c r="L40" t="s">
        <v>5709</v>
      </c>
    </row>
    <row r="41" spans="2:12" ht="409.5" x14ac:dyDescent="0.45">
      <c r="B41">
        <v>2030</v>
      </c>
      <c r="C41" t="s">
        <v>5720</v>
      </c>
      <c r="D41" t="s">
        <v>5724</v>
      </c>
      <c r="E41">
        <v>64</v>
      </c>
      <c r="F41" t="s">
        <v>5700</v>
      </c>
      <c r="G41" t="s">
        <v>5706</v>
      </c>
      <c r="H41" t="s">
        <v>5702</v>
      </c>
      <c r="I41" s="10">
        <v>45483</v>
      </c>
      <c r="J41" t="s">
        <v>5711</v>
      </c>
      <c r="K41" t="s">
        <v>5712</v>
      </c>
      <c r="L41" s="11" t="s">
        <v>5713</v>
      </c>
    </row>
    <row r="42" spans="2:12" x14ac:dyDescent="0.45">
      <c r="B42">
        <v>2030</v>
      </c>
      <c r="C42" t="s">
        <v>5720</v>
      </c>
      <c r="D42" t="s">
        <v>5724</v>
      </c>
      <c r="E42">
        <v>65</v>
      </c>
      <c r="F42" t="s">
        <v>5700</v>
      </c>
      <c r="G42" t="s">
        <v>5726</v>
      </c>
      <c r="H42" t="s">
        <v>5702</v>
      </c>
      <c r="I42" s="10">
        <v>45089</v>
      </c>
      <c r="J42" t="s">
        <v>5727</v>
      </c>
      <c r="K42" t="s">
        <v>5728</v>
      </c>
      <c r="L42" t="s">
        <v>5729</v>
      </c>
    </row>
    <row r="43" spans="2:12" x14ac:dyDescent="0.45">
      <c r="B43">
        <v>2030</v>
      </c>
      <c r="C43" t="s">
        <v>5721</v>
      </c>
      <c r="D43" t="s">
        <v>5724</v>
      </c>
      <c r="F43" t="s">
        <v>5700</v>
      </c>
      <c r="G43" t="s">
        <v>5706</v>
      </c>
      <c r="H43" t="s">
        <v>5702</v>
      </c>
      <c r="I43" s="10">
        <v>45251</v>
      </c>
      <c r="J43" t="s">
        <v>5707</v>
      </c>
      <c r="K43" t="s">
        <v>5708</v>
      </c>
      <c r="L43" t="s">
        <v>5709</v>
      </c>
    </row>
    <row r="44" spans="2:12" x14ac:dyDescent="0.45">
      <c r="B44">
        <v>2030</v>
      </c>
      <c r="C44" t="s">
        <v>5721</v>
      </c>
      <c r="D44" t="s">
        <v>5724</v>
      </c>
      <c r="E44">
        <v>10</v>
      </c>
      <c r="F44" t="s">
        <v>5700</v>
      </c>
      <c r="G44" t="s">
        <v>5726</v>
      </c>
      <c r="H44" t="s">
        <v>5702</v>
      </c>
      <c r="I44" s="10">
        <v>45089</v>
      </c>
      <c r="J44" t="s">
        <v>5727</v>
      </c>
      <c r="K44" t="s">
        <v>5728</v>
      </c>
      <c r="L44" t="s">
        <v>5729</v>
      </c>
    </row>
    <row r="45" spans="2:12" x14ac:dyDescent="0.45">
      <c r="B45">
        <v>2030</v>
      </c>
      <c r="C45" t="s">
        <v>5722</v>
      </c>
      <c r="D45" t="s">
        <v>5724</v>
      </c>
      <c r="E45">
        <v>65</v>
      </c>
      <c r="F45" t="s">
        <v>5700</v>
      </c>
      <c r="G45" t="s">
        <v>5706</v>
      </c>
      <c r="H45" t="s">
        <v>5702</v>
      </c>
      <c r="I45" s="10">
        <v>45251</v>
      </c>
      <c r="J45" t="s">
        <v>5707</v>
      </c>
      <c r="K45" t="s">
        <v>5708</v>
      </c>
      <c r="L45" t="s">
        <v>5709</v>
      </c>
    </row>
    <row r="46" spans="2:12" ht="409.5" x14ac:dyDescent="0.45">
      <c r="B46">
        <v>2030</v>
      </c>
      <c r="C46" t="s">
        <v>5722</v>
      </c>
      <c r="D46" t="s">
        <v>5724</v>
      </c>
      <c r="E46">
        <v>65</v>
      </c>
      <c r="F46" t="s">
        <v>5700</v>
      </c>
      <c r="G46" t="s">
        <v>5706</v>
      </c>
      <c r="H46" t="s">
        <v>5702</v>
      </c>
      <c r="I46" s="10">
        <v>45483</v>
      </c>
      <c r="J46" t="s">
        <v>5711</v>
      </c>
      <c r="K46" t="s">
        <v>5712</v>
      </c>
      <c r="L46" s="11" t="s">
        <v>5713</v>
      </c>
    </row>
    <row r="47" spans="2:12" x14ac:dyDescent="0.45">
      <c r="B47">
        <v>2030</v>
      </c>
      <c r="C47" t="s">
        <v>5722</v>
      </c>
      <c r="D47" t="s">
        <v>5724</v>
      </c>
      <c r="E47">
        <v>53</v>
      </c>
      <c r="F47" t="s">
        <v>5700</v>
      </c>
      <c r="G47" t="s">
        <v>5726</v>
      </c>
      <c r="H47" t="s">
        <v>5702</v>
      </c>
      <c r="I47" s="10">
        <v>45089</v>
      </c>
      <c r="J47" t="s">
        <v>5727</v>
      </c>
      <c r="K47" t="s">
        <v>5728</v>
      </c>
      <c r="L47" t="s">
        <v>5729</v>
      </c>
    </row>
    <row r="48" spans="2:12" ht="409.5" x14ac:dyDescent="0.45">
      <c r="B48">
        <v>2030</v>
      </c>
      <c r="C48" t="s">
        <v>5723</v>
      </c>
      <c r="D48" t="s">
        <v>5731</v>
      </c>
      <c r="E48">
        <v>4</v>
      </c>
      <c r="F48" t="s">
        <v>5700</v>
      </c>
      <c r="G48" t="s">
        <v>5706</v>
      </c>
      <c r="H48" t="s">
        <v>5702</v>
      </c>
      <c r="I48" s="10">
        <v>45483</v>
      </c>
      <c r="J48" t="s">
        <v>5711</v>
      </c>
      <c r="K48" t="s">
        <v>5712</v>
      </c>
      <c r="L48" s="11" t="s">
        <v>5713</v>
      </c>
    </row>
    <row r="49" spans="2:12" x14ac:dyDescent="0.45">
      <c r="B49">
        <v>2030</v>
      </c>
      <c r="C49" t="s">
        <v>5725</v>
      </c>
      <c r="D49" t="s">
        <v>5731</v>
      </c>
      <c r="E49">
        <v>4.5599999999999996</v>
      </c>
      <c r="F49" t="s">
        <v>5700</v>
      </c>
      <c r="G49" t="s">
        <v>5726</v>
      </c>
      <c r="H49" t="s">
        <v>5702</v>
      </c>
      <c r="I49" s="10">
        <v>45089</v>
      </c>
      <c r="J49" t="s">
        <v>5727</v>
      </c>
      <c r="K49" t="s">
        <v>5728</v>
      </c>
      <c r="L49" t="s">
        <v>5729</v>
      </c>
    </row>
    <row r="50" spans="2:12" ht="409.5" x14ac:dyDescent="0.45">
      <c r="B50">
        <v>2030</v>
      </c>
      <c r="C50" t="s">
        <v>5725</v>
      </c>
      <c r="D50" t="s">
        <v>5731</v>
      </c>
      <c r="F50" t="s">
        <v>5700</v>
      </c>
      <c r="G50" t="s">
        <v>5706</v>
      </c>
      <c r="H50" t="s">
        <v>5702</v>
      </c>
      <c r="I50" s="10">
        <v>45483</v>
      </c>
      <c r="J50" t="s">
        <v>5711</v>
      </c>
      <c r="K50" t="s">
        <v>5712</v>
      </c>
      <c r="L50" s="11" t="s">
        <v>5713</v>
      </c>
    </row>
    <row r="51" spans="2:12" ht="409.5" x14ac:dyDescent="0.45">
      <c r="B51">
        <v>2030</v>
      </c>
      <c r="C51" t="s">
        <v>5710</v>
      </c>
      <c r="D51" t="s">
        <v>5731</v>
      </c>
      <c r="E51">
        <v>9.6</v>
      </c>
      <c r="F51" t="s">
        <v>5700</v>
      </c>
      <c r="G51" t="s">
        <v>5706</v>
      </c>
      <c r="H51" t="s">
        <v>5702</v>
      </c>
      <c r="I51" s="10">
        <v>45483</v>
      </c>
      <c r="J51" t="s">
        <v>5711</v>
      </c>
      <c r="K51" t="s">
        <v>5712</v>
      </c>
      <c r="L51" s="11" t="s">
        <v>5713</v>
      </c>
    </row>
    <row r="52" spans="2:12" x14ac:dyDescent="0.45">
      <c r="B52">
        <v>2030</v>
      </c>
      <c r="C52" t="s">
        <v>5710</v>
      </c>
      <c r="D52" t="s">
        <v>5731</v>
      </c>
      <c r="E52">
        <v>9.8000000000000007</v>
      </c>
      <c r="F52" t="s">
        <v>5700</v>
      </c>
      <c r="G52" t="s">
        <v>5726</v>
      </c>
      <c r="H52" t="s">
        <v>5702</v>
      </c>
      <c r="I52" s="10">
        <v>45089</v>
      </c>
      <c r="J52" t="s">
        <v>5727</v>
      </c>
      <c r="K52" t="s">
        <v>5728</v>
      </c>
      <c r="L52" t="s">
        <v>5729</v>
      </c>
    </row>
    <row r="53" spans="2:12" ht="409.5" x14ac:dyDescent="0.45">
      <c r="B53">
        <v>2030</v>
      </c>
      <c r="C53" t="s">
        <v>5730</v>
      </c>
      <c r="D53" t="s">
        <v>5731</v>
      </c>
      <c r="E53">
        <v>61</v>
      </c>
      <c r="F53" t="s">
        <v>5700</v>
      </c>
      <c r="G53" t="s">
        <v>5706</v>
      </c>
      <c r="H53" t="s">
        <v>5702</v>
      </c>
      <c r="I53" s="10">
        <v>45483</v>
      </c>
      <c r="J53" t="s">
        <v>5711</v>
      </c>
      <c r="K53" t="s">
        <v>5712</v>
      </c>
      <c r="L53" s="11" t="s">
        <v>5713</v>
      </c>
    </row>
    <row r="54" spans="2:12" x14ac:dyDescent="0.45">
      <c r="B54">
        <v>2030</v>
      </c>
      <c r="C54" t="s">
        <v>5730</v>
      </c>
      <c r="D54" t="s">
        <v>5731</v>
      </c>
      <c r="E54">
        <v>60.98</v>
      </c>
      <c r="F54" t="s">
        <v>5700</v>
      </c>
      <c r="G54" t="s">
        <v>5726</v>
      </c>
      <c r="H54" t="s">
        <v>5702</v>
      </c>
      <c r="I54" s="10">
        <v>45089</v>
      </c>
      <c r="J54" t="s">
        <v>5727</v>
      </c>
      <c r="K54" t="s">
        <v>5728</v>
      </c>
      <c r="L54" t="s">
        <v>5729</v>
      </c>
    </row>
    <row r="55" spans="2:12" ht="409.5" x14ac:dyDescent="0.45">
      <c r="B55">
        <v>2030</v>
      </c>
      <c r="C55" t="s">
        <v>5714</v>
      </c>
      <c r="D55" t="s">
        <v>5731</v>
      </c>
      <c r="E55">
        <v>2.5</v>
      </c>
      <c r="F55" t="s">
        <v>5700</v>
      </c>
      <c r="G55" t="s">
        <v>5706</v>
      </c>
      <c r="H55" t="s">
        <v>5702</v>
      </c>
      <c r="I55" s="10">
        <v>45483</v>
      </c>
      <c r="J55" t="s">
        <v>5711</v>
      </c>
      <c r="K55" t="s">
        <v>5712</v>
      </c>
      <c r="L55" s="11" t="s">
        <v>5713</v>
      </c>
    </row>
    <row r="56" spans="2:12" x14ac:dyDescent="0.45">
      <c r="B56">
        <v>2030</v>
      </c>
      <c r="C56" t="s">
        <v>5714</v>
      </c>
      <c r="D56" t="s">
        <v>5731</v>
      </c>
      <c r="E56">
        <v>3.04</v>
      </c>
      <c r="F56" t="s">
        <v>5700</v>
      </c>
      <c r="G56" t="s">
        <v>5726</v>
      </c>
      <c r="H56" t="s">
        <v>5702</v>
      </c>
      <c r="I56" s="10">
        <v>45089</v>
      </c>
      <c r="J56" t="s">
        <v>5727</v>
      </c>
      <c r="K56" t="s">
        <v>5728</v>
      </c>
      <c r="L56" t="s">
        <v>5729</v>
      </c>
    </row>
    <row r="57" spans="2:12" x14ac:dyDescent="0.45">
      <c r="B57">
        <v>2030</v>
      </c>
      <c r="C57" t="s">
        <v>5720</v>
      </c>
      <c r="D57" t="s">
        <v>5731</v>
      </c>
      <c r="E57">
        <v>10.98</v>
      </c>
      <c r="F57" t="s">
        <v>5700</v>
      </c>
      <c r="G57" t="s">
        <v>5726</v>
      </c>
      <c r="H57" t="s">
        <v>5702</v>
      </c>
      <c r="I57" s="10">
        <v>45089</v>
      </c>
      <c r="J57" t="s">
        <v>5727</v>
      </c>
      <c r="K57" t="s">
        <v>5728</v>
      </c>
      <c r="L57" t="s">
        <v>5729</v>
      </c>
    </row>
    <row r="58" spans="2:12" ht="409.5" x14ac:dyDescent="0.45">
      <c r="B58">
        <v>2030</v>
      </c>
      <c r="C58" t="s">
        <v>5720</v>
      </c>
      <c r="D58" t="s">
        <v>5731</v>
      </c>
      <c r="E58">
        <v>11.4</v>
      </c>
      <c r="F58" t="s">
        <v>5700</v>
      </c>
      <c r="G58" t="s">
        <v>5706</v>
      </c>
      <c r="H58" t="s">
        <v>5702</v>
      </c>
      <c r="I58" s="10">
        <v>45483</v>
      </c>
      <c r="J58" t="s">
        <v>5711</v>
      </c>
      <c r="K58" t="s">
        <v>5712</v>
      </c>
      <c r="L58" s="11" t="s">
        <v>5713</v>
      </c>
    </row>
    <row r="59" spans="2:12" x14ac:dyDescent="0.45">
      <c r="B59">
        <v>2030</v>
      </c>
      <c r="C59" t="s">
        <v>5721</v>
      </c>
      <c r="D59" t="s">
        <v>5731</v>
      </c>
      <c r="E59">
        <v>1.69</v>
      </c>
      <c r="F59" t="s">
        <v>5700</v>
      </c>
      <c r="G59" t="s">
        <v>5726</v>
      </c>
      <c r="H59" t="s">
        <v>5702</v>
      </c>
      <c r="I59" s="10">
        <v>45089</v>
      </c>
      <c r="J59" t="s">
        <v>5727</v>
      </c>
      <c r="K59" t="s">
        <v>5728</v>
      </c>
      <c r="L59" t="s">
        <v>5729</v>
      </c>
    </row>
    <row r="60" spans="2:12" ht="409.5" x14ac:dyDescent="0.45">
      <c r="B60">
        <v>2030</v>
      </c>
      <c r="C60" t="s">
        <v>5721</v>
      </c>
      <c r="D60" t="s">
        <v>5731</v>
      </c>
      <c r="F60" t="s">
        <v>5700</v>
      </c>
      <c r="G60" t="s">
        <v>5706</v>
      </c>
      <c r="H60" t="s">
        <v>5702</v>
      </c>
      <c r="I60" s="10">
        <v>45483</v>
      </c>
      <c r="J60" t="s">
        <v>5711</v>
      </c>
      <c r="K60" t="s">
        <v>5712</v>
      </c>
      <c r="L60" s="11" t="s">
        <v>5713</v>
      </c>
    </row>
    <row r="61" spans="2:12" ht="409.5" x14ac:dyDescent="0.45">
      <c r="B61">
        <v>2030</v>
      </c>
      <c r="C61" t="s">
        <v>5722</v>
      </c>
      <c r="D61" t="s">
        <v>5731</v>
      </c>
      <c r="E61">
        <v>11.5</v>
      </c>
      <c r="F61" t="s">
        <v>5700</v>
      </c>
      <c r="G61" t="s">
        <v>5706</v>
      </c>
      <c r="H61" t="s">
        <v>5702</v>
      </c>
      <c r="I61" s="10">
        <v>45483</v>
      </c>
      <c r="J61" t="s">
        <v>5711</v>
      </c>
      <c r="K61" t="s">
        <v>5712</v>
      </c>
      <c r="L61" s="11" t="s">
        <v>5713</v>
      </c>
    </row>
    <row r="62" spans="2:12" x14ac:dyDescent="0.45">
      <c r="B62">
        <v>2030</v>
      </c>
      <c r="C62" t="s">
        <v>5722</v>
      </c>
      <c r="D62" t="s">
        <v>5731</v>
      </c>
      <c r="E62">
        <v>8.9499999999999993</v>
      </c>
      <c r="F62" t="s">
        <v>5700</v>
      </c>
      <c r="G62" t="s">
        <v>5726</v>
      </c>
      <c r="H62" t="s">
        <v>5702</v>
      </c>
      <c r="I62" s="10">
        <v>45089</v>
      </c>
      <c r="J62" t="s">
        <v>5727</v>
      </c>
      <c r="K62" t="s">
        <v>5728</v>
      </c>
      <c r="L62" t="s">
        <v>5729</v>
      </c>
    </row>
    <row r="63" spans="2:12" x14ac:dyDescent="0.45">
      <c r="B63">
        <v>2030</v>
      </c>
      <c r="C63" t="s">
        <v>5698</v>
      </c>
      <c r="D63" t="s">
        <v>5699</v>
      </c>
      <c r="E63">
        <v>2</v>
      </c>
      <c r="F63" t="s">
        <v>5732</v>
      </c>
      <c r="G63" t="s">
        <v>5733</v>
      </c>
      <c r="H63" t="s">
        <v>5734</v>
      </c>
      <c r="I63" s="10">
        <v>44736</v>
      </c>
      <c r="J63" t="s">
        <v>5735</v>
      </c>
      <c r="K63" t="s">
        <v>5736</v>
      </c>
    </row>
    <row r="64" spans="2:12" x14ac:dyDescent="0.45">
      <c r="B64">
        <v>2030</v>
      </c>
      <c r="C64" t="s">
        <v>5710</v>
      </c>
      <c r="D64" t="s">
        <v>5699</v>
      </c>
      <c r="E64">
        <v>27</v>
      </c>
      <c r="F64" t="s">
        <v>5732</v>
      </c>
      <c r="G64" t="s">
        <v>5733</v>
      </c>
      <c r="H64" t="s">
        <v>5734</v>
      </c>
      <c r="I64" s="10">
        <v>44736</v>
      </c>
      <c r="J64" t="s">
        <v>5735</v>
      </c>
      <c r="K64" t="s">
        <v>5736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7D92-7DFD-4EA6-A1DE-14A4C0AC78B7}">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5737</v>
      </c>
    </row>
    <row r="3" spans="2:9" x14ac:dyDescent="0.45">
      <c r="B3" t="s">
        <v>5738</v>
      </c>
      <c r="C3" t="s">
        <v>5739</v>
      </c>
      <c r="D3" t="s">
        <v>5740</v>
      </c>
      <c r="E3" t="s">
        <v>5741</v>
      </c>
      <c r="F3" t="s">
        <v>982</v>
      </c>
      <c r="G3" t="s">
        <v>2</v>
      </c>
    </row>
    <row r="4" spans="2:9" x14ac:dyDescent="0.45">
      <c r="B4" t="s">
        <v>5742</v>
      </c>
      <c r="C4" t="s">
        <v>974</v>
      </c>
      <c r="D4" t="s">
        <v>5743</v>
      </c>
      <c r="E4">
        <f>I4*3.6</f>
        <v>338.40000000000003</v>
      </c>
      <c r="I4">
        <v>94</v>
      </c>
    </row>
    <row r="5" spans="2:9" x14ac:dyDescent="0.45">
      <c r="B5" t="s">
        <v>5742</v>
      </c>
      <c r="C5" t="s">
        <v>975</v>
      </c>
      <c r="D5" t="s">
        <v>5743</v>
      </c>
      <c r="E5">
        <f>I5*3.6</f>
        <v>198</v>
      </c>
      <c r="I5">
        <v>55</v>
      </c>
    </row>
    <row r="6" spans="2:9" x14ac:dyDescent="0.45">
      <c r="B6" t="s">
        <v>5742</v>
      </c>
      <c r="C6" t="s">
        <v>991</v>
      </c>
      <c r="D6" t="s">
        <v>5743</v>
      </c>
      <c r="E6">
        <f>I6*3.6</f>
        <v>252</v>
      </c>
      <c r="I6">
        <v>70</v>
      </c>
    </row>
    <row r="7" spans="2:9" x14ac:dyDescent="0.45">
      <c r="B7" t="s">
        <v>5744</v>
      </c>
      <c r="C7" t="s">
        <v>5745</v>
      </c>
      <c r="D7" t="s">
        <v>5746</v>
      </c>
      <c r="E7">
        <v>1</v>
      </c>
    </row>
    <row r="8" spans="2:9" x14ac:dyDescent="0.45">
      <c r="B8" t="s">
        <v>5744</v>
      </c>
      <c r="C8" t="s">
        <v>5747</v>
      </c>
      <c r="D8" t="s">
        <v>5746</v>
      </c>
      <c r="E8">
        <v>-1</v>
      </c>
    </row>
    <row r="9" spans="2:9" x14ac:dyDescent="0.45">
      <c r="B9" t="s">
        <v>5748</v>
      </c>
      <c r="C9" t="s">
        <v>5749</v>
      </c>
      <c r="E9">
        <v>0.1</v>
      </c>
      <c r="F9" t="str">
        <f>C9</f>
        <v>co2captured</v>
      </c>
    </row>
    <row r="10" spans="2:9" x14ac:dyDescent="0.45">
      <c r="B10" t="s">
        <v>5750</v>
      </c>
      <c r="E10">
        <v>50</v>
      </c>
      <c r="G10" t="s">
        <v>5751</v>
      </c>
    </row>
    <row r="11" spans="2:9" x14ac:dyDescent="0.45">
      <c r="B11" t="s">
        <v>5752</v>
      </c>
      <c r="E11">
        <v>8.76</v>
      </c>
      <c r="G11" t="s">
        <v>5751</v>
      </c>
    </row>
  </sheetData>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C9F10-066F-4FAF-BA6C-43392F2BA9B6}">
  <dimension ref="B2:E33"/>
  <sheetViews>
    <sheetView tabSelected="1" workbookViewId="0"/>
  </sheetViews>
  <sheetFormatPr defaultRowHeight="14.25" x14ac:dyDescent="0.45"/>
  <sheetData>
    <row r="2" spans="2:5" x14ac:dyDescent="0.45">
      <c r="B2" t="s">
        <v>0</v>
      </c>
    </row>
    <row r="3" spans="2:5" x14ac:dyDescent="0.45">
      <c r="B3" t="s">
        <v>2</v>
      </c>
      <c r="C3" t="s">
        <v>3</v>
      </c>
      <c r="D3" t="s">
        <v>4</v>
      </c>
      <c r="E3" t="s">
        <v>5</v>
      </c>
    </row>
    <row r="4" spans="2:5" x14ac:dyDescent="0.45">
      <c r="B4" t="s">
        <v>5753</v>
      </c>
      <c r="C4">
        <v>0.50272800000000006</v>
      </c>
      <c r="D4">
        <v>63.800000000000004</v>
      </c>
      <c r="E4">
        <v>0.99651999999999996</v>
      </c>
    </row>
    <row r="5" spans="2:5" x14ac:dyDescent="0.45">
      <c r="B5" t="s">
        <v>5754</v>
      </c>
      <c r="C5">
        <v>0.50272800000000006</v>
      </c>
      <c r="D5">
        <v>16.5</v>
      </c>
      <c r="E5">
        <v>0.99909999999999999</v>
      </c>
    </row>
    <row r="6" spans="2:5" x14ac:dyDescent="0.45">
      <c r="B6" t="s">
        <v>5755</v>
      </c>
      <c r="C6">
        <v>3.3962060000000003</v>
      </c>
      <c r="D6">
        <v>12.100000000000001</v>
      </c>
      <c r="E6">
        <v>0.99934000000000001</v>
      </c>
    </row>
    <row r="7" spans="2:5" x14ac:dyDescent="0.45">
      <c r="B7" t="s">
        <v>5756</v>
      </c>
      <c r="C7">
        <v>1.7874760000000001</v>
      </c>
      <c r="D7">
        <v>70.400000000000006</v>
      </c>
      <c r="E7">
        <v>0.99616000000000005</v>
      </c>
    </row>
    <row r="8" spans="2:5" x14ac:dyDescent="0.45">
      <c r="B8" t="s">
        <v>5757</v>
      </c>
      <c r="C8">
        <v>3.5749529999999998</v>
      </c>
      <c r="D8">
        <v>47.300000000000004</v>
      </c>
      <c r="E8">
        <v>0.99741999999999997</v>
      </c>
    </row>
    <row r="9" spans="2:5" x14ac:dyDescent="0.45">
      <c r="B9" t="s">
        <v>5758</v>
      </c>
      <c r="C9">
        <v>1.005455</v>
      </c>
      <c r="D9">
        <v>24.200000000000003</v>
      </c>
      <c r="E9">
        <v>0.99868000000000001</v>
      </c>
    </row>
    <row r="10" spans="2:5" x14ac:dyDescent="0.45">
      <c r="B10" t="s">
        <v>5759</v>
      </c>
      <c r="C10">
        <v>3.3962050000000001</v>
      </c>
      <c r="D10">
        <v>68.2</v>
      </c>
      <c r="E10">
        <v>0.99628000000000005</v>
      </c>
    </row>
    <row r="11" spans="2:5" x14ac:dyDescent="0.45">
      <c r="B11" t="s">
        <v>5760</v>
      </c>
      <c r="C11">
        <v>1.6981030000000001</v>
      </c>
      <c r="D11">
        <v>8.8000000000000007</v>
      </c>
      <c r="E11">
        <v>0.99951999999999996</v>
      </c>
    </row>
    <row r="12" spans="2:5" x14ac:dyDescent="0.45">
      <c r="B12" t="s">
        <v>5761</v>
      </c>
      <c r="C12">
        <v>0.49155599999999999</v>
      </c>
      <c r="D12">
        <v>25.3</v>
      </c>
      <c r="E12">
        <v>0.99861999999999995</v>
      </c>
    </row>
    <row r="13" spans="2:5" x14ac:dyDescent="0.45">
      <c r="B13" t="s">
        <v>5762</v>
      </c>
      <c r="C13">
        <v>1.7874760000000001</v>
      </c>
      <c r="D13">
        <v>55.000000000000007</v>
      </c>
      <c r="E13">
        <v>0.997</v>
      </c>
    </row>
    <row r="14" spans="2:5" x14ac:dyDescent="0.45">
      <c r="B14" t="s">
        <v>5763</v>
      </c>
      <c r="C14">
        <v>1.6981030000000001</v>
      </c>
      <c r="D14">
        <v>129.80000000000001</v>
      </c>
      <c r="E14">
        <v>0.99292000000000002</v>
      </c>
    </row>
    <row r="15" spans="2:5" x14ac:dyDescent="0.45">
      <c r="B15" t="s">
        <v>5764</v>
      </c>
      <c r="C15">
        <v>3.3962050000000001</v>
      </c>
      <c r="D15">
        <v>61.600000000000009</v>
      </c>
      <c r="E15">
        <v>0.99663999999999997</v>
      </c>
    </row>
    <row r="16" spans="2:5" x14ac:dyDescent="0.45">
      <c r="B16" t="s">
        <v>5765</v>
      </c>
      <c r="C16">
        <v>1.6981030000000001</v>
      </c>
      <c r="D16">
        <v>25.3</v>
      </c>
      <c r="E16">
        <v>0.99861999999999995</v>
      </c>
    </row>
    <row r="17" spans="2:5" x14ac:dyDescent="0.45">
      <c r="B17" t="s">
        <v>5766</v>
      </c>
      <c r="C17">
        <v>3.3962050000000001</v>
      </c>
      <c r="D17">
        <v>9.9</v>
      </c>
      <c r="E17">
        <v>0.99946000000000002</v>
      </c>
    </row>
    <row r="18" spans="2:5" x14ac:dyDescent="0.45">
      <c r="B18" t="s">
        <v>5767</v>
      </c>
      <c r="C18">
        <v>1.6981030000000001</v>
      </c>
      <c r="D18">
        <v>64.900000000000006</v>
      </c>
      <c r="E18">
        <v>0.99646000000000001</v>
      </c>
    </row>
    <row r="19" spans="2:5" x14ac:dyDescent="0.45">
      <c r="B19" t="s">
        <v>5768</v>
      </c>
      <c r="C19">
        <v>3.3962050000000001</v>
      </c>
      <c r="D19">
        <v>44</v>
      </c>
      <c r="E19">
        <v>0.99760000000000004</v>
      </c>
    </row>
    <row r="20" spans="2:5" x14ac:dyDescent="0.45">
      <c r="B20" t="s">
        <v>5769</v>
      </c>
      <c r="C20">
        <v>3.3962060000000003</v>
      </c>
      <c r="D20">
        <v>29.700000000000003</v>
      </c>
      <c r="E20">
        <v>0.99838000000000005</v>
      </c>
    </row>
    <row r="21" spans="2:5" x14ac:dyDescent="0.45">
      <c r="B21" t="s">
        <v>5770</v>
      </c>
      <c r="C21">
        <v>0.50272800000000006</v>
      </c>
      <c r="D21">
        <v>35.200000000000003</v>
      </c>
      <c r="E21">
        <v>0.99807999999999997</v>
      </c>
    </row>
    <row r="22" spans="2:5" x14ac:dyDescent="0.45">
      <c r="B22" t="s">
        <v>5771</v>
      </c>
      <c r="C22">
        <v>0.50272800000000006</v>
      </c>
      <c r="D22">
        <v>23.1</v>
      </c>
      <c r="E22">
        <v>0.99873999999999996</v>
      </c>
    </row>
    <row r="23" spans="2:5" x14ac:dyDescent="0.45">
      <c r="B23" t="s">
        <v>5772</v>
      </c>
      <c r="C23">
        <v>0.49155599999999999</v>
      </c>
      <c r="D23">
        <v>19.8</v>
      </c>
      <c r="E23">
        <v>0.99892000000000003</v>
      </c>
    </row>
    <row r="24" spans="2:5" x14ac:dyDescent="0.45">
      <c r="B24" t="s">
        <v>5773</v>
      </c>
      <c r="C24">
        <v>3.3962050000000001</v>
      </c>
      <c r="D24">
        <v>24.200000000000003</v>
      </c>
      <c r="E24">
        <v>0.99868000000000001</v>
      </c>
    </row>
    <row r="25" spans="2:5" x14ac:dyDescent="0.45">
      <c r="B25" t="s">
        <v>5774</v>
      </c>
      <c r="C25">
        <v>1.7874760000000001</v>
      </c>
      <c r="D25">
        <v>53.900000000000006</v>
      </c>
      <c r="E25">
        <v>0.99705999999999995</v>
      </c>
    </row>
    <row r="26" spans="2:5" x14ac:dyDescent="0.45">
      <c r="B26" t="s">
        <v>5775</v>
      </c>
      <c r="C26">
        <v>0.50272800000000006</v>
      </c>
      <c r="D26">
        <v>62.7</v>
      </c>
      <c r="E26">
        <v>0.99658000000000002</v>
      </c>
    </row>
    <row r="27" spans="2:5" x14ac:dyDescent="0.45">
      <c r="B27" t="s">
        <v>5776</v>
      </c>
      <c r="C27">
        <v>1.7874760000000001</v>
      </c>
      <c r="D27">
        <v>117.7</v>
      </c>
      <c r="E27">
        <v>0.99358000000000002</v>
      </c>
    </row>
    <row r="28" spans="2:5" x14ac:dyDescent="0.45">
      <c r="B28" t="s">
        <v>5777</v>
      </c>
      <c r="C28">
        <v>0.50272800000000006</v>
      </c>
      <c r="D28">
        <v>13.200000000000001</v>
      </c>
      <c r="E28">
        <v>0.99927999999999995</v>
      </c>
    </row>
    <row r="29" spans="2:5" x14ac:dyDescent="0.45">
      <c r="B29" t="s">
        <v>5778</v>
      </c>
      <c r="C29">
        <v>3.5749520000000001</v>
      </c>
      <c r="D29">
        <v>113.30000000000001</v>
      </c>
      <c r="E29">
        <v>0.99382000000000004</v>
      </c>
    </row>
    <row r="30" spans="2:5" x14ac:dyDescent="0.45">
      <c r="B30" t="s">
        <v>5779</v>
      </c>
      <c r="C30">
        <v>1.7874760000000001</v>
      </c>
      <c r="D30">
        <v>31.900000000000002</v>
      </c>
      <c r="E30">
        <v>0.99826000000000004</v>
      </c>
    </row>
    <row r="31" spans="2:5" x14ac:dyDescent="0.45">
      <c r="B31" t="s">
        <v>5780</v>
      </c>
      <c r="C31">
        <v>1</v>
      </c>
      <c r="D31">
        <v>253.00000000000003</v>
      </c>
      <c r="E31">
        <v>0.98619999999999997</v>
      </c>
    </row>
    <row r="32" spans="2:5" x14ac:dyDescent="0.45">
      <c r="B32" t="s">
        <v>5781</v>
      </c>
      <c r="C32">
        <v>0.3</v>
      </c>
      <c r="D32">
        <v>155.10000000000002</v>
      </c>
      <c r="E32">
        <v>0.99153999999999998</v>
      </c>
    </row>
    <row r="33" spans="2:5" x14ac:dyDescent="0.45">
      <c r="B33" t="s">
        <v>5782</v>
      </c>
      <c r="C33">
        <v>1</v>
      </c>
      <c r="D33">
        <v>278.3</v>
      </c>
      <c r="E33">
        <v>0.98482000000000003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grids_FRA</vt:lpstr>
      <vt:lpstr>Veda_FRA</vt:lpstr>
      <vt:lpstr>buildrates_FRA</vt:lpstr>
      <vt:lpstr>vre agg cap_FRA</vt:lpstr>
      <vt:lpstr>grids_GBR</vt:lpstr>
      <vt:lpstr>Veda_GBR</vt:lpstr>
      <vt:lpstr>buildrates_GBR</vt:lpstr>
      <vt:lpstr>vre agg cap_GBR</vt:lpstr>
      <vt:lpstr>grids_NLD</vt:lpstr>
      <vt:lpstr>Veda_NLD</vt:lpstr>
      <vt:lpstr>buildrates_NLD</vt:lpstr>
      <vt:lpstr>vre agg cap_NLD</vt:lpstr>
      <vt:lpstr>grids_BEL</vt:lpstr>
      <vt:lpstr>Veda_BEL</vt:lpstr>
      <vt:lpstr>buildrates_BEL</vt:lpstr>
      <vt:lpstr>vre agg cap_BEL</vt:lpstr>
      <vt:lpstr>grids_DEU</vt:lpstr>
      <vt:lpstr>Veda_DEU</vt:lpstr>
      <vt:lpstr>buildrates_DEU</vt:lpstr>
      <vt:lpstr>vre agg cap_DEU</vt:lpstr>
      <vt:lpstr>grids_CHE</vt:lpstr>
      <vt:lpstr>Veda_CHE</vt:lpstr>
      <vt:lpstr>buildrates_CHE</vt:lpstr>
      <vt:lpstr>vre agg cap_CHE</vt:lpstr>
      <vt:lpstr>grids_ITA</vt:lpstr>
      <vt:lpstr>Veda_ITA</vt:lpstr>
      <vt:lpstr>buildrates_ITA</vt:lpstr>
      <vt:lpstr>vre agg cap_ITA</vt:lpstr>
      <vt:lpstr>grids_ESP</vt:lpstr>
      <vt:lpstr>Veda_ESP</vt:lpstr>
      <vt:lpstr>buildrates_ESP</vt:lpstr>
      <vt:lpstr>vre agg cap_ESP</vt:lpstr>
      <vt:lpstr>re_targets</vt:lpstr>
      <vt:lpstr>emissions</vt:lpstr>
      <vt:lpstr>grids_crossborder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2026-09-03T19:14:21Z</dcterms:created>
  <dcterms:modified xsi:type="dcterms:W3CDTF">2026-09-03T19:14:44Z</dcterms:modified>
</cp:coreProperties>
</file>